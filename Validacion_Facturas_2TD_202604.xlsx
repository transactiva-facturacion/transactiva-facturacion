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99.xml" ContentType="application/vnd.openxmlformats-officedocument.drawingml.chart+xml"/>
  <Override PartName="/xl/charts/chart98.xml" ContentType="application/vnd.openxmlformats-officedocument.drawingml.chart+xml"/>
  <Override PartName="/xl/charts/chart127.xml" ContentType="application/vnd.openxmlformats-officedocument.drawingml.chart+xml"/>
  <Override PartName="/xl/charts/chart97.xml" ContentType="application/vnd.openxmlformats-officedocument.drawingml.chart+xml"/>
  <Override PartName="/xl/charts/chart29.xml" ContentType="application/vnd.openxmlformats-officedocument.drawingml.chart+xml"/>
  <Override PartName="/xl/charts/chart126.xml" ContentType="application/vnd.openxmlformats-officedocument.drawingml.chart+xml"/>
  <Override PartName="/xl/charts/chart96.xml" ContentType="application/vnd.openxmlformats-officedocument.drawingml.chart+xml"/>
  <Override PartName="/xl/charts/chart28.xml" ContentType="application/vnd.openxmlformats-officedocument.drawingml.chart+xml"/>
  <Override PartName="/xl/charts/chart125.xml" ContentType="application/vnd.openxmlformats-officedocument.drawingml.chart+xml"/>
  <Override PartName="/xl/charts/chart59.xml" ContentType="application/vnd.openxmlformats-officedocument.drawingml.chart+xml"/>
  <Override PartName="/xl/charts/chart114.xml" ContentType="application/vnd.openxmlformats-officedocument.drawingml.chart+xml"/>
  <Override PartName="/xl/charts/chart84.xml" ContentType="application/vnd.openxmlformats-officedocument.drawingml.chart+xml"/>
  <Override PartName="/xl/charts/chart16.xml" ContentType="application/vnd.openxmlformats-officedocument.drawingml.chart+xml"/>
  <Override PartName="/xl/charts/chart111.xml" ContentType="application/vnd.openxmlformats-officedocument.drawingml.chart+xml"/>
  <Override PartName="/xl/charts/chart113.xml" ContentType="application/vnd.openxmlformats-officedocument.drawingml.chart+xml"/>
  <Override PartName="/xl/charts/chart83.xml" ContentType="application/vnd.openxmlformats-officedocument.drawingml.chart+xml"/>
  <Override PartName="/xl/charts/chart15.xml" ContentType="application/vnd.openxmlformats-officedocument.drawingml.chart+xml"/>
  <Override PartName="/xl/charts/chart110.xml" ContentType="application/vnd.openxmlformats-officedocument.drawingml.chart+xml"/>
  <Override PartName="/xl/charts/chart112.xml" ContentType="application/vnd.openxmlformats-officedocument.drawingml.chart+xml"/>
  <Override PartName="/xl/charts/chart36.xml" ContentType="application/vnd.openxmlformats-officedocument.drawingml.chart+xml"/>
  <Override PartName="/xl/charts/chart131.xml" ContentType="application/vnd.openxmlformats-officedocument.drawingml.chart+xml"/>
  <Override PartName="/xl/charts/chart37.xml" ContentType="application/vnd.openxmlformats-officedocument.drawingml.chart+xml"/>
  <Override PartName="/xl/charts/chart132.xml" ContentType="application/vnd.openxmlformats-officedocument.drawingml.chart+xml"/>
  <Override PartName="/xl/charts/chart10.xml" ContentType="application/vnd.openxmlformats-officedocument.drawingml.chart+xml"/>
  <Override PartName="/xl/charts/chart47.xml" ContentType="application/vnd.openxmlformats-officedocument.drawingml.chart+xml"/>
  <Override PartName="/xl/charts/chart38.xml" ContentType="application/vnd.openxmlformats-officedocument.drawingml.chart+xml"/>
  <Override PartName="/xl/charts/chart133.xml" ContentType="application/vnd.openxmlformats-officedocument.drawingml.chart+xml"/>
  <Override PartName="/xl/charts/chart11.xml" ContentType="application/vnd.openxmlformats-officedocument.drawingml.chart+xml"/>
  <Override PartName="/xl/charts/chart48.xml" ContentType="application/vnd.openxmlformats-officedocument.drawingml.chart+xml"/>
  <Override PartName="/xl/charts/chart39.xml" ContentType="application/vnd.openxmlformats-officedocument.drawingml.chart+xml"/>
  <Override PartName="/xl/charts/chart134.xml" ContentType="application/vnd.openxmlformats-officedocument.drawingml.chart+xml"/>
  <Override PartName="/xl/charts/chart80.xml" ContentType="application/vnd.openxmlformats-officedocument.drawingml.chart+xml"/>
  <Override PartName="/xl/charts/chart12.xml" ContentType="application/vnd.openxmlformats-officedocument.drawingml.chart+xml"/>
  <Override PartName="/xl/charts/chart49.xml" ContentType="application/vnd.openxmlformats-officedocument.drawingml.chart+xml"/>
  <Override PartName="/xl/charts/chart81.xml" ContentType="application/vnd.openxmlformats-officedocument.drawingml.chart+xml"/>
  <Override PartName="/xl/charts/chart13.xml" ContentType="application/vnd.openxmlformats-officedocument.drawingml.chart+xml"/>
  <Override PartName="/xl/charts/chart128.xml" ContentType="application/vnd.openxmlformats-officedocument.drawingml.chart+xml"/>
  <Override PartName="/xl/charts/chart82.xml" ContentType="application/vnd.openxmlformats-officedocument.drawingml.chart+xml"/>
  <Override PartName="/xl/charts/chart14.xml" ContentType="application/vnd.openxmlformats-officedocument.drawingml.chart+xml"/>
  <Override PartName="/xl/charts/chart129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20.xml" ContentType="application/vnd.openxmlformats-officedocument.drawingml.chart+xml"/>
  <Override PartName="/xl/charts/chart57.xml" ContentType="application/vnd.openxmlformats-officedocument.drawingml.chart+xml"/>
  <Override PartName="/xl/charts/chart135.xml" ContentType="application/vnd.openxmlformats-officedocument.drawingml.chart+xml"/>
  <Override PartName="/xl/charts/chart21.xml" ContentType="application/vnd.openxmlformats-officedocument.drawingml.chart+xml"/>
  <Override PartName="/xl/charts/chart58.xml" ContentType="application/vnd.openxmlformats-officedocument.drawingml.chart+xml"/>
  <Override PartName="/xl/charts/chart136.xml" ContentType="application/vnd.openxmlformats-officedocument.drawingml.chart+xml"/>
  <Override PartName="/xl/charts/chart130.xml" ContentType="application/vnd.openxmlformats-officedocument.drawingml.chart+xml"/>
  <Override PartName="/xl/charts/chart35.xml" ContentType="application/vnd.openxmlformats-officedocument.drawingml.chart+xml"/>
  <Override PartName="/xl/charts/chart52.xml" ContentType="application/vnd.openxmlformats-officedocument.drawingml.chart+xml"/>
  <Override PartName="/xl/charts/chart51.xml" ContentType="application/vnd.openxmlformats-officedocument.drawingml.chart+xml"/>
  <Override PartName="/xl/charts/chart50.xml" ContentType="application/vnd.openxmlformats-officedocument.drawingml.chart+xml"/>
  <Override PartName="/xl/charts/chart46.xml" ContentType="application/vnd.openxmlformats-officedocument.drawingml.chart+xml"/>
  <Override PartName="/xl/charts/chart45.xml" ContentType="application/vnd.openxmlformats-officedocument.drawingml.chart+xml"/>
  <Override PartName="/xl/charts/chart44.xml" ContentType="application/vnd.openxmlformats-officedocument.drawingml.chart+xml"/>
  <Override PartName="/xl/charts/chart43.xml" ContentType="application/vnd.openxmlformats-officedocument.drawingml.chart+xml"/>
  <Override PartName="/xl/charts/chart42.xml" ContentType="application/vnd.openxmlformats-officedocument.drawingml.chart+xml"/>
  <Override PartName="/xl/charts/chart41.xml" ContentType="application/vnd.openxmlformats-officedocument.drawingml.chart+xml"/>
  <Override PartName="/xl/charts/chart40.xml" ContentType="application/vnd.openxmlformats-officedocument.drawingml.chart+xml"/>
  <Override PartName="/xl/charts/chart34.xml" ContentType="application/vnd.openxmlformats-officedocument.drawingml.chart+xml"/>
  <Override PartName="/xl/charts/chart33.xml" ContentType="application/vnd.openxmlformats-officedocument.drawingml.chart+xml"/>
  <Override PartName="/xl/charts/chart1.xml" ContentType="application/vnd.openxmlformats-officedocument.drawingml.chart+xml"/>
  <Override PartName="/xl/charts/chart32.xml" ContentType="application/vnd.openxmlformats-officedocument.drawingml.chart+xml"/>
  <Override PartName="/xl/charts/chart31.xml" ContentType="application/vnd.openxmlformats-officedocument.drawingml.chart+xml"/>
  <Override PartName="/xl/charts/chart30.xml" ContentType="application/vnd.openxmlformats-officedocument.drawingml.chart+xml"/>
  <Override PartName="/xl/charts/chart22.xml" ContentType="application/vnd.openxmlformats-officedocument.drawingml.chart+xml"/>
  <Override PartName="/xl/charts/chart90.xml" ContentType="application/vnd.openxmlformats-officedocument.drawingml.chart+xml"/>
  <Override PartName="/xl/charts/chart120.xml" ContentType="application/vnd.openxmlformats-officedocument.drawingml.chart+xml"/>
  <Override PartName="/xl/charts/chart23.xml" ContentType="application/vnd.openxmlformats-officedocument.drawingml.chart+xml"/>
  <Override PartName="/xl/charts/chart91.xml" ContentType="application/vnd.openxmlformats-officedocument.drawingml.chart+xml"/>
  <Override PartName="/xl/charts/chart121.xml" ContentType="application/vnd.openxmlformats-officedocument.drawingml.chart+xml"/>
  <Override PartName="/xl/charts/chart24.xml" ContentType="application/vnd.openxmlformats-officedocument.drawingml.chart+xml"/>
  <Override PartName="/xl/charts/chart92.xml" ContentType="application/vnd.openxmlformats-officedocument.drawingml.chart+xml"/>
  <Override PartName="/xl/charts/chart122.xml" ContentType="application/vnd.openxmlformats-officedocument.drawingml.chart+xml"/>
  <Override PartName="/xl/charts/chart25.xml" ContentType="application/vnd.openxmlformats-officedocument.drawingml.chart+xml"/>
  <Override PartName="/xl/charts/chart93.xml" ContentType="application/vnd.openxmlformats-officedocument.drawingml.chart+xml"/>
  <Override PartName="/xl/charts/chart123.xml" ContentType="application/vnd.openxmlformats-officedocument.drawingml.chart+xml"/>
  <Override PartName="/xl/charts/chart26.xml" ContentType="application/vnd.openxmlformats-officedocument.drawingml.chart+xml"/>
  <Override PartName="/xl/charts/chart94.xml" ContentType="application/vnd.openxmlformats-officedocument.drawingml.chart+xml"/>
  <Override PartName="/xl/charts/chart124.xml" ContentType="application/vnd.openxmlformats-officedocument.drawingml.chart+xml"/>
  <Override PartName="/xl/charts/chart2.xml" ContentType="application/vnd.openxmlformats-officedocument.drawingml.chart+xml"/>
  <Override PartName="/xl/charts/chart60.xml" ContentType="application/vnd.openxmlformats-officedocument.drawingml.chart+xml"/>
  <Override PartName="/xl/charts/chart3.xml" ContentType="application/vnd.openxmlformats-officedocument.drawingml.chart+xml"/>
  <Override PartName="/xl/charts/chart61.xml" ContentType="application/vnd.openxmlformats-officedocument.drawingml.chart+xml"/>
  <Override PartName="/xl/charts/chart4.xml" ContentType="application/vnd.openxmlformats-officedocument.drawingml.chart+xml"/>
  <Override PartName="/xl/charts/chart62.xml" ContentType="application/vnd.openxmlformats-officedocument.drawingml.chart+xml"/>
  <Override PartName="/xl/charts/chart5.xml" ContentType="application/vnd.openxmlformats-officedocument.drawingml.chart+xml"/>
  <Override PartName="/xl/charts/chart63.xml" ContentType="application/vnd.openxmlformats-officedocument.drawingml.chart+xml"/>
  <Override PartName="/xl/charts/chart6.xml" ContentType="application/vnd.openxmlformats-officedocument.drawingml.chart+xml"/>
  <Override PartName="/xl/charts/chart64.xml" ContentType="application/vnd.openxmlformats-officedocument.drawingml.chart+xml"/>
  <Override PartName="/xl/charts/chart7.xml" ContentType="application/vnd.openxmlformats-officedocument.drawingml.chart+xml"/>
  <Override PartName="/xl/charts/chart65.xml" ContentType="application/vnd.openxmlformats-officedocument.drawingml.chart+xml"/>
  <Override PartName="/xl/charts/chart8.xml" ContentType="application/vnd.openxmlformats-officedocument.drawingml.chart+xml"/>
  <Override PartName="/xl/charts/chart66.xml" ContentType="application/vnd.openxmlformats-officedocument.drawingml.chart+xml"/>
  <Override PartName="/xl/charts/chart9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100.xml" ContentType="application/vnd.openxmlformats-officedocument.drawingml.chart+xml"/>
  <Override PartName="/xl/charts/chart71.xml" ContentType="application/vnd.openxmlformats-officedocument.drawingml.chart+xml"/>
  <Override PartName="/xl/charts/chart101.xml" ContentType="application/vnd.openxmlformats-officedocument.drawingml.chart+xml"/>
  <Override PartName="/xl/charts/chart72.xml" ContentType="application/vnd.openxmlformats-officedocument.drawingml.chart+xml"/>
  <Override PartName="/xl/charts/chart102.xml" ContentType="application/vnd.openxmlformats-officedocument.drawingml.chart+xml"/>
  <Override PartName="/xl/charts/chart73.xml" ContentType="application/vnd.openxmlformats-officedocument.drawingml.chart+xml"/>
  <Override PartName="/xl/charts/chart103.xml" ContentType="application/vnd.openxmlformats-officedocument.drawingml.chart+xml"/>
  <Override PartName="/xl/charts/chart74.xml" ContentType="application/vnd.openxmlformats-officedocument.drawingml.chart+xml"/>
  <Override PartName="/xl/charts/chart104.xml" ContentType="application/vnd.openxmlformats-officedocument.drawingml.chart+xml"/>
  <Override PartName="/xl/charts/chart75.xml" ContentType="application/vnd.openxmlformats-officedocument.drawingml.chart+xml"/>
  <Override PartName="/xl/charts/chart105.xml" ContentType="application/vnd.openxmlformats-officedocument.drawingml.chart+xml"/>
  <Override PartName="/xl/charts/chart76.xml" ContentType="application/vnd.openxmlformats-officedocument.drawingml.chart+xml"/>
  <Override PartName="/xl/charts/chart106.xml" ContentType="application/vnd.openxmlformats-officedocument.drawingml.chart+xml"/>
  <Override PartName="/xl/charts/chart77.xml" ContentType="application/vnd.openxmlformats-officedocument.drawingml.chart+xml"/>
  <Override PartName="/xl/charts/chart107.xml" ContentType="application/vnd.openxmlformats-officedocument.drawingml.chart+xml"/>
  <Override PartName="/xl/charts/chart78.xml" ContentType="application/vnd.openxmlformats-officedocument.drawingml.chart+xml"/>
  <Override PartName="/xl/charts/chart108.xml" ContentType="application/vnd.openxmlformats-officedocument.drawingml.chart+xml"/>
  <Override PartName="/xl/charts/chart79.xml" ContentType="application/vnd.openxmlformats-officedocument.drawingml.chart+xml"/>
  <Override PartName="/xl/charts/chart109.xml" ContentType="application/vnd.openxmlformats-officedocument.drawingml.chart+xml"/>
  <Override PartName="/xl/charts/chart17.xml" ContentType="application/vnd.openxmlformats-officedocument.drawingml.chart+xml"/>
  <Override PartName="/xl/charts/chart85.xml" ContentType="application/vnd.openxmlformats-officedocument.drawingml.chart+xml"/>
  <Override PartName="/xl/charts/chart115.xml" ContentType="application/vnd.openxmlformats-officedocument.drawingml.chart+xml"/>
  <Override PartName="/xl/charts/chart18.xml" ContentType="application/vnd.openxmlformats-officedocument.drawingml.chart+xml"/>
  <Override PartName="/xl/charts/chart86.xml" ContentType="application/vnd.openxmlformats-officedocument.drawingml.chart+xml"/>
  <Override PartName="/xl/charts/chart116.xml" ContentType="application/vnd.openxmlformats-officedocument.drawingml.chart+xml"/>
  <Override PartName="/xl/charts/chart19.xml" ContentType="application/vnd.openxmlformats-officedocument.drawingml.chart+xml"/>
  <Override PartName="/xl/charts/chart87.xml" ContentType="application/vnd.openxmlformats-officedocument.drawingml.chart+xml"/>
  <Override PartName="/xl/charts/chart117.xml" ContentType="application/vnd.openxmlformats-officedocument.drawingml.chart+xml"/>
  <Override PartName="/xl/charts/chart88.xml" ContentType="application/vnd.openxmlformats-officedocument.drawingml.chart+xml"/>
  <Override PartName="/xl/charts/chart118.xml" ContentType="application/vnd.openxmlformats-officedocument.drawingml.chart+xml"/>
  <Override PartName="/xl/charts/chart89.xml" ContentType="application/vnd.openxmlformats-officedocument.drawingml.chart+xml"/>
  <Override PartName="/xl/charts/chart119.xml" ContentType="application/vnd.openxmlformats-officedocument.drawingml.chart+xml"/>
  <Override PartName="/xl/charts/chart27.xml" ContentType="application/vnd.openxmlformats-officedocument.drawingml.chart+xml"/>
  <Override PartName="/xl/charts/chart9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etalle" sheetId="2" state="visible" r:id="rId4"/>
    <sheet name="_seri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<sst xmlns="http://schemas.openxmlformats.org/spreadsheetml/2006/main" count="5247" uniqueCount="1080">
  <si>
    <t xml:space="preserve">RESUMEN · 136 facturas 2.0TD · abril 2026 · Transactiva 2000 S.L.</t>
  </si>
  <si>
    <t xml:space="preserve">APROBAR ≥30% · REVISAR 20–30% · RECHAZAR &lt;20% · objetivo editable en Detalle!G1. PC provisional (ámbar) → sustituir por real. Excedentes = kWh reales.</t>
  </si>
  <si>
    <t xml:space="preserve">Factura</t>
  </si>
  <si>
    <t xml:space="preserve">Cliente</t>
  </si>
  <si>
    <t xml:space="preserve">Nombre</t>
  </si>
  <si>
    <t xml:space="preserve">Prov.</t>
  </si>
  <si>
    <t xml:space="preserve">Margen abril</t>
  </si>
  <si>
    <t xml:space="preserve">Veredicto</t>
  </si>
  <si>
    <t xml:space="preserve">Margen hist.</t>
  </si>
  <si>
    <t xml:space="preserve">Cobrado hist.</t>
  </si>
  <si>
    <t xml:space="preserve">Qué revisar</t>
  </si>
  <si>
    <t xml:space="preserve">C02150</t>
  </si>
  <si>
    <t xml:space="preserve">FUNDACIÓN FSU PROGRAMAS INTERNACIO</t>
  </si>
  <si>
    <t xml:space="preserve">Naturgy</t>
  </si>
  <si>
    <t xml:space="preserve">C02140</t>
  </si>
  <si>
    <t xml:space="preserve">C02130</t>
  </si>
  <si>
    <t xml:space="preserve">C02120</t>
  </si>
  <si>
    <t xml:space="preserve">C02110</t>
  </si>
  <si>
    <t xml:space="preserve">C02100</t>
  </si>
  <si>
    <t xml:space="preserve">C02090</t>
  </si>
  <si>
    <t xml:space="preserve">C02080</t>
  </si>
  <si>
    <t xml:space="preserve">C02060</t>
  </si>
  <si>
    <t xml:space="preserve">C02040</t>
  </si>
  <si>
    <t xml:space="preserve">C02030</t>
  </si>
  <si>
    <t xml:space="preserve">C02020</t>
  </si>
  <si>
    <t xml:space="preserve">C01970</t>
  </si>
  <si>
    <t xml:space="preserve">C01960</t>
  </si>
  <si>
    <t xml:space="preserve">C01400</t>
  </si>
  <si>
    <t xml:space="preserve">CHRISTOPH BLUME</t>
  </si>
  <si>
    <t xml:space="preserve">C02560</t>
  </si>
  <si>
    <t xml:space="preserve">PEDRO IVARS TRO 2018, S.L.</t>
  </si>
  <si>
    <t xml:space="preserve">C02680</t>
  </si>
  <si>
    <t xml:space="preserve">ALVARO DAVID OCHOA BIOSCA</t>
  </si>
  <si>
    <t xml:space="preserve">C00700</t>
  </si>
  <si>
    <t xml:space="preserve">ELEEN VELTHOVEN</t>
  </si>
  <si>
    <t xml:space="preserve">C01280</t>
  </si>
  <si>
    <t xml:space="preserve">Mª ISABEL HEVIA TENA</t>
  </si>
  <si>
    <t xml:space="preserve">C01990</t>
  </si>
  <si>
    <t xml:space="preserve">GERRIT JONGEJAN</t>
  </si>
  <si>
    <t xml:space="preserve">C03260</t>
  </si>
  <si>
    <t xml:space="preserve">MICHAL CUKAN</t>
  </si>
  <si>
    <t xml:space="preserve">C01140</t>
  </si>
  <si>
    <t xml:space="preserve">DESIRÉ ANNA GUSTAAF SCHUTTER</t>
  </si>
  <si>
    <t xml:space="preserve">C01350</t>
  </si>
  <si>
    <t xml:space="preserve">CORDULA PETERS</t>
  </si>
  <si>
    <t xml:space="preserve">C00060</t>
  </si>
  <si>
    <t xml:space="preserve">HV LUXO SA</t>
  </si>
  <si>
    <t xml:space="preserve">MANUEL GARCÍA DEL VALLE CARLOS-ROC</t>
  </si>
  <si>
    <t xml:space="preserve">C00040</t>
  </si>
  <si>
    <t xml:space="preserve">Mª ROSARIO ORTOLÁ FERRER</t>
  </si>
  <si>
    <t xml:space="preserve">C00050</t>
  </si>
  <si>
    <t xml:space="preserve">HELADOS ESPI</t>
  </si>
  <si>
    <t xml:space="preserve">C00100</t>
  </si>
  <si>
    <t xml:space="preserve">CRISTINA MARÍA FALCÓN ESCALONA</t>
  </si>
  <si>
    <t xml:space="preserve">C00120</t>
  </si>
  <si>
    <t xml:space="preserve">STEPHEN RICHARD ROBINSON</t>
  </si>
  <si>
    <t xml:space="preserve">C00130</t>
  </si>
  <si>
    <t xml:space="preserve">BIO JARDINSOSTENIBLE, S.L.U.</t>
  </si>
  <si>
    <t xml:space="preserve">C00270</t>
  </si>
  <si>
    <t xml:space="preserve">CLAUDE JOSÉ GOFFINET</t>
  </si>
  <si>
    <t xml:space="preserve">C00310</t>
  </si>
  <si>
    <t xml:space="preserve">MICHAEL BALMER</t>
  </si>
  <si>
    <t xml:space="preserve">C00410</t>
  </si>
  <si>
    <t xml:space="preserve">VALENTINA BARCA</t>
  </si>
  <si>
    <t xml:space="preserve">C00540</t>
  </si>
  <si>
    <t xml:space="preserve">PEDRO CAÑADAS FERNANDEZ</t>
  </si>
  <si>
    <t xml:space="preserve">C00670</t>
  </si>
  <si>
    <t xml:space="preserve">CARLOS A. GAVILANES PAUCAR</t>
  </si>
  <si>
    <t xml:space="preserve">C00780</t>
  </si>
  <si>
    <t xml:space="preserve">MONTGO SEGURIDAD, S.L.</t>
  </si>
  <si>
    <t xml:space="preserve">C00820</t>
  </si>
  <si>
    <t xml:space="preserve">JAIME VIVES LADRÓN DE GUEVARA</t>
  </si>
  <si>
    <t xml:space="preserve">C00910</t>
  </si>
  <si>
    <t xml:space="preserve">PATRICE HERNEST HECQ</t>
  </si>
  <si>
    <t xml:space="preserve">C00940</t>
  </si>
  <si>
    <t xml:space="preserve">ANDRE DOUTREVAL</t>
  </si>
  <si>
    <t xml:space="preserve">C01150</t>
  </si>
  <si>
    <t xml:space="preserve">ARIE PETER PETRI</t>
  </si>
  <si>
    <t xml:space="preserve">C01160</t>
  </si>
  <si>
    <t xml:space="preserve">DEBORAH LEFFELAAR</t>
  </si>
  <si>
    <t xml:space="preserve">C01190</t>
  </si>
  <si>
    <t xml:space="preserve">BART VAN OERLE JOZEF J.</t>
  </si>
  <si>
    <t xml:space="preserve">C01250</t>
  </si>
  <si>
    <t xml:space="preserve">DANIELLE B. PAULI</t>
  </si>
  <si>
    <t xml:space="preserve">C01330</t>
  </si>
  <si>
    <t xml:space="preserve">ULF BALZER</t>
  </si>
  <si>
    <t xml:space="preserve">C01390</t>
  </si>
  <si>
    <t xml:space="preserve">DANIEL DE WIT</t>
  </si>
  <si>
    <t xml:space="preserve">C01420</t>
  </si>
  <si>
    <t xml:space="preserve">JAIME VIVES</t>
  </si>
  <si>
    <t xml:space="preserve">C01440</t>
  </si>
  <si>
    <t xml:space="preserve">VICENTE BAS ALENTADO</t>
  </si>
  <si>
    <t xml:space="preserve">C01460</t>
  </si>
  <si>
    <t xml:space="preserve">MARCUS JOHANNES MULLER</t>
  </si>
  <si>
    <t xml:space="preserve">C01470</t>
  </si>
  <si>
    <t xml:space="preserve">LIEUWE KOOPMANS</t>
  </si>
  <si>
    <t xml:space="preserve">C01490</t>
  </si>
  <si>
    <t xml:space="preserve">JOSE EDUARDO BAYONA SOTOS</t>
  </si>
  <si>
    <t xml:space="preserve">C01530</t>
  </si>
  <si>
    <t xml:space="preserve">JUAN POCH FERNANDEZ</t>
  </si>
  <si>
    <t xml:space="preserve">C01540</t>
  </si>
  <si>
    <t xml:space="preserve">FORN MONICA S L</t>
  </si>
  <si>
    <t xml:space="preserve">C01570</t>
  </si>
  <si>
    <t xml:space="preserve">FRANCISCO MULA ROBERTO</t>
  </si>
  <si>
    <t xml:space="preserve">C01600</t>
  </si>
  <si>
    <t xml:space="preserve">HAFELI BRIGITTE</t>
  </si>
  <si>
    <t xml:space="preserve">C01620</t>
  </si>
  <si>
    <t xml:space="preserve">MIA EDELTRUDIS JOSEPHINA ZANTMAN</t>
  </si>
  <si>
    <t xml:space="preserve">C01660</t>
  </si>
  <si>
    <t xml:space="preserve">LIEUWE KOOPMANS (2)</t>
  </si>
  <si>
    <t xml:space="preserve">C01670</t>
  </si>
  <si>
    <t xml:space="preserve">COCKTAIL BAR AYAHUMA</t>
  </si>
  <si>
    <t xml:space="preserve">C01720</t>
  </si>
  <si>
    <t xml:space="preserve">AHMED DAHMAN</t>
  </si>
  <si>
    <t xml:space="preserve">C01730</t>
  </si>
  <si>
    <t xml:space="preserve">LORENA ROCIO PAUCAR LÓPEZ</t>
  </si>
  <si>
    <t xml:space="preserve">C01800</t>
  </si>
  <si>
    <t xml:space="preserve">ROY SCHOLTEN</t>
  </si>
  <si>
    <t xml:space="preserve">C01850</t>
  </si>
  <si>
    <t xml:space="preserve">GUILLERMO CHOLBI SART</t>
  </si>
  <si>
    <t xml:space="preserve">C01860</t>
  </si>
  <si>
    <t xml:space="preserve">C01870</t>
  </si>
  <si>
    <t xml:space="preserve">C01880</t>
  </si>
  <si>
    <t xml:space="preserve">ALEJANDRO BOX CANDELA</t>
  </si>
  <si>
    <t xml:space="preserve">C02160</t>
  </si>
  <si>
    <t xml:space="preserve">CASA LILI SL (V)</t>
  </si>
  <si>
    <t xml:space="preserve">C02190</t>
  </si>
  <si>
    <t xml:space="preserve">TAIRÉ VERA</t>
  </si>
  <si>
    <t xml:space="preserve">C02240</t>
  </si>
  <si>
    <t xml:space="preserve">SANDRA GONZALEZ LECHUGA</t>
  </si>
  <si>
    <t xml:space="preserve">C02340</t>
  </si>
  <si>
    <t xml:space="preserve">PRISCILA WELTER CARRASCO</t>
  </si>
  <si>
    <t xml:space="preserve">C02350</t>
  </si>
  <si>
    <t xml:space="preserve">YANIS DAHIANA JIMENEZ JIMENEZ</t>
  </si>
  <si>
    <t xml:space="preserve">C02380</t>
  </si>
  <si>
    <t xml:space="preserve">FORMATGES MÓNICA</t>
  </si>
  <si>
    <t xml:space="preserve">C02400</t>
  </si>
  <si>
    <t xml:space="preserve">MARUJA CHOLBI PUIG</t>
  </si>
  <si>
    <t xml:space="preserve">C02420</t>
  </si>
  <si>
    <t xml:space="preserve">KHALID EL JEBLI</t>
  </si>
  <si>
    <t xml:space="preserve">C02470</t>
  </si>
  <si>
    <t xml:space="preserve">TALLER SENDRA CUELLO, S.L.</t>
  </si>
  <si>
    <t xml:space="preserve">C02510</t>
  </si>
  <si>
    <t xml:space="preserve">ANTONIO LLIDO ESPASA</t>
  </si>
  <si>
    <t xml:space="preserve">C02530</t>
  </si>
  <si>
    <t xml:space="preserve">JUAN SANCHEZ RONDA</t>
  </si>
  <si>
    <t xml:space="preserve">C02540</t>
  </si>
  <si>
    <t xml:space="preserve">TERESA MENGUAL ALBEROLA</t>
  </si>
  <si>
    <t xml:space="preserve">C02610</t>
  </si>
  <si>
    <t xml:space="preserve">VEHICULOS ANDRADA, S.L.</t>
  </si>
  <si>
    <t xml:space="preserve">C02630</t>
  </si>
  <si>
    <t xml:space="preserve">AUTOCENTER MARINA ALTA S.L.</t>
  </si>
  <si>
    <t xml:space="preserve">C02640</t>
  </si>
  <si>
    <t xml:space="preserve">JUAN CARLOS HERNANDEZ MELERO</t>
  </si>
  <si>
    <t xml:space="preserve">C02710</t>
  </si>
  <si>
    <t xml:space="preserve">CASA LILI S.L. AUTOS (EXPOSICIÓN)</t>
  </si>
  <si>
    <t xml:space="preserve">C02740</t>
  </si>
  <si>
    <t xml:space="preserve">FRANCISCO DANIEL GUIJARRO ORTEGA</t>
  </si>
  <si>
    <t xml:space="preserve">C02760</t>
  </si>
  <si>
    <t xml:space="preserve">ISABEL RAMIREZ CAPDEVILA</t>
  </si>
  <si>
    <t xml:space="preserve">C02780</t>
  </si>
  <si>
    <t xml:space="preserve">MARIA PILAR CATALA SANTAMARIA</t>
  </si>
  <si>
    <t xml:space="preserve">C02800</t>
  </si>
  <si>
    <t xml:space="preserve">ABDESLAM LAMRANI</t>
  </si>
  <si>
    <t xml:space="preserve">Iberdrola</t>
  </si>
  <si>
    <t xml:space="preserve">C02820</t>
  </si>
  <si>
    <t xml:space="preserve">C02840</t>
  </si>
  <si>
    <t xml:space="preserve">C02860</t>
  </si>
  <si>
    <t xml:space="preserve">SALVADOR TORRES BISQUERT</t>
  </si>
  <si>
    <t xml:space="preserve">C02920</t>
  </si>
  <si>
    <t xml:space="preserve">JAKUB JAN PICHOLA</t>
  </si>
  <si>
    <t xml:space="preserve">C02930</t>
  </si>
  <si>
    <t xml:space="preserve">UWE HEINZ WERNER SCHMUCK</t>
  </si>
  <si>
    <t xml:space="preserve">C02950</t>
  </si>
  <si>
    <t xml:space="preserve">TALLERES MARTINEZ JAVEA, S.L.</t>
  </si>
  <si>
    <t xml:space="preserve">C02960</t>
  </si>
  <si>
    <t xml:space="preserve">FRANK CLEMENT</t>
  </si>
  <si>
    <t xml:space="preserve">C02970</t>
  </si>
  <si>
    <t xml:space="preserve">SARA HERMINA NIJENHUIJS GREVE</t>
  </si>
  <si>
    <t xml:space="preserve">C02990</t>
  </si>
  <si>
    <t xml:space="preserve">AMARE BOTEGA SL</t>
  </si>
  <si>
    <t xml:space="preserve">C03030</t>
  </si>
  <si>
    <t xml:space="preserve">JUAN MANUEL CAMACHO GONZALEZ</t>
  </si>
  <si>
    <t xml:space="preserve">C03040</t>
  </si>
  <si>
    <t xml:space="preserve">C03050</t>
  </si>
  <si>
    <t xml:space="preserve">JAN ANDERS ANSEHN</t>
  </si>
  <si>
    <t xml:space="preserve">C03060</t>
  </si>
  <si>
    <t xml:space="preserve">MARIA TERESA PONS DEVESA</t>
  </si>
  <si>
    <t xml:space="preserve">C03070</t>
  </si>
  <si>
    <t xml:space="preserve">CONGLI WANG</t>
  </si>
  <si>
    <t xml:space="preserve">C03110</t>
  </si>
  <si>
    <t xml:space="preserve">RUBÉN CAMACHO PATRICIO</t>
  </si>
  <si>
    <t xml:space="preserve">C03130</t>
  </si>
  <si>
    <t xml:space="preserve">MARCELLO RAUCCI</t>
  </si>
  <si>
    <t xml:space="preserve">C03170</t>
  </si>
  <si>
    <t xml:space="preserve">THOMAS CHRISTIAAN GREVE</t>
  </si>
  <si>
    <t xml:space="preserve">C03180</t>
  </si>
  <si>
    <t xml:space="preserve">LERWIN SANTIAGO AVENDAÑO ANDRADE</t>
  </si>
  <si>
    <t xml:space="preserve">C03190</t>
  </si>
  <si>
    <t xml:space="preserve">2 HANDS FULL S.L</t>
  </si>
  <si>
    <t xml:space="preserve">C03210</t>
  </si>
  <si>
    <t xml:space="preserve">VLADIMIR KREMPASKY</t>
  </si>
  <si>
    <t xml:space="preserve">C03220</t>
  </si>
  <si>
    <t xml:space="preserve">EVA ROHRMAN MADOVA</t>
  </si>
  <si>
    <t xml:space="preserve">C03230</t>
  </si>
  <si>
    <t xml:space="preserve">OLDRICH PETRAS</t>
  </si>
  <si>
    <t xml:space="preserve">C03240</t>
  </si>
  <si>
    <t xml:space="preserve">SPAINLIFE AND HOUSES S.L.</t>
  </si>
  <si>
    <t xml:space="preserve">C03250</t>
  </si>
  <si>
    <t xml:space="preserve">C03280</t>
  </si>
  <si>
    <t xml:space="preserve">SOPHIA ROSE WADLE</t>
  </si>
  <si>
    <t xml:space="preserve">C03300</t>
  </si>
  <si>
    <t xml:space="preserve">COMPASS IBERICA 2007 SL</t>
  </si>
  <si>
    <t xml:space="preserve">C03310</t>
  </si>
  <si>
    <t xml:space="preserve">AMANDA APARICI MARTINEZ</t>
  </si>
  <si>
    <t xml:space="preserve">C03320</t>
  </si>
  <si>
    <t xml:space="preserve">ELISABETH M. PAREDES DE QUINTERO</t>
  </si>
  <si>
    <t xml:space="preserve">C03330</t>
  </si>
  <si>
    <t xml:space="preserve">MARIA SOLEDAD ANSOLA ESTRADA</t>
  </si>
  <si>
    <t xml:space="preserve">C03340</t>
  </si>
  <si>
    <t xml:space="preserve">CRISTIAN DAVID BETANCUR BARRERA</t>
  </si>
  <si>
    <t xml:space="preserve">C03350</t>
  </si>
  <si>
    <t xml:space="preserve">SARA BARBERA SOLA</t>
  </si>
  <si>
    <t xml:space="preserve">C03360</t>
  </si>
  <si>
    <t xml:space="preserve">CBDSROLL,S.L.</t>
  </si>
  <si>
    <t xml:space="preserve">C03380</t>
  </si>
  <si>
    <t xml:space="preserve">C03390</t>
  </si>
  <si>
    <t xml:space="preserve">MAGDALENA ORTOLÁ FERRER</t>
  </si>
  <si>
    <t xml:space="preserve">C03400</t>
  </si>
  <si>
    <t xml:space="preserve">ZISKO SLAVOMIR</t>
  </si>
  <si>
    <t xml:space="preserve">C03430</t>
  </si>
  <si>
    <t xml:space="preserve">MARIA DEL MAR FERRANDO GUILLEM</t>
  </si>
  <si>
    <t xml:space="preserve">C03440</t>
  </si>
  <si>
    <t xml:space="preserve">DIEGO BARQUERO PEREZ</t>
  </si>
  <si>
    <t xml:space="preserve">C03450</t>
  </si>
  <si>
    <t xml:space="preserve">RADEK ERBEN</t>
  </si>
  <si>
    <t xml:space="preserve">C03460</t>
  </si>
  <si>
    <t xml:space="preserve">SILVIA KREMPASKA</t>
  </si>
  <si>
    <t xml:space="preserve">C03470</t>
  </si>
  <si>
    <t xml:space="preserve">C03480</t>
  </si>
  <si>
    <t xml:space="preserve">MICHAL GLOSIK</t>
  </si>
  <si>
    <t xml:space="preserve">C00760</t>
  </si>
  <si>
    <t xml:space="preserve">VALIDACIÓN FACTURAS 2.0TD · abril 2026 · margen objetivo ▶</t>
  </si>
  <si>
    <t xml:space="preserve">APROBAR ≥ objetivo · REVISAR 20–30% · RECHAZAR &lt;20%   |   PC ámbar = provisional, editable</t>
  </si>
  <si>
    <t xml:space="preserve">Factura 8550 · C02150 · FUNDACIÓN FSU PROGRAMAS INTERNACIONALES</t>
  </si>
  <si>
    <t xml:space="preserve">ES0021000020111640FT · Naturgy · 01/04/26 a 30/04/26</t>
  </si>
  <si>
    <t xml:space="preserve">HISTÓRICO DEL CUPS · HOJA TTVA LUZ</t>
  </si>
  <si>
    <t xml:space="preserve">Concepto</t>
  </si>
  <si>
    <t xml:space="preserve">PENDIENTE (sin registrar)</t>
  </si>
  <si>
    <t xml:space="preserve">MES ANTERIOR · Fact.6304</t>
  </si>
  <si>
    <t xml:space="preserve">AÑO ANTERIOR · Fact.4583</t>
  </si>
  <si>
    <t xml:space="preserve">Cobrado total: 2.436 €</t>
  </si>
  <si>
    <t xml:space="preserve">Cant</t>
  </si>
  <si>
    <t xml:space="preserve">Días</t>
  </si>
  <si>
    <t xml:space="preserve">PC real</t>
  </si>
  <si>
    <t xml:space="preserve">PV</t>
  </si>
  <si>
    <t xml:space="preserve">Importe</t>
  </si>
  <si>
    <t xml:space="preserve">Pagado total: 1.753 €</t>
  </si>
  <si>
    <t xml:space="preserve">P1 Potencia</t>
  </si>
  <si>
    <t xml:space="preserve">DIF: 682 €  ·  Margen hist.: 28.0%</t>
  </si>
  <si>
    <t xml:space="preserve">P2 Potencia</t>
  </si>
  <si>
    <t xml:space="preserve">Importe mensual cobrado (€) · 24 meses ▾</t>
  </si>
  <si>
    <t xml:space="preserve">P1 Energía</t>
  </si>
  <si>
    <t xml:space="preserve">Peor mes: 2024-08 · 66 €</t>
  </si>
  <si>
    <t xml:space="preserve">P2 Energía</t>
  </si>
  <si>
    <t xml:space="preserve">P3 Energía</t>
  </si>
  <si>
    <t xml:space="preserve">Alquiler contador</t>
  </si>
  <si>
    <t xml:space="preserve">Bono social</t>
  </si>
  <si>
    <t xml:space="preserve">Tasa eléctrica</t>
  </si>
  <si>
    <t xml:space="preserve">TOTAL c/IVA</t>
  </si>
  <si>
    <t xml:space="preserve">MARGEN sin registrar</t>
  </si>
  <si>
    <t xml:space="preserve">Factura 8551 · C02140 · FUNDACIÓN FSU PROGRAMAS INTERNACIONALES</t>
  </si>
  <si>
    <t xml:space="preserve">ES0021000008997145KW · Naturgy · 01/04/26 a 30/04/26</t>
  </si>
  <si>
    <t xml:space="preserve">MES ANTERIOR · Fact.6308</t>
  </si>
  <si>
    <t xml:space="preserve">AÑO ANTERIOR · Fact.4584</t>
  </si>
  <si>
    <t xml:space="preserve">Cobrado total: 2.120 €</t>
  </si>
  <si>
    <t xml:space="preserve">Pagado total: 1.617 €</t>
  </si>
  <si>
    <t xml:space="preserve">DIF: 503 €  ·  Margen hist.: 23.7%</t>
  </si>
  <si>
    <t xml:space="preserve">Peor mes: 2024-08 · 84 €</t>
  </si>
  <si>
    <t xml:space="preserve">Factura 8552 · C02130 · FUNDACIÓN FSU PROGRAMAS INTERNACIONALES</t>
  </si>
  <si>
    <t xml:space="preserve">ES0021000012268833JD · Naturgy · 01/04/26 a 30/04/26</t>
  </si>
  <si>
    <t xml:space="preserve">MES ANTERIOR · Fact.6311</t>
  </si>
  <si>
    <t xml:space="preserve">AÑO ANTERIOR · Fact.4585</t>
  </si>
  <si>
    <t xml:space="preserve">Cobrado total: 3.194 €</t>
  </si>
  <si>
    <t xml:space="preserve">Pagado total: 2.235 €</t>
  </si>
  <si>
    <t xml:space="preserve">DIF: 960 €  ·  Margen hist.: 30.0%</t>
  </si>
  <si>
    <t xml:space="preserve">Peor mes: 2024-08 · 129 €</t>
  </si>
  <si>
    <t xml:space="preserve">Factura 8553 · C02120 · FUNDACIÓN FSU PROGRAMAS INTERNACIONALES</t>
  </si>
  <si>
    <t xml:space="preserve">ES0021000012268831JF · Naturgy · 01/04/26 a 30/04/26</t>
  </si>
  <si>
    <t xml:space="preserve">MES ANTERIOR · Fact.6314</t>
  </si>
  <si>
    <t xml:space="preserve">AÑO ANTERIOR · Fact.4586</t>
  </si>
  <si>
    <t xml:space="preserve">Cobrado total: 2.606 €</t>
  </si>
  <si>
    <t xml:space="preserve">Pagado total: 1.842 €</t>
  </si>
  <si>
    <t xml:space="preserve">DIF: 764 €  ·  Margen hist.: 29.3%</t>
  </si>
  <si>
    <t xml:space="preserve">Peor mes: 2024-08 · 116 €</t>
  </si>
  <si>
    <t xml:space="preserve">Factura 8554 · C02110 · FUNDACIÓN FSU PROGRAMAS INTERNACIONALES</t>
  </si>
  <si>
    <t xml:space="preserve">ES0021000012268829JM · Naturgy · 01/04/26 a 30/04/26</t>
  </si>
  <si>
    <t xml:space="preserve">MES ANTERIOR · Fact.6312</t>
  </si>
  <si>
    <t xml:space="preserve">AÑO ANTERIOR · Fact.4587</t>
  </si>
  <si>
    <t xml:space="preserve">Cobrado total: 5.249 €</t>
  </si>
  <si>
    <t xml:space="preserve">Pagado total: 3.622 €</t>
  </si>
  <si>
    <t xml:space="preserve">DIF: 1.627 €  ·  Margen hist.: 31.0%</t>
  </si>
  <si>
    <t xml:space="preserve">Peor mes: 2024-11 · 187 €</t>
  </si>
  <si>
    <t xml:space="preserve">Factura 8555 · C02100 · FUNDACIÓN FSU PROGRAMAS INTERNACIONALES</t>
  </si>
  <si>
    <t xml:space="preserve">ES0021000012268826JW · Naturgy · 01/04/26 a 30/04/26</t>
  </si>
  <si>
    <t xml:space="preserve">MES ANTERIOR · Fact.6313</t>
  </si>
  <si>
    <t xml:space="preserve">AÑO ANTERIOR · Fact.4588</t>
  </si>
  <si>
    <t xml:space="preserve">Cobrado total: 1.842 €</t>
  </si>
  <si>
    <t xml:space="preserve">Pagado total: 1.285 €</t>
  </si>
  <si>
    <t xml:space="preserve">DIF: 557 €  ·  Margen hist.: 30.2%</t>
  </si>
  <si>
    <t xml:space="preserve">Peor mes: 2024-11 · 76 €</t>
  </si>
  <si>
    <t xml:space="preserve">Factura 8556 · C02090 · FUNDACIÓN FSU PROGRAMAS INTERNACIONALES</t>
  </si>
  <si>
    <t xml:space="preserve">ES0021000012268828JG · Naturgy · 01/04/26 a 30/04/26</t>
  </si>
  <si>
    <t xml:space="preserve">MES ANTERIOR · Fact.6306</t>
  </si>
  <si>
    <t xml:space="preserve">AÑO ANTERIOR · Fact.4589</t>
  </si>
  <si>
    <t xml:space="preserve">Cobrado total: 2.954 €</t>
  </si>
  <si>
    <t xml:space="preserve">Pagado total: 2.099 €</t>
  </si>
  <si>
    <t xml:space="preserve">DIF: 855 €  ·  Margen hist.: 28.9%</t>
  </si>
  <si>
    <t xml:space="preserve">Peor mes: 2024-11 · 92 €</t>
  </si>
  <si>
    <t xml:space="preserve">Factura 8557 · C02080 · FUNDACIÓN FSU PROGRAMAS INTERNACIONALES</t>
  </si>
  <si>
    <t xml:space="preserve">ES0021000012268825JR · Naturgy · 01/04/26 a 30/04/26</t>
  </si>
  <si>
    <t xml:space="preserve">MES ANTERIOR · Fact.6303</t>
  </si>
  <si>
    <t xml:space="preserve">AÑO ANTERIOR · Fact.4590</t>
  </si>
  <si>
    <t xml:space="preserve">Factura 8558 · C02060 · FUNDACIÓN FSU PROGRAMAS INTERNACIONALES</t>
  </si>
  <si>
    <t xml:space="preserve">ES0021000008997147KG · Naturgy · 01/04/26 a 30/04/26</t>
  </si>
  <si>
    <t xml:space="preserve">MES ANTERIOR · Fact.6307</t>
  </si>
  <si>
    <t xml:space="preserve">AÑO ANTERIOR · Fact.4591</t>
  </si>
  <si>
    <t xml:space="preserve">Cobrado total: 3.233 €</t>
  </si>
  <si>
    <t xml:space="preserve">Pagado total: 2.286 €</t>
  </si>
  <si>
    <t xml:space="preserve">DIF: 947 €  ·  Margen hist.: 29.3%</t>
  </si>
  <si>
    <t xml:space="preserve">Peor mes: 2024-08 · 71 €</t>
  </si>
  <si>
    <t xml:space="preserve">Factura 8559 · C02040 · FUNDACIÓN FSU PROGRAMAS INTERNACIONALES</t>
  </si>
  <si>
    <t xml:space="preserve">ES0021000009023658TL · Naturgy · 01/04/26 a 30/04/26</t>
  </si>
  <si>
    <t xml:space="preserve">MES ANTERIOR · Fact.6315</t>
  </si>
  <si>
    <t xml:space="preserve">AÑO ANTERIOR · Fact.4592</t>
  </si>
  <si>
    <t xml:space="preserve">Cobrado total: 990 €</t>
  </si>
  <si>
    <t xml:space="preserve">Pagado total: 662 €</t>
  </si>
  <si>
    <t xml:space="preserve">DIF: 328 €  ·  Margen hist.: 33.1%</t>
  </si>
  <si>
    <t xml:space="preserve">Peor mes: 2024-08 · 59 €</t>
  </si>
  <si>
    <t xml:space="preserve">Factura 8560 · C02030 · FUNDACIÓN FSU PROGRAMAS INTERNACIONALES</t>
  </si>
  <si>
    <t xml:space="preserve">ES0021000009023659TC · Naturgy · 01/04/26 a 30/04/26</t>
  </si>
  <si>
    <t xml:space="preserve">MES ANTERIOR · Fact.6309</t>
  </si>
  <si>
    <t xml:space="preserve">AÑO ANTERIOR · Fact.4593</t>
  </si>
  <si>
    <t xml:space="preserve">Cobrado total: 837 €</t>
  </si>
  <si>
    <t xml:space="preserve">Pagado total: 629 €</t>
  </si>
  <si>
    <t xml:space="preserve">DIF: 208 €  ·  Margen hist.: 24.8%</t>
  </si>
  <si>
    <t xml:space="preserve">Peor mes: 2024-11 · 53 €</t>
  </si>
  <si>
    <t xml:space="preserve">Factura 8561 · C02020 · FUNDACIÓN FSU PROGRAMAS INTERNACIONALES</t>
  </si>
  <si>
    <t xml:space="preserve">ES0021000008997146KA · Naturgy · 01/04/26 a 30/04/26</t>
  </si>
  <si>
    <t xml:space="preserve">MES ANTERIOR · Fact.6310</t>
  </si>
  <si>
    <t xml:space="preserve">AÑO ANTERIOR · Fact.4594</t>
  </si>
  <si>
    <t xml:space="preserve">Cobrado total: 3.103 €</t>
  </si>
  <si>
    <t xml:space="preserve">Pagado total: 2.178 €</t>
  </si>
  <si>
    <t xml:space="preserve">DIF: 925 €  ·  Margen hist.: 29.8%</t>
  </si>
  <si>
    <t xml:space="preserve">Peor mes: 2024-08 · 117 €</t>
  </si>
  <si>
    <t xml:space="preserve">Factura 8562 · C01970 · FUNDACIÓN FSU PROGRAMAS INTERNACIONALES</t>
  </si>
  <si>
    <t xml:space="preserve">ES0021000020111637YC · Naturgy · 01/04/26 a 30/04/26</t>
  </si>
  <si>
    <t xml:space="preserve">MES ANTERIOR · Fact.6305</t>
  </si>
  <si>
    <t xml:space="preserve">AÑO ANTERIOR · Fact.4596</t>
  </si>
  <si>
    <t xml:space="preserve">Cobrado total: 2.843 €</t>
  </si>
  <si>
    <t xml:space="preserve">Pagado total: 2.004 €</t>
  </si>
  <si>
    <t xml:space="preserve">DIF: 839 €  ·  Margen hist.: 29.5%</t>
  </si>
  <si>
    <t xml:space="preserve">Peor mes: 2024-08 · 75 €</t>
  </si>
  <si>
    <t xml:space="preserve">Factura 8563 · C01960 · FUNDACIÓN FSU PROGRAMAS INTERNACIONALES</t>
  </si>
  <si>
    <t xml:space="preserve">ES0021000020111638YK · Naturgy · 01/04/26 a 30/04/26</t>
  </si>
  <si>
    <t xml:space="preserve">MES ANTERIOR · Fact.6301</t>
  </si>
  <si>
    <t xml:space="preserve">AÑO ANTERIOR · Fact.4597</t>
  </si>
  <si>
    <t xml:space="preserve">Cobrado total: 3.731 €</t>
  </si>
  <si>
    <t xml:space="preserve">Pagado total: 2.535 €</t>
  </si>
  <si>
    <t xml:space="preserve">DIF: 1.196 €  ·  Margen hist.: 32.1%</t>
  </si>
  <si>
    <t xml:space="preserve">Peor mes: 2024-08 · 83 €</t>
  </si>
  <si>
    <t xml:space="preserve">Factura 8568 · C01400 · CHRISTOPH BLUME</t>
  </si>
  <si>
    <t xml:space="preserve">ES0021000001274226LT · Naturgy · 01/04/26 a 30/04/26</t>
  </si>
  <si>
    <t xml:space="preserve">MES ANTERIOR · Fact.6421</t>
  </si>
  <si>
    <t xml:space="preserve">AÑO ANTERIOR · Fact.4625</t>
  </si>
  <si>
    <t xml:space="preserve">Cobrado total: 2.281 €</t>
  </si>
  <si>
    <t xml:space="preserve">Pagado total: 1.589 €</t>
  </si>
  <si>
    <t xml:space="preserve">DIF: 691 €  ·  Margen hist.: 30.3%</t>
  </si>
  <si>
    <t xml:space="preserve">Peor mes: 2023-07 · 20 €</t>
  </si>
  <si>
    <t xml:space="preserve">☀ EXCEDENTES SOLARES (kWh vertidos reales)</t>
  </si>
  <si>
    <t xml:space="preserve">kWh</t>
  </si>
  <si>
    <t xml:space="preserve">€/kWh compra</t>
  </si>
  <si>
    <t xml:space="preserve">€/kWh venta</t>
  </si>
  <si>
    <t xml:space="preserve">Compra excedentes (vertido red)</t>
  </si>
  <si>
    <t xml:space="preserve">Venta cliente (saldo batería, 1043)</t>
  </si>
  <si>
    <t xml:space="preserve">NETO Transactiva (compra − venta)</t>
  </si>
  <si>
    <t xml:space="preserve">Factura 8569 · C02560 · PEDRO IVARS TRO 2018, S.L.</t>
  </si>
  <si>
    <t xml:space="preserve">ES0021000000959128GW · Naturgy · 01/04/26 a 30/04/26</t>
  </si>
  <si>
    <t xml:space="preserve">MES ANTERIOR · Fact.6376</t>
  </si>
  <si>
    <t xml:space="preserve">AÑO ANTERIOR · Fact.4564</t>
  </si>
  <si>
    <t xml:space="preserve">Cobrado total: 453 €</t>
  </si>
  <si>
    <t xml:space="preserve">Pagado total: 293 €</t>
  </si>
  <si>
    <t xml:space="preserve">DIF: 160 €  ·  Margen hist.: 35.4%</t>
  </si>
  <si>
    <t xml:space="preserve">Peor mes: 2024-11 · 160 €</t>
  </si>
  <si>
    <t xml:space="preserve">Factura 8570 · C02680 · ALVARO DAVID OCHOA BIOSCA</t>
  </si>
  <si>
    <t xml:space="preserve">ES0021000001213790JP · Naturgy · 01/04/26 a 30/04/26</t>
  </si>
  <si>
    <t xml:space="preserve">MES ANTERIOR · Fact.6369</t>
  </si>
  <si>
    <t xml:space="preserve">AÑO ANTERIOR · Fact.4557</t>
  </si>
  <si>
    <t xml:space="preserve">Cobrado total: 3 €</t>
  </si>
  <si>
    <t xml:space="preserve">Pagado total: 0 €</t>
  </si>
  <si>
    <t xml:space="preserve">DIF: 3 €  ·  Margen hist.: 100.0%</t>
  </si>
  <si>
    <t xml:space="preserve">Factura 8571 · C00700 · ELEEN VELTHOVEN</t>
  </si>
  <si>
    <t xml:space="preserve">ES0021000000824899XR · Naturgy · 01/04/26 a 30/04/26</t>
  </si>
  <si>
    <t xml:space="preserve">MES ANTERIOR · Fact.6446</t>
  </si>
  <si>
    <t xml:space="preserve">AÑO ANTERIOR · Fact.4650</t>
  </si>
  <si>
    <t xml:space="preserve">Cobrado total: 1.674 €</t>
  </si>
  <si>
    <t xml:space="preserve">Pagado total: 1.341 €</t>
  </si>
  <si>
    <t xml:space="preserve">DIF: 333 €  ·  Margen hist.: 19.9%</t>
  </si>
  <si>
    <t xml:space="preserve">Peor mes: 2024-05 · 25 €</t>
  </si>
  <si>
    <t xml:space="preserve">Factura 8572 · C01280 · Mª ISABEL HEVIA TENA</t>
  </si>
  <si>
    <t xml:space="preserve">ES0021000000820395KM · Naturgy · 01/04/26 a 30/04/26</t>
  </si>
  <si>
    <t xml:space="preserve">MES ANTERIOR · Fact.6427</t>
  </si>
  <si>
    <t xml:space="preserve">AÑO ANTERIOR · Fact.4631</t>
  </si>
  <si>
    <t xml:space="preserve">Cobrado total: 2.373 €</t>
  </si>
  <si>
    <t xml:space="preserve">Pagado total: 1.643 €</t>
  </si>
  <si>
    <t xml:space="preserve">DIF: 730 €  ·  Margen hist.: 30.8%</t>
  </si>
  <si>
    <t xml:space="preserve">Peor mes: 2023-04 · 27 €</t>
  </si>
  <si>
    <t xml:space="preserve">Factura 8573 · C01990 · GERRIT JONGEJAN</t>
  </si>
  <si>
    <t xml:space="preserve">ES0021000000821181DD · Naturgy · 01/04/26 a 30/04/26</t>
  </si>
  <si>
    <t xml:space="preserve">MES ANTERIOR · Fact.6393</t>
  </si>
  <si>
    <t xml:space="preserve">AÑO ANTERIOR · Fact.4595</t>
  </si>
  <si>
    <t xml:space="preserve">Cobrado total: 609 €</t>
  </si>
  <si>
    <t xml:space="preserve">Pagado total: 577 €</t>
  </si>
  <si>
    <t xml:space="preserve">DIF: 33 €  ·  Margen hist.: 5.4%</t>
  </si>
  <si>
    <t xml:space="preserve">Peor mes: 2024-02 · 12 €</t>
  </si>
  <si>
    <t xml:space="preserve">Factura 8574 · C03260 · MICHAL CUKAN</t>
  </si>
  <si>
    <t xml:space="preserve">ES0021000042994597FG · Naturgy · 01/04/26 a 30/04/26</t>
  </si>
  <si>
    <t xml:space="preserve">MES ANTERIOR · Fact.6332</t>
  </si>
  <si>
    <t xml:space="preserve">AÑO ANTERIOR · (sin dato)</t>
  </si>
  <si>
    <t xml:space="preserve">Cobrado total: 1 €</t>
  </si>
  <si>
    <t xml:space="preserve">DIF: 1 €  ·  Margen hist.: 100.0%</t>
  </si>
  <si>
    <t xml:space="preserve">Factura 8575 · C01140 · DESIRÉ ANNA GUSTAAF SCHUTTER</t>
  </si>
  <si>
    <t xml:space="preserve">ES0021000000845315TQ · Naturgy · 01/04/26 a 30/04/26</t>
  </si>
  <si>
    <t xml:space="preserve">MES ANTERIOR · Fact.6434</t>
  </si>
  <si>
    <t xml:space="preserve">AÑO ANTERIOR · Fact.4637</t>
  </si>
  <si>
    <t xml:space="preserve">Cobrado total: 1.317 €</t>
  </si>
  <si>
    <t xml:space="preserve">Pagado total: 980 €</t>
  </si>
  <si>
    <t xml:space="preserve">DIF: 336 €  ·  Margen hist.: 25.6%</t>
  </si>
  <si>
    <t xml:space="preserve">Peor mes: 2024-07 · 17 €</t>
  </si>
  <si>
    <t xml:space="preserve">Factura 8579 · C01350 · CORDULA PETERS</t>
  </si>
  <si>
    <t xml:space="preserve">ES0021000000841859BX · Naturgy · 01/04/26 a 30/04/26</t>
  </si>
  <si>
    <t xml:space="preserve">MES ANTERIOR · Fact.6423</t>
  </si>
  <si>
    <t xml:space="preserve">AÑO ANTERIOR · Fact.4627</t>
  </si>
  <si>
    <t xml:space="preserve">Cobrado total: 639 €</t>
  </si>
  <si>
    <t xml:space="preserve">Pagado total: 638 €</t>
  </si>
  <si>
    <t xml:space="preserve">DIF: 0 €  ·  Margen hist.: 0.0%</t>
  </si>
  <si>
    <t xml:space="preserve">Peor mes: 2024-06 · 3 €</t>
  </si>
  <si>
    <t xml:space="preserve">Factura 8580 · C00060 · HV LUXO SA</t>
  </si>
  <si>
    <t xml:space="preserve">ES0021000001208122LK · Naturgy · 01/04/26 a 30/04/26</t>
  </si>
  <si>
    <t xml:space="preserve">MES ANTERIOR · Fact.6461</t>
  </si>
  <si>
    <t xml:space="preserve">AÑO ANTERIOR · Fact.4663</t>
  </si>
  <si>
    <t xml:space="preserve">Cobrado total: 1.556 €</t>
  </si>
  <si>
    <t xml:space="preserve">Pagado total: 821 €</t>
  </si>
  <si>
    <t xml:space="preserve">DIF: 736 €  ·  Margen hist.: 47.3%</t>
  </si>
  <si>
    <t xml:space="preserve">Peor mes: 2024-06 · 7 €</t>
  </si>
  <si>
    <t xml:space="preserve">Factura 8581 ·  · MANUEL GARCÍA DEL VALLE CARLOS-ROCA</t>
  </si>
  <si>
    <t xml:space="preserve">ES0022000007974829ZA · Naturgy · 01/04/26 a 30/04/26</t>
  </si>
  <si>
    <t xml:space="preserve">MES ANTERIOR · Fact.6438</t>
  </si>
  <si>
    <t xml:space="preserve">AÑO ANTERIOR · Fact.4792</t>
  </si>
  <si>
    <t xml:space="preserve">Cobrado total: 3.463 €</t>
  </si>
  <si>
    <t xml:space="preserve">Pagado total: 2.847 €</t>
  </si>
  <si>
    <t xml:space="preserve">DIF: 616 €  ·  Margen hist.: 17.8%</t>
  </si>
  <si>
    <t xml:space="preserve">Peor mes: 2024-06 · 93 €</t>
  </si>
  <si>
    <t xml:space="preserve">Factura 8584 · C00040 · Mª ROSARIO ORTOLÁ FERRER</t>
  </si>
  <si>
    <t xml:space="preserve">ES0021000000827846TG · Naturgy · 01/04/26 a 30/04/26</t>
  </si>
  <si>
    <t xml:space="preserve">MES ANTERIOR · Fact.6463</t>
  </si>
  <si>
    <t xml:space="preserve">AÑO ANTERIOR · Fact.4665</t>
  </si>
  <si>
    <t xml:space="preserve">Cobrado total: 10.841 €</t>
  </si>
  <si>
    <t xml:space="preserve">Pagado total: 6.963 €</t>
  </si>
  <si>
    <t xml:space="preserve">DIF: 3.878 €  ·  Margen hist.: 35.8%</t>
  </si>
  <si>
    <t xml:space="preserve">Peor mes: 2024-01 · 205 €</t>
  </si>
  <si>
    <t xml:space="preserve">⚠ periodo parcial 01-24abr</t>
  </si>
  <si>
    <t xml:space="preserve">Factura 8585 · C00050 · HELADOS ESPI</t>
  </si>
  <si>
    <t xml:space="preserve">ES0021000001210794KW · Naturgy · 01/04/26 a 30/04/26</t>
  </si>
  <si>
    <t xml:space="preserve">MES ANTERIOR · Fact.6462</t>
  </si>
  <si>
    <t xml:space="preserve">AÑO ANTERIOR · Fact.4664</t>
  </si>
  <si>
    <t xml:space="preserve">Cobrado total: 5.331 €</t>
  </si>
  <si>
    <t xml:space="preserve">Pagado total: 3.726 €</t>
  </si>
  <si>
    <t xml:space="preserve">DIF: 1.605 €  ·  Margen hist.: 30.1%</t>
  </si>
  <si>
    <t xml:space="preserve">Peor mes: 2024-02 · 22 €</t>
  </si>
  <si>
    <t xml:space="preserve">Factura 8586 · C00060 · HV LUXO SA</t>
  </si>
  <si>
    <t xml:space="preserve">Factura 8588 · C00100 · CRISTINA MARÍA FALCÓN ESCALONA</t>
  </si>
  <si>
    <t xml:space="preserve">ES0021000001206049KH · Naturgy · 01/04/26 a 30/04/26</t>
  </si>
  <si>
    <t xml:space="preserve">MES ANTERIOR · Fact.6459</t>
  </si>
  <si>
    <t xml:space="preserve">AÑO ANTERIOR · Fact.4662</t>
  </si>
  <si>
    <t xml:space="preserve">Cobrado total: 1.874 €</t>
  </si>
  <si>
    <t xml:space="preserve">Pagado total: 998 €</t>
  </si>
  <si>
    <t xml:space="preserve">DIF: 876 €  ·  Margen hist.: 46.8%</t>
  </si>
  <si>
    <t xml:space="preserve">Peor mes: 2023-08 · 56 €</t>
  </si>
  <si>
    <t xml:space="preserve">Factura 8589 · C00120 · STEPHEN RICHARD ROBINSON</t>
  </si>
  <si>
    <t xml:space="preserve">ES0021000021936589WZ · Naturgy · 01/04/26 a 30/04/26</t>
  </si>
  <si>
    <t xml:space="preserve">MES ANTERIOR · Fact.6458</t>
  </si>
  <si>
    <t xml:space="preserve">AÑO ANTERIOR · Fact.4661</t>
  </si>
  <si>
    <t xml:space="preserve">Cobrado total: 3.583 €</t>
  </si>
  <si>
    <t xml:space="preserve">Pagado total: 2.438 €</t>
  </si>
  <si>
    <t xml:space="preserve">DIF: 1.146 €  ·  Margen hist.: 32.0%</t>
  </si>
  <si>
    <t xml:space="preserve">Peor mes: 2024-08 · 60 €</t>
  </si>
  <si>
    <t xml:space="preserve">Factura 8590 · C00130 · BIO JARDINSOSTENIBLE, S.L.U.</t>
  </si>
  <si>
    <t xml:space="preserve">ES0021000001209135VE · Naturgy · 01/04/26 a 30/04/26</t>
  </si>
  <si>
    <t xml:space="preserve">MES ANTERIOR · Fact.6457</t>
  </si>
  <si>
    <t xml:space="preserve">AÑO ANTERIOR · Fact.4660</t>
  </si>
  <si>
    <t xml:space="preserve">Cobrado total: 3.449 €</t>
  </si>
  <si>
    <t xml:space="preserve">Pagado total: 1.967 €</t>
  </si>
  <si>
    <t xml:space="preserve">DIF: 1.482 €  ·  Margen hist.: 43.0%</t>
  </si>
  <si>
    <t xml:space="preserve">Peor mes: 2023-03 · 84 €</t>
  </si>
  <si>
    <t xml:space="preserve">Factura 8593 · C00270 · CLAUDE JOSÉ GOFFINET</t>
  </si>
  <si>
    <t xml:space="preserve">ES0021000001208140CQ · Naturgy · 01/04/26 a 30/04/26</t>
  </si>
  <si>
    <t xml:space="preserve">MES ANTERIOR · Fact.6454</t>
  </si>
  <si>
    <t xml:space="preserve">AÑO ANTERIOR · Fact.4657</t>
  </si>
  <si>
    <t xml:space="preserve">Cobrado total: 4.468 €</t>
  </si>
  <si>
    <t xml:space="preserve">Pagado total: 2.413 €</t>
  </si>
  <si>
    <t xml:space="preserve">DIF: 2.055 €  ·  Margen hist.: 46.0%</t>
  </si>
  <si>
    <t xml:space="preserve">Peor mes: 2023-04 · 67 €</t>
  </si>
  <si>
    <t xml:space="preserve">Factura 8594 · C00310 · MICHAEL BALMER</t>
  </si>
  <si>
    <t xml:space="preserve">ES0021000001498936ZT · Naturgy · 01/04/26 a 30/04/26</t>
  </si>
  <si>
    <t xml:space="preserve">MES ANTERIOR · Fact.6453</t>
  </si>
  <si>
    <t xml:space="preserve">Cobrado total: 1.087 €</t>
  </si>
  <si>
    <t xml:space="preserve">Pagado total: 533 €</t>
  </si>
  <si>
    <t xml:space="preserve">DIF: 554 €  ·  Margen hist.: 51.0%</t>
  </si>
  <si>
    <t xml:space="preserve">Peor mes: 2023-02 · 23 €</t>
  </si>
  <si>
    <t xml:space="preserve">Factura 8597 · C00410 · VALENTINA BARCA</t>
  </si>
  <si>
    <t xml:space="preserve">ES0021000001215730MQ · Naturgy · 01/04/26 a 30/04/26</t>
  </si>
  <si>
    <t xml:space="preserve">MES ANTERIOR · Fact.6450</t>
  </si>
  <si>
    <t xml:space="preserve">AÑO ANTERIOR · Fact.4654</t>
  </si>
  <si>
    <t xml:space="preserve">Cobrado total: 3.174 €</t>
  </si>
  <si>
    <t xml:space="preserve">Pagado total: 1.935 €</t>
  </si>
  <si>
    <t xml:space="preserve">DIF: 1.239 €  ·  Margen hist.: 39.0%</t>
  </si>
  <si>
    <t xml:space="preserve">Peor mes: 2024-05 · 74 €</t>
  </si>
  <si>
    <t xml:space="preserve">Factura 8599 · C00540 · PEDRO CAÑADAS FERNANDEZ</t>
  </si>
  <si>
    <t xml:space="preserve">ES0021000011666174FL · Naturgy · 01/04/26 a 30/04/26</t>
  </si>
  <si>
    <t xml:space="preserve">MES ANTERIOR · Fact.6448</t>
  </si>
  <si>
    <t xml:space="preserve">AÑO ANTERIOR · Fact.4652</t>
  </si>
  <si>
    <t xml:space="preserve">Cobrado total: 910 €</t>
  </si>
  <si>
    <t xml:space="preserve">Pagado total: 648 €</t>
  </si>
  <si>
    <t xml:space="preserve">DIF: 263 €  ·  Margen hist.: 28.8%</t>
  </si>
  <si>
    <t xml:space="preserve">Factura 8600 · C00670 · CARLOS A. GAVILANES PAUCAR</t>
  </si>
  <si>
    <t xml:space="preserve">ES0021000039192179PS · Naturgy · 01/04/26 a 30/04/26</t>
  </si>
  <si>
    <t xml:space="preserve">MES ANTERIOR · Fact.6447</t>
  </si>
  <si>
    <t xml:space="preserve">AÑO ANTERIOR · Fact.4651</t>
  </si>
  <si>
    <t xml:space="preserve">Cobrado total: 5.027 €</t>
  </si>
  <si>
    <t xml:space="preserve">Pagado total: 2.840 €</t>
  </si>
  <si>
    <t xml:space="preserve">DIF: 2.188 €  ·  Margen hist.: 43.5%</t>
  </si>
  <si>
    <t xml:space="preserve">Peor mes: 2023-11 · 157 €</t>
  </si>
  <si>
    <t xml:space="preserve">Factura 8601 · C00700 · ELEEN VELTHOVEN</t>
  </si>
  <si>
    <t xml:space="preserve">Factura 8604 · C00780 · MONTGO SEGURIDAD, S.L.</t>
  </si>
  <si>
    <t xml:space="preserve">ES0021000011513513VD · Naturgy · 01/04/26 a 30/04/26</t>
  </si>
  <si>
    <t xml:space="preserve">MES ANTERIOR · Fact.6442</t>
  </si>
  <si>
    <t xml:space="preserve">AÑO ANTERIOR · Fact.4646</t>
  </si>
  <si>
    <t xml:space="preserve">Cobrado total: 1.104 €</t>
  </si>
  <si>
    <t xml:space="preserve">Pagado total: 1.002 €</t>
  </si>
  <si>
    <t xml:space="preserve">DIF: 101 €  ·  Margen hist.: 9.2%</t>
  </si>
  <si>
    <t xml:space="preserve">Peor mes: 2024-08 · 1 €</t>
  </si>
  <si>
    <t xml:space="preserve">Factura 8605 · C00820 · JAIME VIVES LADRÓN DE GUEVARA</t>
  </si>
  <si>
    <t xml:space="preserve">ES0021000013325188XC · Naturgy · 01/04/26 a 30/04/26</t>
  </si>
  <si>
    <t xml:space="preserve">MES ANTERIOR · Fact.6441</t>
  </si>
  <si>
    <t xml:space="preserve">AÑO ANTERIOR · Fact.4645</t>
  </si>
  <si>
    <t xml:space="preserve">Cobrado total: 1.904 €</t>
  </si>
  <si>
    <t xml:space="preserve">Pagado total: 1.201 €</t>
  </si>
  <si>
    <t xml:space="preserve">DIF: 704 €  ·  Margen hist.: 37.0%</t>
  </si>
  <si>
    <t xml:space="preserve">Factura 8606 · C00910 · PATRICE HERNEST HECQ</t>
  </si>
  <si>
    <t xml:space="preserve">ES0021000001218582ZQ · Naturgy · 01/04/26 a 30/04/26</t>
  </si>
  <si>
    <t xml:space="preserve">MES ANTERIOR · Fact.6440</t>
  </si>
  <si>
    <t xml:space="preserve">AÑO ANTERIOR · Fact.4644</t>
  </si>
  <si>
    <t xml:space="preserve">Cobrado total: 1.467 €</t>
  </si>
  <si>
    <t xml:space="preserve">Pagado total: 784 €</t>
  </si>
  <si>
    <t xml:space="preserve">DIF: 682 €  ·  Margen hist.: 46.5%</t>
  </si>
  <si>
    <t xml:space="preserve">Peor mes: 2024-05 · 7 €</t>
  </si>
  <si>
    <t xml:space="preserve">Factura 8607 · C00940 · ANDRE DOUTREVAL</t>
  </si>
  <si>
    <t xml:space="preserve">ES0021000001199725EL · Naturgy · 01/04/26 a 30/04/26</t>
  </si>
  <si>
    <t xml:space="preserve">MES ANTERIOR · Fact.6439</t>
  </si>
  <si>
    <t xml:space="preserve">AÑO ANTERIOR · Fact.4643</t>
  </si>
  <si>
    <t xml:space="preserve">Cobrado total: 2.318 €</t>
  </si>
  <si>
    <t xml:space="preserve">Pagado total: 1.174 €</t>
  </si>
  <si>
    <t xml:space="preserve">DIF: 1.144 €  ·  Margen hist.: 49.4%</t>
  </si>
  <si>
    <t xml:space="preserve">Peor mes: 2023-05 · 37 €</t>
  </si>
  <si>
    <t xml:space="preserve">Factura 8611 · C01140 · DESIRÉ ANNA GUSTAAF SCHUTTER</t>
  </si>
  <si>
    <t xml:space="preserve">Factura 8612 · C01150 · ARIE PETER PETRI</t>
  </si>
  <si>
    <t xml:space="preserve">ES0021000000825192EH · Naturgy · 01/04/26 a 30/04/26</t>
  </si>
  <si>
    <t xml:space="preserve">MES ANTERIOR · Fact.6433</t>
  </si>
  <si>
    <t xml:space="preserve">AÑO ANTERIOR · Fact.4636</t>
  </si>
  <si>
    <t xml:space="preserve">Cobrado total: 2.947 €</t>
  </si>
  <si>
    <t xml:space="preserve">Pagado total: 1.849 €</t>
  </si>
  <si>
    <t xml:space="preserve">DIF: 1.098 €  ·  Margen hist.: 37.2%</t>
  </si>
  <si>
    <t xml:space="preserve">Peor mes: 2023-07 · 51 €</t>
  </si>
  <si>
    <t xml:space="preserve">Factura 8613 · C01160 · DEBORAH LEFFELAAR</t>
  </si>
  <si>
    <t xml:space="preserve">ES0021000011060321RD · Naturgy · 01/04/26 a 30/04/26</t>
  </si>
  <si>
    <t xml:space="preserve">MES ANTERIOR · Fact.6432</t>
  </si>
  <si>
    <t xml:space="preserve">AÑO ANTERIOR · Fact.4635</t>
  </si>
  <si>
    <t xml:space="preserve">Cobrado total: 3.343 €</t>
  </si>
  <si>
    <t xml:space="preserve">Pagado total: 1.926 €</t>
  </si>
  <si>
    <t xml:space="preserve">DIF: 1.417 €  ·  Margen hist.: 42.4%</t>
  </si>
  <si>
    <t xml:space="preserve">Peor mes: 2024-05 · 75 €</t>
  </si>
  <si>
    <t xml:space="preserve">Factura 8614 · C01190 · BART VAN OERLE JOZEF J.</t>
  </si>
  <si>
    <t xml:space="preserve">ES0021000000829575YP · Naturgy · 01/04/26 a 30/04/26</t>
  </si>
  <si>
    <t xml:space="preserve">MES ANTERIOR · Fact.6431</t>
  </si>
  <si>
    <t xml:space="preserve">AÑO ANTERIOR · Fact.5003</t>
  </si>
  <si>
    <t xml:space="preserve">Cobrado total: 755 €</t>
  </si>
  <si>
    <t xml:space="preserve">Pagado total: 511 €</t>
  </si>
  <si>
    <t xml:space="preserve">DIF: 244 €  ·  Margen hist.: 32.3%</t>
  </si>
  <si>
    <t xml:space="preserve">Peor mes: 2024-05 · 19 €</t>
  </si>
  <si>
    <t xml:space="preserve">Factura 8617 · C01250 · DANIELLE B. PAULI</t>
  </si>
  <si>
    <t xml:space="preserve">ES0021000000828326KR · Naturgy · 01/04/26 a 30/04/26</t>
  </si>
  <si>
    <t xml:space="preserve">MES ANTERIOR · Fact.6428</t>
  </si>
  <si>
    <t xml:space="preserve">AÑO ANTERIOR · Fact.4632</t>
  </si>
  <si>
    <t xml:space="preserve">Cobrado total: 841 €</t>
  </si>
  <si>
    <t xml:space="preserve">Pagado total: 551 €</t>
  </si>
  <si>
    <t xml:space="preserve">DIF: 290 €  ·  Margen hist.: 34.4%</t>
  </si>
  <si>
    <t xml:space="preserve">Peor mes: 2023-11 · 1 €</t>
  </si>
  <si>
    <t xml:space="preserve">Factura 8618 · C01280 · Mª ISABEL HEVIA TENA</t>
  </si>
  <si>
    <t xml:space="preserve">Factura 8620 · C01330 · ULF BALZER</t>
  </si>
  <si>
    <t xml:space="preserve">ES0021000000826123VY · Naturgy · 01/04/26 a 30/04/26</t>
  </si>
  <si>
    <t xml:space="preserve">MES ANTERIOR · Fact.6424</t>
  </si>
  <si>
    <t xml:space="preserve">AÑO ANTERIOR · Fact.4628</t>
  </si>
  <si>
    <t xml:space="preserve">Cobrado total: 1.176 €</t>
  </si>
  <si>
    <t xml:space="preserve">Pagado total: 773 €</t>
  </si>
  <si>
    <t xml:space="preserve">DIF: 403 €  ·  Margen hist.: 34.2%</t>
  </si>
  <si>
    <t xml:space="preserve">Peor mes: 2024-11 · 27 €</t>
  </si>
  <si>
    <t xml:space="preserve">Factura 8621 · C01350 · CORDULA PETERS</t>
  </si>
  <si>
    <t xml:space="preserve">Factura 8622 · C01390 · DANIEL DE WIT</t>
  </si>
  <si>
    <t xml:space="preserve">ES0021000011984452TT · Naturgy · 01/04/26 a 30/04/26</t>
  </si>
  <si>
    <t xml:space="preserve">MES ANTERIOR · Fact.6422</t>
  </si>
  <si>
    <t xml:space="preserve">AÑO ANTERIOR · Fact.4626</t>
  </si>
  <si>
    <t xml:space="preserve">Cobrado total: 4.239 €</t>
  </si>
  <si>
    <t xml:space="preserve">Pagado total: 2.913 €</t>
  </si>
  <si>
    <t xml:space="preserve">DIF: 1.326 €  ·  Margen hist.: 31.3%</t>
  </si>
  <si>
    <t xml:space="preserve">Peor mes: 2024-04 · 81 €</t>
  </si>
  <si>
    <t xml:space="preserve">Factura 8623 · C01400 · CHRISTOPH BLUME</t>
  </si>
  <si>
    <t xml:space="preserve">Factura 8624 · C01420 · JAIME VIVES</t>
  </si>
  <si>
    <t xml:space="preserve">ES0021000001200654VM · Naturgy · 01/04/26 a 30/04/26</t>
  </si>
  <si>
    <t xml:space="preserve">MES ANTERIOR · Fact.6420</t>
  </si>
  <si>
    <t xml:space="preserve">AÑO ANTERIOR · Fact.4624</t>
  </si>
  <si>
    <t xml:space="preserve">Cobrado total: 3.220 €</t>
  </si>
  <si>
    <t xml:space="preserve">Pagado total: 2.347 €</t>
  </si>
  <si>
    <t xml:space="preserve">DIF: 873 €  ·  Margen hist.: 27.1%</t>
  </si>
  <si>
    <t xml:space="preserve">Peor mes: 2023-05 · 39 €</t>
  </si>
  <si>
    <t xml:space="preserve">Factura 8625 · C01440 · VICENTE BAS ALENTADO</t>
  </si>
  <si>
    <t xml:space="preserve">ES0021000011331851PR · Naturgy · 01/04/26 a 30/04/26</t>
  </si>
  <si>
    <t xml:space="preserve">MES ANTERIOR · Fact.6419</t>
  </si>
  <si>
    <t xml:space="preserve">AÑO ANTERIOR · Fact.4623</t>
  </si>
  <si>
    <t xml:space="preserve">Cobrado total: 1.841 €</t>
  </si>
  <si>
    <t xml:space="preserve">Pagado total: 1.299 €</t>
  </si>
  <si>
    <t xml:space="preserve">DIF: 542 €  ·  Margen hist.: 29.4%</t>
  </si>
  <si>
    <t xml:space="preserve">Peor mes: 2024-10 · 72 €</t>
  </si>
  <si>
    <t xml:space="preserve">Factura 8626 · C01460 · MARCUS JOHANNES MULLER</t>
  </si>
  <si>
    <t xml:space="preserve">ES0021000001504069FG · Naturgy · 01/04/26 a 30/04/26</t>
  </si>
  <si>
    <t xml:space="preserve">MES ANTERIOR · Fact.6418</t>
  </si>
  <si>
    <t xml:space="preserve">AÑO ANTERIOR · Fact.4621</t>
  </si>
  <si>
    <t xml:space="preserve">Cobrado total: 937 €</t>
  </si>
  <si>
    <t xml:space="preserve">Pagado total: 857 €</t>
  </si>
  <si>
    <t xml:space="preserve">DIF: 80 €  ·  Margen hist.: 8.6%</t>
  </si>
  <si>
    <t xml:space="preserve">Peor mes: 2024-07 · 8 €</t>
  </si>
  <si>
    <t xml:space="preserve">Factura 8627 · C01470 · LIEUWE KOOPMANS</t>
  </si>
  <si>
    <t xml:space="preserve">ES0021000000845404GJ · Naturgy · 01/04/26 a 30/04/26</t>
  </si>
  <si>
    <t xml:space="preserve">MES ANTERIOR · Fact.6417</t>
  </si>
  <si>
    <t xml:space="preserve">AÑO ANTERIOR · Fact.4620</t>
  </si>
  <si>
    <t xml:space="preserve">Cobrado total: 1.174 €</t>
  </si>
  <si>
    <t xml:space="preserve">Pagado total: 817 €</t>
  </si>
  <si>
    <t xml:space="preserve">DIF: 357 €  ·  Margen hist.: 30.4%</t>
  </si>
  <si>
    <t xml:space="preserve">Peor mes: 2023-10 · 5 €</t>
  </si>
  <si>
    <t xml:space="preserve">Factura 8628 · C01490 · JOSE EDUARDO BAYONA SOTOS</t>
  </si>
  <si>
    <t xml:space="preserve">ES0021000008703423SJ · Naturgy · 01/04/26 a 30/04/26</t>
  </si>
  <si>
    <t xml:space="preserve">MES ANTERIOR · Fact.6416</t>
  </si>
  <si>
    <t xml:space="preserve">AÑO ANTERIOR · Fact.4619</t>
  </si>
  <si>
    <t xml:space="preserve">Cobrado total: 3.232 €</t>
  </si>
  <si>
    <t xml:space="preserve">Pagado total: 2.491 €</t>
  </si>
  <si>
    <t xml:space="preserve">DIF: 741 €  ·  Margen hist.: 22.9%</t>
  </si>
  <si>
    <t xml:space="preserve">Peor mes: 2023-04 · 13 €</t>
  </si>
  <si>
    <t xml:space="preserve">Factura 8630 · C01530 · JUAN POCH FERNANDEZ</t>
  </si>
  <si>
    <t xml:space="preserve">ES0021000001196881ZG · Naturgy · 01/04/26 a 30/04/26</t>
  </si>
  <si>
    <t xml:space="preserve">MES ANTERIOR · Fact.6413</t>
  </si>
  <si>
    <t xml:space="preserve">AÑO ANTERIOR · Fact.4617</t>
  </si>
  <si>
    <t xml:space="preserve">Cobrado total: 2.148 €</t>
  </si>
  <si>
    <t xml:space="preserve">Pagado total: 1.336 €</t>
  </si>
  <si>
    <t xml:space="preserve">DIF: 812 €  ·  Margen hist.: 37.8%</t>
  </si>
  <si>
    <t xml:space="preserve">Peor mes: 2023-06 · 43 €</t>
  </si>
  <si>
    <t xml:space="preserve">Factura 8631 · C01540 · FORN MONICA S L</t>
  </si>
  <si>
    <t xml:space="preserve">ES0021000000827388AY · Naturgy · 01/04/26 a 30/04/26</t>
  </si>
  <si>
    <t xml:space="preserve">MES ANTERIOR · Fact.6412</t>
  </si>
  <si>
    <t xml:space="preserve">AÑO ANTERIOR · Fact.4512</t>
  </si>
  <si>
    <t xml:space="preserve">Cobrado total: 13.789 €</t>
  </si>
  <si>
    <t xml:space="preserve">Pagado total: 9.316 €</t>
  </si>
  <si>
    <t xml:space="preserve">DIF: 4.473 €  ·  Margen hist.: 32.4%</t>
  </si>
  <si>
    <t xml:space="preserve">Peor mes: 2024-12 · 586 €</t>
  </si>
  <si>
    <t xml:space="preserve">Factura 8632 · C01570 · FRANCISCO MULA ROBERTO</t>
  </si>
  <si>
    <t xml:space="preserve">ES0021000000971679CH · Naturgy · 01/04/26 a 30/04/26</t>
  </si>
  <si>
    <t xml:space="preserve">MES ANTERIOR · Fact.6411</t>
  </si>
  <si>
    <t xml:space="preserve">AÑO ANTERIOR · Fact.4615</t>
  </si>
  <si>
    <t xml:space="preserve">Cobrado total: 1.850 €</t>
  </si>
  <si>
    <t xml:space="preserve">Pagado total: 1.169 €</t>
  </si>
  <si>
    <t xml:space="preserve">DIF: 681 €  ·  Margen hist.: 36.8%</t>
  </si>
  <si>
    <t xml:space="preserve">Peor mes: 2023-06 · 57 €</t>
  </si>
  <si>
    <t xml:space="preserve">Factura 8633 · C01600 · HAFELI BRIGITTE</t>
  </si>
  <si>
    <t xml:space="preserve">ES0021000000958945LA · Naturgy · 01/04/26 a 30/04/26</t>
  </si>
  <si>
    <t xml:space="preserve">MES ANTERIOR · Fact.6410</t>
  </si>
  <si>
    <t xml:space="preserve">AÑO ANTERIOR · Fact.4614</t>
  </si>
  <si>
    <t xml:space="preserve">Cobrado total: 2.070 €</t>
  </si>
  <si>
    <t xml:space="preserve">Pagado total: 1.492 €</t>
  </si>
  <si>
    <t xml:space="preserve">DIF: 578 €  ·  Margen hist.: 27.9%</t>
  </si>
  <si>
    <t xml:space="preserve">Peor mes: 2023-10 · 20 €</t>
  </si>
  <si>
    <t xml:space="preserve">Factura 8634 · C01620 · MIA EDELTRUDIS JOSEPHINA ZANTMAN</t>
  </si>
  <si>
    <t xml:space="preserve">ES0021000000828286LF · Naturgy · 01/04/26 a 30/04/26</t>
  </si>
  <si>
    <t xml:space="preserve">MES ANTERIOR · Fact.6409</t>
  </si>
  <si>
    <t xml:space="preserve">AÑO ANTERIOR · Fact.4613</t>
  </si>
  <si>
    <t xml:space="preserve">Cobrado total: 282 €</t>
  </si>
  <si>
    <t xml:space="preserve">Pagado total: 515 €</t>
  </si>
  <si>
    <t xml:space="preserve">DIF: -233 €  ·  Margen hist.: -82.4%</t>
  </si>
  <si>
    <t xml:space="preserve">Peor mes: 2024-05 · 0 €</t>
  </si>
  <si>
    <t xml:space="preserve">Factura 8636 · C01660 · LIEUWE KOOPMANS (2)</t>
  </si>
  <si>
    <t xml:space="preserve">ES0021000000820403KJ · Naturgy · 01/04/26 a 30/04/26</t>
  </si>
  <si>
    <t xml:space="preserve">MES ANTERIOR · Fact.6407</t>
  </si>
  <si>
    <t xml:space="preserve">AÑO ANTERIOR · Fact.4612</t>
  </si>
  <si>
    <t xml:space="preserve">Cobrado total: 2.327 €</t>
  </si>
  <si>
    <t xml:space="preserve">Pagado total: 1.681 €</t>
  </si>
  <si>
    <t xml:space="preserve">DIF: 646 €  ·  Margen hist.: 27.8%</t>
  </si>
  <si>
    <t xml:space="preserve">Peor mes: 2024-11 · 67 €</t>
  </si>
  <si>
    <t xml:space="preserve">Factura 8637 · C01670 · COCKTAIL BAR AYAHUMA</t>
  </si>
  <si>
    <t xml:space="preserve">ES0021000001205999LZ · Naturgy · 01/04/26 a 30/04/26</t>
  </si>
  <si>
    <t xml:space="preserve">MES ANTERIOR · Fact.6406</t>
  </si>
  <si>
    <t xml:space="preserve">AÑO ANTERIOR · Fact.4611</t>
  </si>
  <si>
    <t xml:space="preserve">Cobrado total: 5.393 €</t>
  </si>
  <si>
    <t xml:space="preserve">Pagado total: 3.728 €</t>
  </si>
  <si>
    <t xml:space="preserve">DIF: 1.665 €  ·  Margen hist.: 30.9%</t>
  </si>
  <si>
    <t xml:space="preserve">Peor mes: 2024-11 · 81 €</t>
  </si>
  <si>
    <t xml:space="preserve">Factura 8639 · C01720 · AHMED DAHMAN</t>
  </si>
  <si>
    <t xml:space="preserve">ES0021000001212203JP · Naturgy · 01/04/26 a 30/04/26</t>
  </si>
  <si>
    <t xml:space="preserve">MES ANTERIOR · Fact.6404</t>
  </si>
  <si>
    <t xml:space="preserve">AÑO ANTERIOR · Fact.4609</t>
  </si>
  <si>
    <t xml:space="preserve">Cobrado total: 1.990 €</t>
  </si>
  <si>
    <t xml:space="preserve">Pagado total: 1.321 €</t>
  </si>
  <si>
    <t xml:space="preserve">DIF: 668 €  ·  Margen hist.: 33.6%</t>
  </si>
  <si>
    <t xml:space="preserve">Peor mes: 2023-07 · 48 €</t>
  </si>
  <si>
    <t xml:space="preserve">Factura 8640 · C01730 · LORENA ROCIO PAUCAR LÓPEZ</t>
  </si>
  <si>
    <t xml:space="preserve">ES0021000001192552DE · Naturgy · 01/04/26 a 30/04/26</t>
  </si>
  <si>
    <t xml:space="preserve">MES ANTERIOR · Fact.6403</t>
  </si>
  <si>
    <t xml:space="preserve">AÑO ANTERIOR · Fact.4608</t>
  </si>
  <si>
    <t xml:space="preserve">Cobrado total: 7.311 €</t>
  </si>
  <si>
    <t xml:space="preserve">Pagado total: 4.761 €</t>
  </si>
  <si>
    <t xml:space="preserve">DIF: 2.550 €  ·  Margen hist.: 34.9%</t>
  </si>
  <si>
    <t xml:space="preserve">Peor mes: 2023-11 · 142 €</t>
  </si>
  <si>
    <t xml:space="preserve">Factura 8642 · C01800 · ROY SCHOLTEN</t>
  </si>
  <si>
    <t xml:space="preserve">ES0021000001501271TN · Naturgy · 01/04/26 a 30/04/26</t>
  </si>
  <si>
    <t xml:space="preserve">MES ANTERIOR · Fact.6401</t>
  </si>
  <si>
    <t xml:space="preserve">AÑO ANTERIOR · Fact.4606</t>
  </si>
  <si>
    <t xml:space="preserve">Cobrado total: 1.292 €</t>
  </si>
  <si>
    <t xml:space="preserve">Pagado total: 1.001 €</t>
  </si>
  <si>
    <t xml:space="preserve">DIF: 291 €  ·  Margen hist.: 22.5%</t>
  </si>
  <si>
    <t xml:space="preserve">Peor mes: 2023-12 · 38 €</t>
  </si>
  <si>
    <t xml:space="preserve">Factura 8645 · C01850 · GUILLERMO CHOLBI SART</t>
  </si>
  <si>
    <t xml:space="preserve">ES0021000001204184DQ · Naturgy · 01/04/26 a 30/04/26</t>
  </si>
  <si>
    <t xml:space="preserve">MES ANTERIOR · Fact.6398</t>
  </si>
  <si>
    <t xml:space="preserve">AÑO ANTERIOR · Fact.4604</t>
  </si>
  <si>
    <t xml:space="preserve">Cobrado total: 669 €</t>
  </si>
  <si>
    <t xml:space="preserve">Pagado total: 495 €</t>
  </si>
  <si>
    <t xml:space="preserve">DIF: 174 €  ·  Margen hist.: 26.0%</t>
  </si>
  <si>
    <t xml:space="preserve">Peor mes: 2024-11 · 42 €</t>
  </si>
  <si>
    <t xml:space="preserve">Factura 8646 · C01860 · GUILLERMO CHOLBI SART</t>
  </si>
  <si>
    <t xml:space="preserve">ES0021000001664631LA · Naturgy · 01/04/26 a 30/04/26</t>
  </si>
  <si>
    <t xml:space="preserve">MES ANTERIOR · Fact.6397</t>
  </si>
  <si>
    <t xml:space="preserve">AÑO ANTERIOR · Fact.4603</t>
  </si>
  <si>
    <t xml:space="preserve">Cobrado total: 3.662 €</t>
  </si>
  <si>
    <t xml:space="preserve">Pagado total: 3.169 €</t>
  </si>
  <si>
    <t xml:space="preserve">DIF: 492 €  ·  Margen hist.: 13.5%</t>
  </si>
  <si>
    <t xml:space="preserve">Peor mes: 2023-12 · 125 €</t>
  </si>
  <si>
    <t xml:space="preserve">Factura 8647 · C01870 · GUILLERMO CHOLBI SART</t>
  </si>
  <si>
    <t xml:space="preserve">ES0021000001150884SF · Naturgy · 01/04/26 a 30/04/26</t>
  </si>
  <si>
    <t xml:space="preserve">MES ANTERIOR · Fact.6396</t>
  </si>
  <si>
    <t xml:space="preserve">AÑO ANTERIOR · Fact.4602</t>
  </si>
  <si>
    <t xml:space="preserve">Cobrado total: 1.402 €</t>
  </si>
  <si>
    <t xml:space="preserve">Pagado total: 1.128 €</t>
  </si>
  <si>
    <t xml:space="preserve">DIF: 274 €  ·  Margen hist.: 19.5%</t>
  </si>
  <si>
    <t xml:space="preserve">Peor mes: 2024-09 · 49 €</t>
  </si>
  <si>
    <t xml:space="preserve">Factura 8648 · C01880 · ALEJANDRO BOX CANDELA</t>
  </si>
  <si>
    <t xml:space="preserve">ES0021000001216036LT · Naturgy · 01/04/26 a 30/04/26</t>
  </si>
  <si>
    <t xml:space="preserve">MES ANTERIOR · Fact.6395</t>
  </si>
  <si>
    <t xml:space="preserve">AÑO ANTERIOR · Fact.4601</t>
  </si>
  <si>
    <t xml:space="preserve">Cobrado total: 1.365 €</t>
  </si>
  <si>
    <t xml:space="preserve">Pagado total: 1.033 €</t>
  </si>
  <si>
    <t xml:space="preserve">DIF: 332 €  ·  Margen hist.: 24.3%</t>
  </si>
  <si>
    <t xml:space="preserve">Peor mes: 2024-11 · 40 €</t>
  </si>
  <si>
    <t xml:space="preserve">Factura 8650 · C01990 · GERRIT JONGEJAN</t>
  </si>
  <si>
    <t xml:space="preserve">Factura 8651 · C02160 · CASA LILI SL (V)</t>
  </si>
  <si>
    <t xml:space="preserve">ES0021000012599393XJ · Naturgy · 01/04/26 a 30/04/26</t>
  </si>
  <si>
    <t xml:space="preserve">MES ANTERIOR · Fact.6392</t>
  </si>
  <si>
    <t xml:space="preserve">AÑO ANTERIOR · Fact.4582</t>
  </si>
  <si>
    <t xml:space="preserve">Cobrado total: 2.035 €</t>
  </si>
  <si>
    <t xml:space="preserve">Pagado total: 1.399 €</t>
  </si>
  <si>
    <t xml:space="preserve">DIF: 636 €  ·  Margen hist.: 31.2%</t>
  </si>
  <si>
    <t xml:space="preserve">Peor mes: 2024-02 · 88 €</t>
  </si>
  <si>
    <t xml:space="preserve">Factura 8653 · C02190 · TAIRÉ VERA</t>
  </si>
  <si>
    <t xml:space="preserve">ES0021000000961277MN · Naturgy · 01/04/26 a 30/04/26</t>
  </si>
  <si>
    <t xml:space="preserve">MES ANTERIOR · Fact.6390</t>
  </si>
  <si>
    <t xml:space="preserve">AÑO ANTERIOR · Fact.4580</t>
  </si>
  <si>
    <t xml:space="preserve">Cobrado total: 598 €</t>
  </si>
  <si>
    <t xml:space="preserve">Pagado total: 527 €</t>
  </si>
  <si>
    <t xml:space="preserve">DIF: 71 €  ·  Margen hist.: 11.9%</t>
  </si>
  <si>
    <t xml:space="preserve">Peor mes: 2024-04 · 12 €</t>
  </si>
  <si>
    <t xml:space="preserve">Factura 8655 · C02240 · SANDRA GONZALEZ LECHUGA</t>
  </si>
  <si>
    <t xml:space="preserve">ES0021000001206078TR · Naturgy · 01/04/26 a 30/04/26</t>
  </si>
  <si>
    <t xml:space="preserve">MES ANTERIOR · Fact.6388</t>
  </si>
  <si>
    <t xml:space="preserve">AÑO ANTERIOR · Fact.4578</t>
  </si>
  <si>
    <t xml:space="preserve">Cobrado total: 195 €</t>
  </si>
  <si>
    <t xml:space="preserve">Pagado total: 220 €</t>
  </si>
  <si>
    <t xml:space="preserve">DIF: -25 €  ·  Margen hist.: -12.7%</t>
  </si>
  <si>
    <t xml:space="preserve">Peor mes: 2024-04 · 6 €</t>
  </si>
  <si>
    <t xml:space="preserve">Factura 8656 · C02340 · PRISCILA WELTER CARRASCO</t>
  </si>
  <si>
    <t xml:space="preserve">ES0021000012718599HX · Naturgy · 01/04/26 a 30/04/26</t>
  </si>
  <si>
    <t xml:space="preserve">MES ANTERIOR · Fact.6387</t>
  </si>
  <si>
    <t xml:space="preserve">AÑO ANTERIOR · Fact.4544</t>
  </si>
  <si>
    <t xml:space="preserve">Cobrado total: 1.439 €</t>
  </si>
  <si>
    <t xml:space="preserve">Pagado total: 1.464 €</t>
  </si>
  <si>
    <t xml:space="preserve">DIF: -25 €  ·  Margen hist.: -1.7%</t>
  </si>
  <si>
    <t xml:space="preserve">Peor mes: 2024-11 · 103 €</t>
  </si>
  <si>
    <t xml:space="preserve">Factura 8657 · C02350 · YANIS DAHIANA JIMENEZ JIMENEZ</t>
  </si>
  <si>
    <t xml:space="preserve">ES0021000001202657NF · Naturgy · 01/04/26 a 30/04/26</t>
  </si>
  <si>
    <t xml:space="preserve">MES ANTERIOR · Fact.6386</t>
  </si>
  <si>
    <t xml:space="preserve">AÑO ANTERIOR · Fact.4576</t>
  </si>
  <si>
    <t xml:space="preserve">Cobrado total: 4.242 €</t>
  </si>
  <si>
    <t xml:space="preserve">Pagado total: 3.900 €</t>
  </si>
  <si>
    <t xml:space="preserve">DIF: 342 €  ·  Margen hist.: 8.1%</t>
  </si>
  <si>
    <t xml:space="preserve">Peor mes: 2024-05 · 234 €</t>
  </si>
  <si>
    <t xml:space="preserve">Factura 8658 · C02380 · FORMATGES MÓNICA</t>
  </si>
  <si>
    <t xml:space="preserve">ES0021000001192535DM · Naturgy · 01/04/26 a 30/04/26</t>
  </si>
  <si>
    <t xml:space="preserve">MES ANTERIOR · Fact.6385</t>
  </si>
  <si>
    <t xml:space="preserve">AÑO ANTERIOR · Fact.4575</t>
  </si>
  <si>
    <t xml:space="preserve">Cobrado total: 945 €</t>
  </si>
  <si>
    <t xml:space="preserve">Pagado total: 614 €</t>
  </si>
  <si>
    <t xml:space="preserve">DIF: 331 €  ·  Margen hist.: 35.0%</t>
  </si>
  <si>
    <t xml:space="preserve">Peor mes: 2024-09 · 61 €</t>
  </si>
  <si>
    <t xml:space="preserve">Factura 8659 · C02400 · MARUJA CHOLBI PUIG</t>
  </si>
  <si>
    <t xml:space="preserve">ES0021000001194530AE · Naturgy · 01/04/26 a 30/04/26</t>
  </si>
  <si>
    <t xml:space="preserve">MES ANTERIOR · Fact.6384</t>
  </si>
  <si>
    <t xml:space="preserve">AÑO ANTERIOR · Fact.4573</t>
  </si>
  <si>
    <t xml:space="preserve">Cobrado total: 417 €</t>
  </si>
  <si>
    <t xml:space="preserve">Pagado total: 295 €</t>
  </si>
  <si>
    <t xml:space="preserve">DIF: 122 €  ·  Margen hist.: 29.3%</t>
  </si>
  <si>
    <t xml:space="preserve">Peor mes: 2024-07 · 29 €</t>
  </si>
  <si>
    <t xml:space="preserve">Factura 8660 · C02420 · KHALID EL JEBLI</t>
  </si>
  <si>
    <t xml:space="preserve">ES0021000013419226MB · Naturgy · 01/04/26 a 30/04/26</t>
  </si>
  <si>
    <t xml:space="preserve">MES ANTERIOR · Fact.6383</t>
  </si>
  <si>
    <t xml:space="preserve">AÑO ANTERIOR · Fact.4572</t>
  </si>
  <si>
    <t xml:space="preserve">Cobrado total: 1.452 €</t>
  </si>
  <si>
    <t xml:space="preserve">Pagado total: 1.099 €</t>
  </si>
  <si>
    <t xml:space="preserve">DIF: 352 €  ·  Margen hist.: 24.3%</t>
  </si>
  <si>
    <t xml:space="preserve">Peor mes: 2024-10 · 203 €</t>
  </si>
  <si>
    <t xml:space="preserve">Factura 8662 · C02470 · TALLER SENDRA CUELLO, S.L.</t>
  </si>
  <si>
    <t xml:space="preserve">ES0021000000822827BE · Naturgy · 01/04/26 a 30/04/26</t>
  </si>
  <si>
    <t xml:space="preserve">MES ANTERIOR · Fact.6381</t>
  </si>
  <si>
    <t xml:space="preserve">AÑO ANTERIOR · Fact.4570</t>
  </si>
  <si>
    <t xml:space="preserve">Cobrado total: 338 €</t>
  </si>
  <si>
    <t xml:space="preserve">Pagado total: 269 €</t>
  </si>
  <si>
    <t xml:space="preserve">DIF: 69 €  ·  Margen hist.: 20.5%</t>
  </si>
  <si>
    <t xml:space="preserve">Peor mes: 2024-10 · 45 €</t>
  </si>
  <si>
    <t xml:space="preserve">Factura 8663 · C02510 · ANTONIO LLIDO ESPASA</t>
  </si>
  <si>
    <t xml:space="preserve">ES0021000001197237YS · Naturgy · 01/04/26 a 30/04/26</t>
  </si>
  <si>
    <t xml:space="preserve">MES ANTERIOR · Fact.6380</t>
  </si>
  <si>
    <t xml:space="preserve">AÑO ANTERIOR · Fact.4568</t>
  </si>
  <si>
    <t xml:space="preserve">Cobrado total: 234 €</t>
  </si>
  <si>
    <t xml:space="preserve">Pagado total: 194 €</t>
  </si>
  <si>
    <t xml:space="preserve">DIF: 40 €  ·  Margen hist.: 17.0%</t>
  </si>
  <si>
    <t xml:space="preserve">Peor mes: 2024-10 · 15 €</t>
  </si>
  <si>
    <t xml:space="preserve">Factura 8665 · C02530 · JUAN SANCHEZ RONDA</t>
  </si>
  <si>
    <t xml:space="preserve">ES0021000021069440CB · Naturgy · 01/04/26 a 30/04/26</t>
  </si>
  <si>
    <t xml:space="preserve">MES ANTERIOR · Fact.6378</t>
  </si>
  <si>
    <t xml:space="preserve">AÑO ANTERIOR · Fact.4566</t>
  </si>
  <si>
    <t xml:space="preserve">Cobrado total: 275 €</t>
  </si>
  <si>
    <t xml:space="preserve">Pagado total: 222 €</t>
  </si>
  <si>
    <t xml:space="preserve">DIF: 53 €  ·  Margen hist.: 19.4%</t>
  </si>
  <si>
    <t xml:space="preserve">Peor mes: 2024-10 · 79 €</t>
  </si>
  <si>
    <t xml:space="preserve">Factura 8666 · C02540 · TERESA MENGUAL ALBEROLA</t>
  </si>
  <si>
    <t xml:space="preserve">ES0021000011425522DQ · Naturgy · 01/04/26 a 30/04/26</t>
  </si>
  <si>
    <t xml:space="preserve">MES ANTERIOR · Fact.6377</t>
  </si>
  <si>
    <t xml:space="preserve">AÑO ANTERIOR · Fact.4565</t>
  </si>
  <si>
    <t xml:space="preserve">Cobrado total: 168 €</t>
  </si>
  <si>
    <t xml:space="preserve">Pagado total: 127 €</t>
  </si>
  <si>
    <t xml:space="preserve">DIF: 40 €  ·  Margen hist.: 24.0%</t>
  </si>
  <si>
    <t xml:space="preserve">Peor mes: 2024-12 · 81 €</t>
  </si>
  <si>
    <t xml:space="preserve">Factura 8667 · C02560 · PEDRO IVARS TRO 2018, S.L.</t>
  </si>
  <si>
    <t xml:space="preserve">Factura 8670 · C02610 · VEHICULOS ANDRADA, S.L.</t>
  </si>
  <si>
    <t xml:space="preserve">ES0021000001194258SA · Naturgy · 01/04/26 a 30/04/26</t>
  </si>
  <si>
    <t xml:space="preserve">MES ANTERIOR · Fact.6373</t>
  </si>
  <si>
    <t xml:space="preserve">AÑO ANTERIOR · Fact.4561</t>
  </si>
  <si>
    <t xml:space="preserve">Cobrado total: 563 €</t>
  </si>
  <si>
    <t xml:space="preserve">Pagado total: 406 €</t>
  </si>
  <si>
    <t xml:space="preserve">DIF: 158 €  ·  Margen hist.: 28.0%</t>
  </si>
  <si>
    <t xml:space="preserve">Peor mes: 2024-11 · 236 €</t>
  </si>
  <si>
    <t xml:space="preserve">Factura 8671 · C02630 · AUTOCENTER MARINA ALTA S.L.</t>
  </si>
  <si>
    <t xml:space="preserve">ES0021000013052712DW · Naturgy · 01/04/26 a 30/04/26</t>
  </si>
  <si>
    <t xml:space="preserve">MES ANTERIOR · Fact.6372</t>
  </si>
  <si>
    <t xml:space="preserve">AÑO ANTERIOR · Fact.4560</t>
  </si>
  <si>
    <t xml:space="preserve">Cobrado total: 145 €</t>
  </si>
  <si>
    <t xml:space="preserve">Pagado total: 116 €</t>
  </si>
  <si>
    <t xml:space="preserve">DIF: 30 €  ·  Margen hist.: 20.4%</t>
  </si>
  <si>
    <t xml:space="preserve">Peor mes: 2024-12 · 72 €</t>
  </si>
  <si>
    <t xml:space="preserve">Factura 8672 · C02640 · JUAN CARLOS HERNANDEZ MELERO</t>
  </si>
  <si>
    <t xml:space="preserve">ES0021000001216778MY · Naturgy · 01/04/26 a 30/04/26</t>
  </si>
  <si>
    <t xml:space="preserve">MES ANTERIOR · Fact.6371</t>
  </si>
  <si>
    <t xml:space="preserve">AÑO ANTERIOR · Fact.4559</t>
  </si>
  <si>
    <t xml:space="preserve">Factura 8674 · C02680 · ALVARO DAVID OCHOA BIOSCA</t>
  </si>
  <si>
    <t xml:space="preserve">Factura 8676 · C02710 · CASA LILI S.L. AUTOS (EXPOSICIÓN)</t>
  </si>
  <si>
    <t xml:space="preserve">ES0021000001498862XH · Naturgy · 01/04/26 a 30/04/26</t>
  </si>
  <si>
    <t xml:space="preserve">MES ANTERIOR · Fact.6318</t>
  </si>
  <si>
    <t xml:space="preserve">AÑO ANTERIOR · Fact.4504</t>
  </si>
  <si>
    <t xml:space="preserve">Cobrado total: 4 €</t>
  </si>
  <si>
    <t xml:space="preserve">DIF: 4 €  ·  Margen hist.: 100.0%</t>
  </si>
  <si>
    <t xml:space="preserve">Factura 8677 · C02740 · FRANCISCO DANIEL GUIJARRO ORTEGA</t>
  </si>
  <si>
    <t xml:space="preserve">ES0021000012536439XX · Naturgy · 01/04/26 a 30/04/26</t>
  </si>
  <si>
    <t xml:space="preserve">MES ANTERIOR · Fact.6367</t>
  </si>
  <si>
    <t xml:space="preserve">AÑO ANTERIOR · Fact.4674</t>
  </si>
  <si>
    <t xml:space="preserve">Factura 8678 · C02760 · ISABEL RAMIREZ CAPDEVILA</t>
  </si>
  <si>
    <t xml:space="preserve">ES0021000012536447XH · Naturgy · 01/04/26 a 30/04/26</t>
  </si>
  <si>
    <t xml:space="preserve">MES ANTERIOR · Fact.6366</t>
  </si>
  <si>
    <t xml:space="preserve">AÑO ANTERIOR · Fact.4552</t>
  </si>
  <si>
    <t xml:space="preserve">Factura 8679 · C02780 · MARIA PILAR CATALA SANTAMARIA</t>
  </si>
  <si>
    <t xml:space="preserve">ES0021000001197031CQ · Naturgy · 01/04/26 a 30/04/26</t>
  </si>
  <si>
    <t xml:space="preserve">MES ANTERIOR · Fact.6365</t>
  </si>
  <si>
    <t xml:space="preserve">AÑO ANTERIOR · Fact.4551</t>
  </si>
  <si>
    <t xml:space="preserve">Factura 8680 · C02800 · ABDESLAM LAMRANI</t>
  </si>
  <si>
    <t xml:space="preserve">ES0021000001191925MQ · Iberdrola · 01/04/26 a 30/04/26</t>
  </si>
  <si>
    <t xml:space="preserve">MES ANTERIOR · Fact.6364</t>
  </si>
  <si>
    <t xml:space="preserve">AÑO ANTERIOR · Fact.4550</t>
  </si>
  <si>
    <t xml:space="preserve">Factura 8681 · C02820 · FRANCISCO DANIEL GUIJARRO ORTEGA</t>
  </si>
  <si>
    <t xml:space="preserve">ES0021000001191926MV · Iberdrola · 01/04/26 a 30/04/26</t>
  </si>
  <si>
    <t xml:space="preserve">MES ANTERIOR · Fact.6363</t>
  </si>
  <si>
    <t xml:space="preserve">Factura 8682 · C02840 · VICENTE BAS ALENTADO</t>
  </si>
  <si>
    <t xml:space="preserve">ES0021000015284291CY · Naturgy · 01/04/26 a 30/04/26</t>
  </si>
  <si>
    <t xml:space="preserve">MES ANTERIOR · Fact.6362</t>
  </si>
  <si>
    <t xml:space="preserve">AÑO ANTERIOR · Fact.4548</t>
  </si>
  <si>
    <t xml:space="preserve">Factura 8683 · C02860 · SALVADOR TORRES BISQUERT</t>
  </si>
  <si>
    <t xml:space="preserve">ES0021000001201668SF · Naturgy · 01/04/26 a 30/04/26</t>
  </si>
  <si>
    <t xml:space="preserve">MES ANTERIOR · Fact.6361</t>
  </si>
  <si>
    <t xml:space="preserve">AÑO ANTERIOR · Fact.4547</t>
  </si>
  <si>
    <t xml:space="preserve">Factura 8685 · C02920 · JAKUB JAN PICHOLA</t>
  </si>
  <si>
    <t xml:space="preserve">ES0021000043297204PT · Naturgy · 01/04/26 a 30/04/26</t>
  </si>
  <si>
    <t xml:space="preserve">MES ANTERIOR · Fact.6359</t>
  </si>
  <si>
    <t xml:space="preserve">Factura 8686 · C02930 · UWE HEINZ WERNER SCHMUCK</t>
  </si>
  <si>
    <t xml:space="preserve">ES0021000000842065CD · Naturgy · 01/04/26 a 30/04/26</t>
  </si>
  <si>
    <t xml:space="preserve">MES ANTERIOR · Fact.6358</t>
  </si>
  <si>
    <t xml:space="preserve">Cobrado total: 2 €</t>
  </si>
  <si>
    <t xml:space="preserve">DIF: 2 €  ·  Margen hist.: 100.0%</t>
  </si>
  <si>
    <t xml:space="preserve">Factura 8687 · C02950 · TALLERES MARTINEZ JAVEA, S.L.</t>
  </si>
  <si>
    <t xml:space="preserve">ES0021000011306311RZ · Naturgy · 01/04/26 a 30/04/26</t>
  </si>
  <si>
    <t xml:space="preserve">MES ANTERIOR · Fact.6357</t>
  </si>
  <si>
    <t xml:space="preserve">Cobrado total: -2 €</t>
  </si>
  <si>
    <t xml:space="preserve">DIF: -2 €  ·  Margen hist.: 100.0%</t>
  </si>
  <si>
    <t xml:space="preserve">Factura 8688 · C02960 · FRANK CLEMENT</t>
  </si>
  <si>
    <t xml:space="preserve">ES0021000000844565ZW · Naturgy · 01/04/26 a 30/04/26</t>
  </si>
  <si>
    <t xml:space="preserve">MES ANTERIOR · Fact.6356</t>
  </si>
  <si>
    <t xml:space="preserve">Factura 8689 · C02970 · SARA HERMINA NIJENHUIJS GREVE</t>
  </si>
  <si>
    <t xml:space="preserve">ES0021000000821424LE · Iberdrola · 01/04/26 a 30/04/26</t>
  </si>
  <si>
    <t xml:space="preserve">MES ANTERIOR · Fact.6355</t>
  </si>
  <si>
    <t xml:space="preserve">Cobrado total: -0 €</t>
  </si>
  <si>
    <t xml:space="preserve">DIF: -0 €  ·  Margen hist.: 100.0%</t>
  </si>
  <si>
    <t xml:space="preserve">⚠ Iberdrola: exportados 480,69 kWh; compensa 0,001532 EUR/kWh via Solar Cloud (no 0,06)</t>
  </si>
  <si>
    <t xml:space="preserve">Factura 8690 · C02990 · AMARE BOTEGA SL</t>
  </si>
  <si>
    <t xml:space="preserve">ES0021000001204720XT · Naturgy · 01/04/26 a 30/04/26</t>
  </si>
  <si>
    <t xml:space="preserve">MES ANTERIOR · Fact.6354</t>
  </si>
  <si>
    <t xml:space="preserve">Factura 8692 · C03030 · JUAN MANUEL CAMACHO GONZALEZ</t>
  </si>
  <si>
    <t xml:space="preserve">ES0021000001212039YM · Iberdrola · 01/04/26 a 30/04/26</t>
  </si>
  <si>
    <t xml:space="preserve">MES ANTERIOR · Fact.6350</t>
  </si>
  <si>
    <t xml:space="preserve">Factura 8693 · C03040 · JUAN MANUEL CAMACHO GONZALEZ</t>
  </si>
  <si>
    <t xml:space="preserve">ES0021000005295382MC · Naturgy · 01/04/26 a 30/04/26</t>
  </si>
  <si>
    <t xml:space="preserve">MES ANTERIOR · Fact.6349</t>
  </si>
  <si>
    <t xml:space="preserve">Factura 8694 · C03050 · JAN ANDERS ANSEHN</t>
  </si>
  <si>
    <t xml:space="preserve">ES0021000001502901WD · Naturgy · 01/04/26 a 30/04/26</t>
  </si>
  <si>
    <t xml:space="preserve">MES ANTERIOR · Fact.6348</t>
  </si>
  <si>
    <t xml:space="preserve">Factura 8695 · C03060 · MARIA TERESA PONS DEVESA</t>
  </si>
  <si>
    <t xml:space="preserve">ES0021000001201680SL · Naturgy · 01/04/26 a 30/04/26</t>
  </si>
  <si>
    <t xml:space="preserve">MES ANTERIOR · Fact.6347</t>
  </si>
  <si>
    <t xml:space="preserve">Factura 8696 · C03070 · CONGLI WANG</t>
  </si>
  <si>
    <t xml:space="preserve">ES0021000013610497HZ · Naturgy · 01/04/26 a 30/04/26</t>
  </si>
  <si>
    <t xml:space="preserve">MES ANTERIOR · Fact.6346</t>
  </si>
  <si>
    <t xml:space="preserve">Factura 8697 · C03110 · RUBÉN CAMACHO PATRICIO</t>
  </si>
  <si>
    <t xml:space="preserve">ES0021000004645064KG · Naturgy · 01/04/26 a 30/04/26</t>
  </si>
  <si>
    <t xml:space="preserve">MES ANTERIOR · Fact.6345</t>
  </si>
  <si>
    <t xml:space="preserve">Factura 8698 · C03130 · MARCELLO RAUCCI</t>
  </si>
  <si>
    <t xml:space="preserve">ES0021000000938748ST · Naturgy · 01/04/26 a 30/04/26</t>
  </si>
  <si>
    <t xml:space="preserve">MES ANTERIOR · Fact.6344</t>
  </si>
  <si>
    <t xml:space="preserve">Factura 8702 · C03170 · THOMAS CHRISTIAAN GREVE</t>
  </si>
  <si>
    <t xml:space="preserve">ES0021000001504221JH · Naturgy · 01/04/26 a 30/04/26</t>
  </si>
  <si>
    <t xml:space="preserve">MES ANTERIOR · Fact.6340</t>
  </si>
  <si>
    <t xml:space="preserve">Factura 8703 · C03180 · LERWIN SANTIAGO AVENDAÑO ANDRADE</t>
  </si>
  <si>
    <t xml:space="preserve">ES0021000018843904LR · Naturgy · 01/04/26 a 30/04/26</t>
  </si>
  <si>
    <t xml:space="preserve">MES ANTERIOR · Fact.6339</t>
  </si>
  <si>
    <t xml:space="preserve">Factura 8704 · C03190 · 2 HANDS FULL S.L</t>
  </si>
  <si>
    <t xml:space="preserve">ES0021000037345279RS · Naturgy · 01/04/26 a 30/04/26</t>
  </si>
  <si>
    <t xml:space="preserve">MES ANTERIOR · Fact.6338</t>
  </si>
  <si>
    <t xml:space="preserve">Factura 8706 · C03210 · VLADIMIR KREMPASKY</t>
  </si>
  <si>
    <t xml:space="preserve">ES0021000039701028YN · Naturgy · 01/04/26 a 30/04/26</t>
  </si>
  <si>
    <t xml:space="preserve">MES ANTERIOR · Fact.6337</t>
  </si>
  <si>
    <t xml:space="preserve">Factura 8707 · C03220 · EVA ROHRMAN MADOVA</t>
  </si>
  <si>
    <t xml:space="preserve">ES0021000001209164LM · Naturgy · 01/04/26 a 30/04/26</t>
  </si>
  <si>
    <t xml:space="preserve">MES ANTERIOR · Fact.6336</t>
  </si>
  <si>
    <t xml:space="preserve">Factura 8708 · C03230 · OLDRICH PETRAS</t>
  </si>
  <si>
    <t xml:space="preserve">ES0021000000948050MX · Naturgy · 01/04/26 a 30/04/26</t>
  </si>
  <si>
    <t xml:space="preserve">MES ANTERIOR · Fact.6335</t>
  </si>
  <si>
    <t xml:space="preserve">Factura 8709 · C03240 · SPAINLIFE AND HOUSES S.L.</t>
  </si>
  <si>
    <t xml:space="preserve">ES0021000001214540EE · Naturgy · 01/04/26 a 30/04/26</t>
  </si>
  <si>
    <t xml:space="preserve">MES ANTERIOR · Fact.6334</t>
  </si>
  <si>
    <t xml:space="preserve">Factura 8710 · C03250 · SPAINLIFE AND HOUSES S.L.</t>
  </si>
  <si>
    <t xml:space="preserve">ES0021000042961967ZB · Naturgy · 01/04/26 a 30/04/26</t>
  </si>
  <si>
    <t xml:space="preserve">MES ANTERIOR · Fact.6333</t>
  </si>
  <si>
    <t xml:space="preserve">Factura 8711 · C03260 · MICHAL CUKAN</t>
  </si>
  <si>
    <t xml:space="preserve">Factura 8712 · C03280 · SOPHIA ROSE WADLE</t>
  </si>
  <si>
    <t xml:space="preserve">ES0021000001212470RE · Naturgy · 01/04/26 a 30/04/26</t>
  </si>
  <si>
    <t xml:space="preserve">MES ANTERIOR · Fact.6331</t>
  </si>
  <si>
    <t xml:space="preserve">Factura 8714 · C03300 · COMPASS IBERICA 2007 SL</t>
  </si>
  <si>
    <t xml:space="preserve">ES0021000001211776VH · Naturgy · 01/04/26 a 30/04/26</t>
  </si>
  <si>
    <t xml:space="preserve">MES ANTERIOR · Fact.6329</t>
  </si>
  <si>
    <t xml:space="preserve">Factura 8715 · C03310 · AMANDA APARICI MARTINEZ</t>
  </si>
  <si>
    <t xml:space="preserve">ES0021000038540357GJ · Naturgy · 01/04/26 a 30/04/26</t>
  </si>
  <si>
    <t xml:space="preserve">MES ANTERIOR · Fact.6328</t>
  </si>
  <si>
    <t xml:space="preserve">Factura 8716 · C03320 · ELISABETH M. PAREDES DE QUINTERO</t>
  </si>
  <si>
    <t xml:space="preserve">ES0021000012286668YL · Naturgy · 01/04/26 a 30/04/26</t>
  </si>
  <si>
    <t xml:space="preserve">MES ANTERIOR · Fact.6327</t>
  </si>
  <si>
    <t xml:space="preserve">Factura 8717 · C03330 · MARIA SOLEDAD ANSOLA ESTRADA</t>
  </si>
  <si>
    <t xml:space="preserve">ES0021000008759184RE · Naturgy · 01/04/26 a 30/04/26</t>
  </si>
  <si>
    <t xml:space="preserve">MES ANTERIOR · Fact.6326</t>
  </si>
  <si>
    <t xml:space="preserve">Cobrado total: 0 €</t>
  </si>
  <si>
    <t xml:space="preserve">DIF: 0 €  ·  Margen hist.: 100.0%</t>
  </si>
  <si>
    <t xml:space="preserve">Factura 8718 · C03340 · CRISTIAN DAVID BETANCUR BARRERA</t>
  </si>
  <si>
    <t xml:space="preserve">ES0021000001150431HZ · Naturgy · 01/04/26 a 30/04/26</t>
  </si>
  <si>
    <t xml:space="preserve">MES ANTERIOR · Fact.6325</t>
  </si>
  <si>
    <t xml:space="preserve">Factura 8719 · C03350 · SARA BARBERA SOLA</t>
  </si>
  <si>
    <t xml:space="preserve">ES0021000007872840JY · Naturgy · 01/04/26 a 30/04/26</t>
  </si>
  <si>
    <t xml:space="preserve">MES ANTERIOR · (sin dato)</t>
  </si>
  <si>
    <t xml:space="preserve">Factura 8720 · C03360 · CBDSROLL,S.L.</t>
  </si>
  <si>
    <t xml:space="preserve">ES0021000008123399MA · Naturgy · 01/04/26 a 30/04/26</t>
  </si>
  <si>
    <t xml:space="preserve">Factura 8721 · C03380 · </t>
  </si>
  <si>
    <t xml:space="preserve">ES0021000008123313RD · Naturgy · 01/04/26 a 30/04/26</t>
  </si>
  <si>
    <t xml:space="preserve">Factura 8722 · C03390 · MAGDALENA ORTOLÁ FERRER</t>
  </si>
  <si>
    <t xml:space="preserve">ES0021000000827500PA · Naturgy · 01/04/26 a 30/04/26</t>
  </si>
  <si>
    <t xml:space="preserve">MES ANTERIOR · Fact.6324</t>
  </si>
  <si>
    <t xml:space="preserve">Factura 8723 · C03400 · ZISKO SLAVOMIR</t>
  </si>
  <si>
    <t xml:space="preserve">ES0021000001386440KC · Naturgy · 01/04/26 a 30/04/26</t>
  </si>
  <si>
    <t xml:space="preserve">MES ANTERIOR · Fact.6323</t>
  </si>
  <si>
    <t xml:space="preserve">Factura 8724 · C03430 · MARIA DEL MAR FERRANDO GUILLEM</t>
  </si>
  <si>
    <t xml:space="preserve">ES0021000001204298ZS · Naturgy · 01/04/26 a 30/04/26</t>
  </si>
  <si>
    <t xml:space="preserve">Factura 8725 · C03440 · DIEGO BARQUERO PEREZ</t>
  </si>
  <si>
    <t xml:space="preserve">ES0021000001200743KW · Naturgy · 01/04/26 a 30/04/26</t>
  </si>
  <si>
    <t xml:space="preserve">Factura 8726 · C03450 · RADEK ERBEN</t>
  </si>
  <si>
    <t xml:space="preserve">ES0021000013695713CS · Naturgy · 01/04/26 a 30/04/26</t>
  </si>
  <si>
    <t xml:space="preserve">Factura 8727 · C03460 · SILVIA KREMPASKA</t>
  </si>
  <si>
    <t xml:space="preserve">ES0021000039701362KR · Naturgy · 01/04/26 a 30/04/26</t>
  </si>
  <si>
    <t xml:space="preserve">Factura 8728 · C03470 · </t>
  </si>
  <si>
    <t xml:space="preserve">ES0021000001198764GR · Naturgy · 01/04/26 a 30/04/26</t>
  </si>
  <si>
    <t xml:space="preserve">Factura 8729 · C03480 · MICHAL GLOSIK</t>
  </si>
  <si>
    <t xml:space="preserve">ES0021000042199454GV · Naturgy · 01/04/26 a 30/04/26</t>
  </si>
  <si>
    <t xml:space="preserve">Factura 8730 · C00760 · SALVADOR TORRES BISQUERT</t>
  </si>
  <si>
    <t xml:space="preserve">ES0021000001192533DA · Naturgy · 01/04/26 a 30/04/26</t>
  </si>
  <si>
    <t xml:space="preserve">MES ANTERIOR · Fact.6322</t>
  </si>
  <si>
    <t xml:space="preserve">AÑO ANTERIOR · Fact.4672</t>
  </si>
  <si>
    <t xml:space="preserve">Cobrado total: 17.622 €</t>
  </si>
  <si>
    <t xml:space="preserve">Pagado total: 13.368 €</t>
  </si>
  <si>
    <t xml:space="preserve">DIF: 4.254 €  ·  Margen hist.: 24.1%</t>
  </si>
  <si>
    <t xml:space="preserve">Peor mes: 2023-11 · 258 €</t>
  </si>
  <si>
    <t xml:space="preserve">nf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</si>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</sst>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.00&quot; €&quot;;[RED]\-#,##0.00&quot; €&quot;"/>
    <numFmt numFmtId="167" formatCode="0.00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843C0C"/>
      <name val="Arial"/>
      <family val="0"/>
      <charset val="1"/>
    </font>
    <font>
      <i val="true"/>
      <sz val="8"/>
      <color rgb="FF843C0C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i val="true"/>
      <sz val="8"/>
      <color rgb="FF7F6000"/>
      <name val="Arial"/>
      <family val="0"/>
      <charset val="1"/>
    </font>
    <font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EB9C"/>
      </patternFill>
    </fill>
    <fill>
      <patternFill patternType="solid">
        <fgColor rgb="FFC55A11"/>
        <bgColor rgb="FF7F6000"/>
      </patternFill>
    </fill>
    <fill>
      <patternFill patternType="solid">
        <fgColor rgb="FF548235"/>
        <bgColor rgb="FF595959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BE5D6"/>
      </patternFill>
    </fill>
    <fill>
      <patternFill patternType="solid">
        <fgColor rgb="FFE2EFDA"/>
        <bgColor rgb="FFDDEBF7"/>
      </patternFill>
    </fill>
    <fill>
      <patternFill patternType="solid">
        <fgColor rgb="FFFBE5D6"/>
        <bgColor rgb="FFFCE4D6"/>
      </patternFill>
    </fill>
    <fill>
      <patternFill patternType="solid">
        <fgColor rgb="FFD9E1F2"/>
        <bgColor rgb="FFDDEBF7"/>
      </patternFill>
    </fill>
    <fill>
      <patternFill patternType="solid">
        <fgColor rgb="FFFFD966"/>
        <bgColor rgb="FFFFE699"/>
      </patternFill>
    </fill>
    <fill>
      <patternFill patternType="solid">
        <fgColor rgb="FFFFF2CC"/>
        <bgColor rgb="FFFBE5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D9D9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E1F2"/>
      <rgbColor rgb="FFFCE4D6"/>
      <rgbColor rgb="FFFBE5D6"/>
      <rgbColor rgb="FFFFC7CE"/>
      <rgbColor rgb="FF2E75B6"/>
      <rgbColor rgb="FF33CCCC"/>
      <rgbColor rgb="FF99CC00"/>
      <rgbColor rgb="FFFFD966"/>
      <rgbColor rgb="FFFF9900"/>
      <rgbColor rgb="FFC55A11"/>
      <rgbColor rgb="FF595959"/>
      <rgbColor rgb="FF969696"/>
      <rgbColor rgb="FF003366"/>
      <rgbColor rgb="FF548235"/>
      <rgbColor rgb="FF003300"/>
      <rgbColor rgb="FF333300"/>
      <rgbColor rgb="FF843C0C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_series!$B$2:$Y$2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67.85</c:v>
                </c:pt>
                <c:pt idx="6">
                  <c:v>291.23</c:v>
                </c:pt>
                <c:pt idx="7">
                  <c:v>212.91</c:v>
                </c:pt>
                <c:pt idx="8">
                  <c:v>183.41</c:v>
                </c:pt>
                <c:pt idx="9">
                  <c:v>146.93</c:v>
                </c:pt>
                <c:pt idx="10">
                  <c:v>240.12</c:v>
                </c:pt>
                <c:pt idx="11">
                  <c:v>360.36</c:v>
                </c:pt>
                <c:pt idx="12">
                  <c:v>489.63</c:v>
                </c:pt>
                <c:pt idx="13">
                  <c:v>103.62</c:v>
                </c:pt>
                <c:pt idx="14">
                  <c:v>664.91</c:v>
                </c:pt>
                <c:pt idx="15">
                  <c:v>334.22</c:v>
                </c:pt>
                <c:pt idx="16">
                  <c:v>254.97</c:v>
                </c:pt>
                <c:pt idx="17">
                  <c:v>121.53</c:v>
                </c:pt>
                <c:pt idx="18">
                  <c:v>392.65</c:v>
                </c:pt>
                <c:pt idx="19">
                  <c:v>287.51</c:v>
                </c:pt>
                <c:pt idx="20">
                  <c:v>349.44</c:v>
                </c:pt>
                <c:pt idx="21">
                  <c:v>199.21</c:v>
                </c:pt>
                <c:pt idx="22">
                  <c:v>273.87</c:v>
                </c:pt>
                <c:pt idx="23">
                  <c:v>430.03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345441"/>
        <c:axId val="78536042"/>
      </c:lineChart>
      <c:catAx>
        <c:axId val="733454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36042"/>
        <c:crosses val="autoZero"/>
        <c:auto val="1"/>
        <c:lblAlgn val="ctr"/>
        <c:lblOffset val="100"/>
        <c:noMultiLvlLbl val="0"/>
      </c:catAx>
      <c:valAx>
        <c:axId val="785360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454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_series!$B$3:$Y$3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122.79</c:v>
                </c:pt>
                <c:pt idx="6">
                  <c:v>257.6</c:v>
                </c:pt>
                <c:pt idx="7">
                  <c:v>149.89</c:v>
                </c:pt>
                <c:pt idx="8">
                  <c:v>179.34</c:v>
                </c:pt>
                <c:pt idx="9">
                  <c:v>133.56</c:v>
                </c:pt>
                <c:pt idx="10">
                  <c:v>217.18</c:v>
                </c:pt>
                <c:pt idx="11">
                  <c:v>255.1</c:v>
                </c:pt>
                <c:pt idx="12">
                  <c:v>355.24</c:v>
                </c:pt>
                <c:pt idx="13">
                  <c:v>132.59</c:v>
                </c:pt>
                <c:pt idx="14">
                  <c:v>333.79</c:v>
                </c:pt>
                <c:pt idx="15">
                  <c:v>306.02</c:v>
                </c:pt>
                <c:pt idx="16">
                  <c:v>209.78</c:v>
                </c:pt>
                <c:pt idx="17">
                  <c:v>189.38</c:v>
                </c:pt>
                <c:pt idx="18">
                  <c:v>339.72</c:v>
                </c:pt>
                <c:pt idx="19">
                  <c:v>188.55</c:v>
                </c:pt>
                <c:pt idx="20">
                  <c:v>237.18</c:v>
                </c:pt>
                <c:pt idx="21">
                  <c:v>186.2</c:v>
                </c:pt>
                <c:pt idx="22">
                  <c:v>276</c:v>
                </c:pt>
                <c:pt idx="23">
                  <c:v>343.77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832220"/>
        <c:axId val="22972438"/>
      </c:lineChart>
      <c:catAx>
        <c:axId val="178322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72438"/>
        <c:crosses val="autoZero"/>
        <c:auto val="1"/>
        <c:lblAlgn val="ctr"/>
        <c:lblOffset val="100"/>
        <c:noMultiLvlLbl val="0"/>
      </c:catAx>
      <c:valAx>
        <c:axId val="22972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322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_series!$B$4:$Y$4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240.78</c:v>
                </c:pt>
                <c:pt idx="6">
                  <c:v>270.33</c:v>
                </c:pt>
                <c:pt idx="7">
                  <c:v>122.02</c:v>
                </c:pt>
                <c:pt idx="8">
                  <c:v>156.75</c:v>
                </c:pt>
                <c:pt idx="9">
                  <c:v>185.58</c:v>
                </c:pt>
                <c:pt idx="10">
                  <c:v>220.94</c:v>
                </c:pt>
                <c:pt idx="11">
                  <c:v>589.63</c:v>
                </c:pt>
                <c:pt idx="12">
                  <c:v>626.48</c:v>
                </c:pt>
                <c:pt idx="13">
                  <c:v>164.89</c:v>
                </c:pt>
                <c:pt idx="14">
                  <c:v>386.56</c:v>
                </c:pt>
                <c:pt idx="15">
                  <c:v>382.69</c:v>
                </c:pt>
                <c:pt idx="16">
                  <c:v>261.9</c:v>
                </c:pt>
                <c:pt idx="17">
                  <c:v>330.96</c:v>
                </c:pt>
                <c:pt idx="18">
                  <c:v>371.28</c:v>
                </c:pt>
                <c:pt idx="19">
                  <c:v>169.53</c:v>
                </c:pt>
                <c:pt idx="20">
                  <c:v>214.78</c:v>
                </c:pt>
                <c:pt idx="21">
                  <c:v>271.98</c:v>
                </c:pt>
                <c:pt idx="22">
                  <c:v>271.88</c:v>
                </c:pt>
                <c:pt idx="23">
                  <c:v>692.94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081447"/>
        <c:axId val="85314507"/>
      </c:lineChart>
      <c:catAx>
        <c:axId val="47081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14507"/>
        <c:crosses val="autoZero"/>
        <c:auto val="1"/>
        <c:lblAlgn val="ctr"/>
        <c:lblOffset val="100"/>
        <c:noMultiLvlLbl val="0"/>
      </c:catAx>
      <c:valAx>
        <c:axId val="85314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814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_series!$B$5:$Y$5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143.34</c:v>
                </c:pt>
                <c:pt idx="6">
                  <c:v>255.18</c:v>
                </c:pt>
                <c:pt idx="7">
                  <c:v>122.89</c:v>
                </c:pt>
                <c:pt idx="8">
                  <c:v>228.55</c:v>
                </c:pt>
                <c:pt idx="9">
                  <c:v>175.12</c:v>
                </c:pt>
                <c:pt idx="10">
                  <c:v>270.51</c:v>
                </c:pt>
                <c:pt idx="11">
                  <c:v>388.07</c:v>
                </c:pt>
                <c:pt idx="12">
                  <c:v>574.82</c:v>
                </c:pt>
                <c:pt idx="13">
                  <c:v>154.53</c:v>
                </c:pt>
                <c:pt idx="14">
                  <c:v>359.42</c:v>
                </c:pt>
                <c:pt idx="15">
                  <c:v>352.4</c:v>
                </c:pt>
                <c:pt idx="16">
                  <c:v>177.06</c:v>
                </c:pt>
                <c:pt idx="17">
                  <c:v>261.13</c:v>
                </c:pt>
                <c:pt idx="18">
                  <c:v>337.12</c:v>
                </c:pt>
                <c:pt idx="19">
                  <c:v>149.42</c:v>
                </c:pt>
                <c:pt idx="20">
                  <c:v>232.63</c:v>
                </c:pt>
                <c:pt idx="21">
                  <c:v>279.54</c:v>
                </c:pt>
                <c:pt idx="22">
                  <c:v>333.42</c:v>
                </c:pt>
                <c:pt idx="23">
                  <c:v>462.7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33134"/>
        <c:axId val="88038229"/>
      </c:lineChart>
      <c:catAx>
        <c:axId val="603313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38229"/>
        <c:crosses val="autoZero"/>
        <c:auto val="1"/>
        <c:lblAlgn val="ctr"/>
        <c:lblOffset val="100"/>
        <c:noMultiLvlLbl val="0"/>
      </c:catAx>
      <c:valAx>
        <c:axId val="88038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31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_series!$B$6:$Y$6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181.06</c:v>
                </c:pt>
                <c:pt idx="6">
                  <c:v>235.48</c:v>
                </c:pt>
                <c:pt idx="7">
                  <c:v>115.38</c:v>
                </c:pt>
                <c:pt idx="8">
                  <c:v>164.69</c:v>
                </c:pt>
                <c:pt idx="9">
                  <c:v>208.48</c:v>
                </c:pt>
                <c:pt idx="10">
                  <c:v>620.36</c:v>
                </c:pt>
                <c:pt idx="11">
                  <c:v>776.69</c:v>
                </c:pt>
                <c:pt idx="12">
                  <c:v>910.68</c:v>
                </c:pt>
                <c:pt idx="13">
                  <c:v>276.4</c:v>
                </c:pt>
                <c:pt idx="14">
                  <c:v>777.08</c:v>
                </c:pt>
                <c:pt idx="15">
                  <c:v>555.31</c:v>
                </c:pt>
                <c:pt idx="16">
                  <c:v>267.98</c:v>
                </c:pt>
                <c:pt idx="17">
                  <c:v>240.42</c:v>
                </c:pt>
                <c:pt idx="18">
                  <c:v>316.78</c:v>
                </c:pt>
                <c:pt idx="19">
                  <c:v>165.48</c:v>
                </c:pt>
                <c:pt idx="20">
                  <c:v>218.11</c:v>
                </c:pt>
                <c:pt idx="21">
                  <c:v>311.55</c:v>
                </c:pt>
                <c:pt idx="22">
                  <c:v>651.31</c:v>
                </c:pt>
                <c:pt idx="23">
                  <c:v>839.16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448682"/>
        <c:axId val="50838896"/>
      </c:lineChart>
      <c:catAx>
        <c:axId val="5744868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38896"/>
        <c:crosses val="autoZero"/>
        <c:auto val="1"/>
        <c:lblAlgn val="ctr"/>
        <c:lblOffset val="100"/>
        <c:noMultiLvlLbl val="0"/>
      </c:catAx>
      <c:valAx>
        <c:axId val="508388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486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_series!$B$7:$Y$7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98.79</c:v>
                </c:pt>
                <c:pt idx="6">
                  <c:v>169.59</c:v>
                </c:pt>
                <c:pt idx="7">
                  <c:v>113.34</c:v>
                </c:pt>
                <c:pt idx="8">
                  <c:v>142.42</c:v>
                </c:pt>
                <c:pt idx="9">
                  <c:v>111.81</c:v>
                </c:pt>
                <c:pt idx="10">
                  <c:v>150.31</c:v>
                </c:pt>
                <c:pt idx="11">
                  <c:v>280.5</c:v>
                </c:pt>
                <c:pt idx="12">
                  <c:v>374.5</c:v>
                </c:pt>
                <c:pt idx="13">
                  <c:v>130.26</c:v>
                </c:pt>
                <c:pt idx="14">
                  <c:v>333.66</c:v>
                </c:pt>
                <c:pt idx="15">
                  <c:v>240.63</c:v>
                </c:pt>
                <c:pt idx="16">
                  <c:v>117.47</c:v>
                </c:pt>
                <c:pt idx="17">
                  <c:v>166.39</c:v>
                </c:pt>
                <c:pt idx="18">
                  <c:v>229.98</c:v>
                </c:pt>
                <c:pt idx="19">
                  <c:v>152.99</c:v>
                </c:pt>
                <c:pt idx="20">
                  <c:v>196.1</c:v>
                </c:pt>
                <c:pt idx="21">
                  <c:v>164.11</c:v>
                </c:pt>
                <c:pt idx="22">
                  <c:v>189.25</c:v>
                </c:pt>
                <c:pt idx="23">
                  <c:v>351.03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552936"/>
        <c:axId val="47190223"/>
      </c:lineChart>
      <c:catAx>
        <c:axId val="70552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90223"/>
        <c:crosses val="autoZero"/>
        <c:auto val="1"/>
        <c:lblAlgn val="ctr"/>
        <c:lblOffset val="100"/>
        <c:noMultiLvlLbl val="0"/>
      </c:catAx>
      <c:valAx>
        <c:axId val="47190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529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_series!$B$8:$Y$8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170.28</c:v>
                </c:pt>
                <c:pt idx="6">
                  <c:v>258.52</c:v>
                </c:pt>
                <c:pt idx="7">
                  <c:v>181.42</c:v>
                </c:pt>
                <c:pt idx="8">
                  <c:v>255.74</c:v>
                </c:pt>
                <c:pt idx="9">
                  <c:v>242.83</c:v>
                </c:pt>
                <c:pt idx="10">
                  <c:v>303.68</c:v>
                </c:pt>
                <c:pt idx="11">
                  <c:v>367.91</c:v>
                </c:pt>
                <c:pt idx="12">
                  <c:v>611.02</c:v>
                </c:pt>
                <c:pt idx="13">
                  <c:v>163.33</c:v>
                </c:pt>
                <c:pt idx="14">
                  <c:v>392.33</c:v>
                </c:pt>
                <c:pt idx="15">
                  <c:v>376.51</c:v>
                </c:pt>
                <c:pt idx="16">
                  <c:v>126.21</c:v>
                </c:pt>
                <c:pt idx="17">
                  <c:v>230.73</c:v>
                </c:pt>
                <c:pt idx="18">
                  <c:v>340.4</c:v>
                </c:pt>
                <c:pt idx="19">
                  <c:v>259.71</c:v>
                </c:pt>
                <c:pt idx="20">
                  <c:v>311.91</c:v>
                </c:pt>
                <c:pt idx="21">
                  <c:v>314.39</c:v>
                </c:pt>
                <c:pt idx="22">
                  <c:v>371.77</c:v>
                </c:pt>
                <c:pt idx="23">
                  <c:v>505.17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274200"/>
        <c:axId val="1065357"/>
      </c:lineChart>
      <c:catAx>
        <c:axId val="28274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5357"/>
        <c:crosses val="autoZero"/>
        <c:auto val="1"/>
        <c:lblAlgn val="ctr"/>
        <c:lblOffset val="100"/>
        <c:noMultiLvlLbl val="0"/>
      </c:catAx>
      <c:valAx>
        <c:axId val="10653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742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_series!$B$9:$Y$9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193.05</c:v>
                </c:pt>
                <c:pt idx="6">
                  <c:v>309.11</c:v>
                </c:pt>
                <c:pt idx="7">
                  <c:v>197.99</c:v>
                </c:pt>
                <c:pt idx="8">
                  <c:v>256.8</c:v>
                </c:pt>
                <c:pt idx="9">
                  <c:v>114.01</c:v>
                </c:pt>
                <c:pt idx="10">
                  <c:v>245.88</c:v>
                </c:pt>
                <c:pt idx="11">
                  <c:v>405.6</c:v>
                </c:pt>
                <c:pt idx="12">
                  <c:v>510.83</c:v>
                </c:pt>
                <c:pt idx="13">
                  <c:v>181.08</c:v>
                </c:pt>
                <c:pt idx="14">
                  <c:v>334.97</c:v>
                </c:pt>
                <c:pt idx="15">
                  <c:v>263.34</c:v>
                </c:pt>
                <c:pt idx="16">
                  <c:v>146.93</c:v>
                </c:pt>
                <c:pt idx="17">
                  <c:v>251.21</c:v>
                </c:pt>
                <c:pt idx="18">
                  <c:v>411.51</c:v>
                </c:pt>
                <c:pt idx="19">
                  <c:v>292.86</c:v>
                </c:pt>
                <c:pt idx="20">
                  <c:v>309.03</c:v>
                </c:pt>
                <c:pt idx="21">
                  <c:v>166.4</c:v>
                </c:pt>
                <c:pt idx="22">
                  <c:v>321.26</c:v>
                </c:pt>
                <c:pt idx="23">
                  <c:v>473.59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975927"/>
        <c:axId val="23417068"/>
      </c:lineChart>
      <c:catAx>
        <c:axId val="49975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17068"/>
        <c:crosses val="autoZero"/>
        <c:auto val="1"/>
        <c:lblAlgn val="ctr"/>
        <c:lblOffset val="100"/>
        <c:noMultiLvlLbl val="0"/>
      </c:catAx>
      <c:valAx>
        <c:axId val="234170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759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_series!$B$10:$Y$10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131.4</c:v>
                </c:pt>
                <c:pt idx="6">
                  <c:v>332.79</c:v>
                </c:pt>
                <c:pt idx="7">
                  <c:v>154.85</c:v>
                </c:pt>
                <c:pt idx="8">
                  <c:v>172.58</c:v>
                </c:pt>
                <c:pt idx="9">
                  <c:v>151.87</c:v>
                </c:pt>
                <c:pt idx="10">
                  <c:v>305.89</c:v>
                </c:pt>
                <c:pt idx="11">
                  <c:v>454</c:v>
                </c:pt>
                <c:pt idx="12">
                  <c:v>499.25</c:v>
                </c:pt>
                <c:pt idx="13">
                  <c:v>117.75</c:v>
                </c:pt>
                <c:pt idx="14">
                  <c:v>483.02</c:v>
                </c:pt>
                <c:pt idx="15">
                  <c:v>456.69</c:v>
                </c:pt>
                <c:pt idx="16">
                  <c:v>281.62</c:v>
                </c:pt>
                <c:pt idx="17">
                  <c:v>195.74</c:v>
                </c:pt>
                <c:pt idx="18">
                  <c:v>435.76</c:v>
                </c:pt>
                <c:pt idx="19">
                  <c:v>244.72</c:v>
                </c:pt>
                <c:pt idx="20">
                  <c:v>225.93</c:v>
                </c:pt>
                <c:pt idx="21">
                  <c:v>215.79</c:v>
                </c:pt>
                <c:pt idx="22">
                  <c:v>358.91</c:v>
                </c:pt>
                <c:pt idx="23">
                  <c:v>525.02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979438"/>
        <c:axId val="66682858"/>
      </c:lineChart>
      <c:catAx>
        <c:axId val="149794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82858"/>
        <c:crosses val="autoZero"/>
        <c:auto val="1"/>
        <c:lblAlgn val="ctr"/>
        <c:lblOffset val="100"/>
        <c:noMultiLvlLbl val="0"/>
      </c:catAx>
      <c:valAx>
        <c:axId val="66682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794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_series!$B$11:$Y$11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85.02</c:v>
                </c:pt>
                <c:pt idx="6">
                  <c:v>92.48</c:v>
                </c:pt>
                <c:pt idx="7">
                  <c:v>67.3</c:v>
                </c:pt>
                <c:pt idx="8">
                  <c:v>63.22</c:v>
                </c:pt>
                <c:pt idx="9">
                  <c:v>67.94</c:v>
                </c:pt>
                <c:pt idx="10">
                  <c:v>131.71</c:v>
                </c:pt>
                <c:pt idx="11">
                  <c:v>173.41</c:v>
                </c:pt>
                <c:pt idx="12">
                  <c:v>247.92</c:v>
                </c:pt>
                <c:pt idx="13">
                  <c:v>108.06</c:v>
                </c:pt>
                <c:pt idx="14">
                  <c:v>101.19</c:v>
                </c:pt>
                <c:pt idx="15">
                  <c:v>77.36</c:v>
                </c:pt>
                <c:pt idx="16">
                  <c:v>93.5</c:v>
                </c:pt>
                <c:pt idx="17">
                  <c:v>135.59</c:v>
                </c:pt>
                <c:pt idx="18">
                  <c:v>150.61</c:v>
                </c:pt>
                <c:pt idx="19">
                  <c:v>101.26</c:v>
                </c:pt>
                <c:pt idx="20">
                  <c:v>83.58</c:v>
                </c:pt>
                <c:pt idx="21">
                  <c:v>92.95</c:v>
                </c:pt>
                <c:pt idx="22">
                  <c:v>164.49</c:v>
                </c:pt>
                <c:pt idx="23">
                  <c:v>244.04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255100"/>
        <c:axId val="21864789"/>
      </c:lineChart>
      <c:catAx>
        <c:axId val="63255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64789"/>
        <c:crosses val="autoZero"/>
        <c:auto val="1"/>
        <c:lblAlgn val="ctr"/>
        <c:lblOffset val="100"/>
        <c:noMultiLvlLbl val="0"/>
      </c:catAx>
      <c:valAx>
        <c:axId val="218647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551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_series!$B$12:$Y$12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51.19</c:v>
                </c:pt>
                <c:pt idx="6">
                  <c:v>153.54</c:v>
                </c:pt>
                <c:pt idx="7">
                  <c:v>125.01</c:v>
                </c:pt>
                <c:pt idx="8">
                  <c:v>130.52</c:v>
                </c:pt>
                <c:pt idx="9">
                  <c:v>91.61</c:v>
                </c:pt>
                <c:pt idx="10">
                  <c:v>150.09</c:v>
                </c:pt>
                <c:pt idx="11">
                  <c:v>209.74</c:v>
                </c:pt>
                <c:pt idx="12">
                  <c:v>185.37</c:v>
                </c:pt>
                <c:pt idx="13">
                  <c:v>131.51</c:v>
                </c:pt>
                <c:pt idx="14">
                  <c:v>105.59</c:v>
                </c:pt>
                <c:pt idx="15">
                  <c:v>72.64</c:v>
                </c:pt>
                <c:pt idx="16">
                  <c:v>89.99</c:v>
                </c:pt>
                <c:pt idx="17">
                  <c:v>123.52</c:v>
                </c:pt>
                <c:pt idx="18">
                  <c:v>213.59</c:v>
                </c:pt>
                <c:pt idx="19">
                  <c:v>175.89</c:v>
                </c:pt>
                <c:pt idx="20">
                  <c:v>185.75</c:v>
                </c:pt>
                <c:pt idx="21">
                  <c:v>115.98</c:v>
                </c:pt>
                <c:pt idx="22">
                  <c:v>187.53</c:v>
                </c:pt>
                <c:pt idx="23">
                  <c:v>400.32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815126"/>
        <c:axId val="35797298"/>
      </c:lineChart>
      <c:catAx>
        <c:axId val="3781512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97298"/>
        <c:crosses val="autoZero"/>
        <c:auto val="1"/>
        <c:lblAlgn val="ctr"/>
        <c:lblOffset val="100"/>
        <c:noMultiLvlLbl val="0"/>
      </c:catAx>
      <c:valAx>
        <c:axId val="35797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151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_series!$B$13:$Y$13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114.46</c:v>
                </c:pt>
                <c:pt idx="6">
                  <c:v>156.2</c:v>
                </c:pt>
                <c:pt idx="7">
                  <c:v>110.71</c:v>
                </c:pt>
                <c:pt idx="8">
                  <c:v>260.77</c:v>
                </c:pt>
                <c:pt idx="9">
                  <c:v>179.33</c:v>
                </c:pt>
                <c:pt idx="10">
                  <c:v>224.35</c:v>
                </c:pt>
                <c:pt idx="11">
                  <c:v>412.73</c:v>
                </c:pt>
                <c:pt idx="12">
                  <c:v>606.87</c:v>
                </c:pt>
                <c:pt idx="13">
                  <c:v>152.73</c:v>
                </c:pt>
                <c:pt idx="14">
                  <c:v>491.2</c:v>
                </c:pt>
                <c:pt idx="15">
                  <c:v>404.96</c:v>
                </c:pt>
                <c:pt idx="16">
                  <c:v>240.01</c:v>
                </c:pt>
                <c:pt idx="17">
                  <c:v>180.49</c:v>
                </c:pt>
                <c:pt idx="18">
                  <c:v>212.19</c:v>
                </c:pt>
                <c:pt idx="19">
                  <c:v>175.43</c:v>
                </c:pt>
                <c:pt idx="20">
                  <c:v>339.01</c:v>
                </c:pt>
                <c:pt idx="21">
                  <c:v>251.07</c:v>
                </c:pt>
                <c:pt idx="22">
                  <c:v>287</c:v>
                </c:pt>
                <c:pt idx="23">
                  <c:v>499.04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716511"/>
        <c:axId val="43720500"/>
      </c:lineChart>
      <c:catAx>
        <c:axId val="94716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20500"/>
        <c:crosses val="autoZero"/>
        <c:auto val="1"/>
        <c:lblAlgn val="ctr"/>
        <c:lblOffset val="100"/>
        <c:noMultiLvlLbl val="0"/>
      </c:catAx>
      <c:valAx>
        <c:axId val="437205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165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_series!$B$14:$Y$14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74.36</c:v>
                </c:pt>
                <c:pt idx="6">
                  <c:v>212.65</c:v>
                </c:pt>
                <c:pt idx="7">
                  <c:v>196.15</c:v>
                </c:pt>
                <c:pt idx="8">
                  <c:v>271.38</c:v>
                </c:pt>
                <c:pt idx="9">
                  <c:v>232.4</c:v>
                </c:pt>
                <c:pt idx="10">
                  <c:v>267.24</c:v>
                </c:pt>
                <c:pt idx="11">
                  <c:v>355.82</c:v>
                </c:pt>
                <c:pt idx="12">
                  <c:v>442.68</c:v>
                </c:pt>
                <c:pt idx="13">
                  <c:v>117.14</c:v>
                </c:pt>
                <c:pt idx="14">
                  <c:v>501.52</c:v>
                </c:pt>
                <c:pt idx="15">
                  <c:v>378.61</c:v>
                </c:pt>
                <c:pt idx="16">
                  <c:v>286.56</c:v>
                </c:pt>
                <c:pt idx="17">
                  <c:v>128.8</c:v>
                </c:pt>
                <c:pt idx="18">
                  <c:v>271.26</c:v>
                </c:pt>
                <c:pt idx="19">
                  <c:v>269.14</c:v>
                </c:pt>
                <c:pt idx="20">
                  <c:v>401.39</c:v>
                </c:pt>
                <c:pt idx="21">
                  <c:v>298.92</c:v>
                </c:pt>
                <c:pt idx="22">
                  <c:v>330.2</c:v>
                </c:pt>
                <c:pt idx="23">
                  <c:v>399.6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608971"/>
        <c:axId val="75984443"/>
      </c:lineChart>
      <c:catAx>
        <c:axId val="406089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84443"/>
        <c:crosses val="autoZero"/>
        <c:auto val="1"/>
        <c:lblAlgn val="ctr"/>
        <c:lblOffset val="100"/>
        <c:noMultiLvlLbl val="0"/>
      </c:catAx>
      <c:valAx>
        <c:axId val="759844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089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_series!$B$15:$Y$15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80.49</c:v>
                </c:pt>
                <c:pt idx="6">
                  <c:v>305.09</c:v>
                </c:pt>
                <c:pt idx="7">
                  <c:v>247.72</c:v>
                </c:pt>
                <c:pt idx="8">
                  <c:v>457.79</c:v>
                </c:pt>
                <c:pt idx="9">
                  <c:v>280.07</c:v>
                </c:pt>
                <c:pt idx="10">
                  <c:v>373.47</c:v>
                </c:pt>
                <c:pt idx="11">
                  <c:v>467.85</c:v>
                </c:pt>
                <c:pt idx="12">
                  <c:v>609.1</c:v>
                </c:pt>
                <c:pt idx="13">
                  <c:v>125.46</c:v>
                </c:pt>
                <c:pt idx="14">
                  <c:v>424.54</c:v>
                </c:pt>
                <c:pt idx="15">
                  <c:v>524.58</c:v>
                </c:pt>
                <c:pt idx="16">
                  <c:v>411.31</c:v>
                </c:pt>
                <c:pt idx="17">
                  <c:v>134.32</c:v>
                </c:pt>
                <c:pt idx="18">
                  <c:v>403.13</c:v>
                </c:pt>
                <c:pt idx="19">
                  <c:v>345.53</c:v>
                </c:pt>
                <c:pt idx="20">
                  <c:v>523.95</c:v>
                </c:pt>
                <c:pt idx="21">
                  <c:v>345.87</c:v>
                </c:pt>
                <c:pt idx="22">
                  <c:v>442.35</c:v>
                </c:pt>
                <c:pt idx="23">
                  <c:v>522.52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27329"/>
        <c:axId val="13850261"/>
      </c:lineChart>
      <c:catAx>
        <c:axId val="73273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50261"/>
        <c:crosses val="autoZero"/>
        <c:auto val="1"/>
        <c:lblAlgn val="ctr"/>
        <c:lblOffset val="100"/>
        <c:noMultiLvlLbl val="0"/>
      </c:catAx>
      <c:valAx>
        <c:axId val="13850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73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_series!$B$16:$Y$16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197.21</c:v>
                </c:pt>
                <c:pt idx="6">
                  <c:v>107.96</c:v>
                </c:pt>
                <c:pt idx="7">
                  <c:v>57.75</c:v>
                </c:pt>
                <c:pt idx="8">
                  <c:v>57.76</c:v>
                </c:pt>
                <c:pt idx="9">
                  <c:v>156.48</c:v>
                </c:pt>
                <c:pt idx="10">
                  <c:v>109.34</c:v>
                </c:pt>
                <c:pt idx="11">
                  <c:v>81.96</c:v>
                </c:pt>
                <c:pt idx="12">
                  <c:v>104.55</c:v>
                </c:pt>
                <c:pt idx="13">
                  <c:v>64.71</c:v>
                </c:pt>
                <c:pt idx="14">
                  <c:v>144.05</c:v>
                </c:pt>
                <c:pt idx="15">
                  <c:v>114.68</c:v>
                </c:pt>
                <c:pt idx="16">
                  <c:v>57.95</c:v>
                </c:pt>
                <c:pt idx="17">
                  <c:v>155.67</c:v>
                </c:pt>
                <c:pt idx="18">
                  <c:v>95.69</c:v>
                </c:pt>
                <c:pt idx="19">
                  <c:v>73.01</c:v>
                </c:pt>
                <c:pt idx="20">
                  <c:v>131.64</c:v>
                </c:pt>
                <c:pt idx="21">
                  <c:v>214.16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576533"/>
        <c:axId val="23889562"/>
      </c:lineChart>
      <c:catAx>
        <c:axId val="745765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89562"/>
        <c:crosses val="autoZero"/>
        <c:auto val="1"/>
        <c:lblAlgn val="ctr"/>
        <c:lblOffset val="100"/>
        <c:noMultiLvlLbl val="0"/>
      </c:catAx>
      <c:valAx>
        <c:axId val="238895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765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_series!$B$17:$Y$17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242.74</c:v>
                </c:pt>
                <c:pt idx="6">
                  <c:v>219.19</c:v>
                </c:pt>
                <c:pt idx="7">
                  <c:v>209.34</c:v>
                </c:pt>
                <c:pt idx="8">
                  <c:v>210.33</c:v>
                </c:pt>
                <c:pt idx="9">
                  <c:v>189.9</c:v>
                </c:pt>
                <c:pt idx="10">
                  <c:v>190.38</c:v>
                </c:pt>
                <c:pt idx="11">
                  <c:v>193.93</c:v>
                </c:pt>
                <c:pt idx="12">
                  <c:v>203.58</c:v>
                </c:pt>
                <c:pt idx="13">
                  <c:v>205.73</c:v>
                </c:pt>
                <c:pt idx="14">
                  <c:v>206.28</c:v>
                </c:pt>
                <c:pt idx="15">
                  <c:v>209.82</c:v>
                </c:pt>
                <c:pt idx="16">
                  <c:v>233.02</c:v>
                </c:pt>
                <c:pt idx="17">
                  <c:v>237.28</c:v>
                </c:pt>
                <c:pt idx="18">
                  <c:v>266.33</c:v>
                </c:pt>
                <c:pt idx="19">
                  <c:v>225.34</c:v>
                </c:pt>
                <c:pt idx="20">
                  <c:v>236</c:v>
                </c:pt>
                <c:pt idx="21">
                  <c:v>204.34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476792"/>
        <c:axId val="16958066"/>
      </c:lineChart>
      <c:catAx>
        <c:axId val="54476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58066"/>
        <c:crosses val="autoZero"/>
        <c:auto val="1"/>
        <c:lblAlgn val="ctr"/>
        <c:lblOffset val="100"/>
        <c:noMultiLvlLbl val="0"/>
      </c:catAx>
      <c:valAx>
        <c:axId val="169580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767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_series!$B$18:$Y$18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237.82</c:v>
                </c:pt>
                <c:pt idx="8">
                  <c:v>194.8</c:v>
                </c:pt>
                <c:pt idx="9">
                  <c:v>152.7</c:v>
                </c:pt>
                <c:pt idx="10">
                  <c:v>84.08</c:v>
                </c:pt>
                <c:pt idx="11">
                  <c:v>156.38</c:v>
                </c:pt>
                <c:pt idx="12">
                  <c:v>191.84</c:v>
                </c:pt>
                <c:pt idx="13">
                  <c:v>247.16</c:v>
                </c:pt>
                <c:pt idx="14">
                  <c:v>137.84</c:v>
                </c:pt>
                <c:pt idx="15">
                  <c:v>112.15</c:v>
                </c:pt>
                <c:pt idx="16">
                  <c:v>186.88</c:v>
                </c:pt>
                <c:pt idx="17">
                  <c:v>247.21</c:v>
                </c:pt>
                <c:pt idx="18">
                  <c:v>287.01</c:v>
                </c:pt>
                <c:pt idx="19">
                  <c:v>230.81</c:v>
                </c:pt>
                <c:pt idx="20">
                  <c:v>276.44</c:v>
                </c:pt>
                <c:pt idx="21">
                  <c:v>139.84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373274"/>
        <c:axId val="73990858"/>
      </c:lineChart>
      <c:catAx>
        <c:axId val="493732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90858"/>
        <c:crosses val="autoZero"/>
        <c:auto val="1"/>
        <c:lblAlgn val="ctr"/>
        <c:lblOffset val="100"/>
        <c:noMultiLvlLbl val="0"/>
      </c:catAx>
      <c:valAx>
        <c:axId val="73990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732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_series!$B$19:$Y$19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48.8</c:v>
                </c:pt>
                <c:pt idx="6">
                  <c:v>87.84</c:v>
                </c:pt>
                <c:pt idx="7">
                  <c:v>47.65</c:v>
                </c:pt>
                <c:pt idx="8">
                  <c:v>56.89</c:v>
                </c:pt>
                <c:pt idx="9">
                  <c:v>54.07</c:v>
                </c:pt>
                <c:pt idx="10">
                  <c:v>53.92</c:v>
                </c:pt>
                <c:pt idx="11">
                  <c:v>76.54</c:v>
                </c:pt>
                <c:pt idx="12">
                  <c:v>42.09</c:v>
                </c:pt>
                <c:pt idx="13">
                  <c:v>39.38</c:v>
                </c:pt>
                <c:pt idx="14">
                  <c:v>74.06</c:v>
                </c:pt>
                <c:pt idx="15">
                  <c:v>82.16</c:v>
                </c:pt>
                <c:pt idx="16">
                  <c:v>50.76</c:v>
                </c:pt>
                <c:pt idx="17">
                  <c:v>68.32</c:v>
                </c:pt>
                <c:pt idx="18">
                  <c:v>74.95</c:v>
                </c:pt>
                <c:pt idx="19">
                  <c:v>74.28</c:v>
                </c:pt>
                <c:pt idx="20">
                  <c:v>67.62</c:v>
                </c:pt>
                <c:pt idx="21">
                  <c:v>68.56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762972"/>
        <c:axId val="58969040"/>
      </c:lineChart>
      <c:catAx>
        <c:axId val="317629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69040"/>
        <c:crosses val="autoZero"/>
        <c:auto val="1"/>
        <c:lblAlgn val="ctr"/>
        <c:lblOffset val="100"/>
        <c:noMultiLvlLbl val="0"/>
      </c:catAx>
      <c:valAx>
        <c:axId val="58969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629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_series!$B$20:$Y$20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142.7</c:v>
                </c:pt>
                <c:pt idx="6">
                  <c:v>158.03</c:v>
                </c:pt>
                <c:pt idx="7">
                  <c:v>104.93</c:v>
                </c:pt>
                <c:pt idx="8">
                  <c:v>109.06</c:v>
                </c:pt>
                <c:pt idx="9">
                  <c:v>62.3</c:v>
                </c:pt>
                <c:pt idx="10">
                  <c:v>62.29</c:v>
                </c:pt>
                <c:pt idx="11">
                  <c:v>157.8</c:v>
                </c:pt>
                <c:pt idx="12">
                  <c:v>198.54</c:v>
                </c:pt>
                <c:pt idx="13">
                  <c:v>134.89</c:v>
                </c:pt>
                <c:pt idx="14">
                  <c:v>110.65</c:v>
                </c:pt>
                <c:pt idx="15">
                  <c:v>105.97</c:v>
                </c:pt>
                <c:pt idx="16">
                  <c:v>117.91</c:v>
                </c:pt>
                <c:pt idx="17">
                  <c:v>123.7</c:v>
                </c:pt>
                <c:pt idx="18">
                  <c:v>98.87</c:v>
                </c:pt>
                <c:pt idx="19">
                  <c:v>105.2</c:v>
                </c:pt>
                <c:pt idx="20">
                  <c:v>90.93</c:v>
                </c:pt>
                <c:pt idx="21">
                  <c:v>57.95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685695"/>
        <c:axId val="48113530"/>
      </c:lineChart>
      <c:catAx>
        <c:axId val="56685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13530"/>
        <c:crosses val="autoZero"/>
        <c:auto val="1"/>
        <c:lblAlgn val="ctr"/>
        <c:lblOffset val="100"/>
        <c:noMultiLvlLbl val="0"/>
      </c:catAx>
      <c:valAx>
        <c:axId val="481135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856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_series!$B$21:$Y$21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47.1</c:v>
                </c:pt>
                <c:pt idx="6">
                  <c:v>102.36</c:v>
                </c:pt>
                <c:pt idx="7">
                  <c:v>78.98</c:v>
                </c:pt>
                <c:pt idx="8">
                  <c:v>99.58</c:v>
                </c:pt>
                <c:pt idx="9">
                  <c:v>74.5</c:v>
                </c:pt>
                <c:pt idx="10">
                  <c:v>68.43</c:v>
                </c:pt>
                <c:pt idx="11">
                  <c:v>74.5</c:v>
                </c:pt>
                <c:pt idx="12">
                  <c:v>105.08</c:v>
                </c:pt>
                <c:pt idx="13">
                  <c:v>138.22</c:v>
                </c:pt>
                <c:pt idx="14">
                  <c:v>106.65</c:v>
                </c:pt>
                <c:pt idx="15">
                  <c:v>83.05</c:v>
                </c:pt>
                <c:pt idx="16">
                  <c:v>64.55</c:v>
                </c:pt>
                <c:pt idx="17">
                  <c:v>76.49</c:v>
                </c:pt>
                <c:pt idx="18">
                  <c:v>91.62</c:v>
                </c:pt>
                <c:pt idx="19">
                  <c:v>58.77</c:v>
                </c:pt>
                <c:pt idx="20">
                  <c:v>58.18</c:v>
                </c:pt>
                <c:pt idx="21">
                  <c:v>55.48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534738"/>
        <c:axId val="54990358"/>
      </c:lineChart>
      <c:catAx>
        <c:axId val="145347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90358"/>
        <c:crosses val="autoZero"/>
        <c:auto val="1"/>
        <c:lblAlgn val="ctr"/>
        <c:lblOffset val="100"/>
        <c:noMultiLvlLbl val="0"/>
      </c:catAx>
      <c:valAx>
        <c:axId val="54990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347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_series!$B$22:$Y$22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62.66</c:v>
                </c:pt>
                <c:pt idx="20">
                  <c:v>52.63</c:v>
                </c:pt>
                <c:pt idx="21">
                  <c:v>53.78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100175"/>
        <c:axId val="99132612"/>
      </c:lineChart>
      <c:catAx>
        <c:axId val="33100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32612"/>
        <c:crosses val="autoZero"/>
        <c:auto val="1"/>
        <c:lblAlgn val="ctr"/>
        <c:lblOffset val="100"/>
        <c:noMultiLvlLbl val="0"/>
      </c:catAx>
      <c:valAx>
        <c:axId val="99132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001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_series!$B$23:$Y$23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40.13</c:v>
                </c:pt>
                <c:pt idx="6">
                  <c:v>113.72</c:v>
                </c:pt>
                <c:pt idx="7">
                  <c:v>75.18</c:v>
                </c:pt>
                <c:pt idx="8">
                  <c:v>54.02</c:v>
                </c:pt>
                <c:pt idx="9">
                  <c:v>53.3</c:v>
                </c:pt>
                <c:pt idx="10">
                  <c:v>53.49</c:v>
                </c:pt>
                <c:pt idx="11">
                  <c:v>66.13</c:v>
                </c:pt>
                <c:pt idx="12">
                  <c:v>53.49</c:v>
                </c:pt>
                <c:pt idx="13">
                  <c:v>53.49</c:v>
                </c:pt>
                <c:pt idx="14">
                  <c:v>53.49</c:v>
                </c:pt>
                <c:pt idx="15">
                  <c:v>59.64</c:v>
                </c:pt>
                <c:pt idx="16">
                  <c:v>53.49</c:v>
                </c:pt>
                <c:pt idx="17">
                  <c:v>53.49</c:v>
                </c:pt>
                <c:pt idx="18">
                  <c:v>53.49</c:v>
                </c:pt>
                <c:pt idx="19">
                  <c:v>84.44</c:v>
                </c:pt>
                <c:pt idx="20">
                  <c:v>86.3</c:v>
                </c:pt>
                <c:pt idx="21">
                  <c:v>53.49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742345"/>
        <c:axId val="39565822"/>
      </c:lineChart>
      <c:catAx>
        <c:axId val="407423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65822"/>
        <c:crosses val="autoZero"/>
        <c:auto val="1"/>
        <c:lblAlgn val="ctr"/>
        <c:lblOffset val="100"/>
        <c:noMultiLvlLbl val="0"/>
      </c:catAx>
      <c:valAx>
        <c:axId val="39565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423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_series!$B$24:$Y$24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4.17</c:v>
                </c:pt>
                <c:pt idx="6">
                  <c:v>38.81</c:v>
                </c:pt>
                <c:pt idx="7">
                  <c:v>29.88</c:v>
                </c:pt>
                <c:pt idx="8">
                  <c:v>29.89</c:v>
                </c:pt>
                <c:pt idx="9">
                  <c:v>29.89</c:v>
                </c:pt>
                <c:pt idx="10">
                  <c:v>30.08</c:v>
                </c:pt>
                <c:pt idx="11">
                  <c:v>30.08</c:v>
                </c:pt>
                <c:pt idx="12">
                  <c:v>30.08</c:v>
                </c:pt>
                <c:pt idx="13">
                  <c:v>41.58</c:v>
                </c:pt>
                <c:pt idx="14">
                  <c:v>32.89</c:v>
                </c:pt>
                <c:pt idx="15">
                  <c:v>35.43</c:v>
                </c:pt>
                <c:pt idx="16">
                  <c:v>30.08</c:v>
                </c:pt>
                <c:pt idx="17">
                  <c:v>59.76</c:v>
                </c:pt>
                <c:pt idx="18">
                  <c:v>45.3</c:v>
                </c:pt>
                <c:pt idx="19">
                  <c:v>30.07</c:v>
                </c:pt>
                <c:pt idx="20">
                  <c:v>30.27</c:v>
                </c:pt>
                <c:pt idx="21">
                  <c:v>30.08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748260"/>
        <c:axId val="34721856"/>
      </c:lineChart>
      <c:catAx>
        <c:axId val="627482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21856"/>
        <c:crosses val="autoZero"/>
        <c:auto val="1"/>
        <c:lblAlgn val="ctr"/>
        <c:lblOffset val="100"/>
        <c:noMultiLvlLbl val="0"/>
      </c:catAx>
      <c:valAx>
        <c:axId val="34721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482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_series!$B$25:$Y$25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57.56</c:v>
                </c:pt>
                <c:pt idx="6">
                  <c:v>84.21</c:v>
                </c:pt>
                <c:pt idx="7">
                  <c:v>44.54</c:v>
                </c:pt>
                <c:pt idx="8">
                  <c:v>79.6</c:v>
                </c:pt>
                <c:pt idx="9">
                  <c:v>44.55</c:v>
                </c:pt>
                <c:pt idx="10">
                  <c:v>44.74</c:v>
                </c:pt>
                <c:pt idx="11">
                  <c:v>50.05</c:v>
                </c:pt>
                <c:pt idx="12">
                  <c:v>68.03</c:v>
                </c:pt>
                <c:pt idx="13">
                  <c:v>100.62</c:v>
                </c:pt>
                <c:pt idx="14">
                  <c:v>68.28</c:v>
                </c:pt>
                <c:pt idx="15">
                  <c:v>74.86</c:v>
                </c:pt>
                <c:pt idx="16">
                  <c:v>98.21</c:v>
                </c:pt>
                <c:pt idx="17">
                  <c:v>185.93</c:v>
                </c:pt>
                <c:pt idx="18">
                  <c:v>227.02</c:v>
                </c:pt>
                <c:pt idx="19">
                  <c:v>130.45</c:v>
                </c:pt>
                <c:pt idx="20">
                  <c:v>129.43</c:v>
                </c:pt>
                <c:pt idx="21">
                  <c:v>68.32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125094"/>
        <c:axId val="86608920"/>
      </c:lineChart>
      <c:catAx>
        <c:axId val="3712509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08920"/>
        <c:crosses val="autoZero"/>
        <c:auto val="1"/>
        <c:lblAlgn val="ctr"/>
        <c:lblOffset val="100"/>
        <c:noMultiLvlLbl val="0"/>
      </c:catAx>
      <c:valAx>
        <c:axId val="86608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250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_series!$B$26:$Y$26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184.43</c:v>
                </c:pt>
                <c:pt idx="6">
                  <c:v>228.2</c:v>
                </c:pt>
                <c:pt idx="7">
                  <c:v>253.06</c:v>
                </c:pt>
                <c:pt idx="8">
                  <c:v>162.55</c:v>
                </c:pt>
                <c:pt idx="9">
                  <c:v>99.76</c:v>
                </c:pt>
                <c:pt idx="10">
                  <c:v>93.71</c:v>
                </c:pt>
                <c:pt idx="11">
                  <c:v>151.01</c:v>
                </c:pt>
                <c:pt idx="12">
                  <c:v>123.8</c:v>
                </c:pt>
                <c:pt idx="13">
                  <c:v>89.88</c:v>
                </c:pt>
                <c:pt idx="14">
                  <c:v>110.76</c:v>
                </c:pt>
                <c:pt idx="15">
                  <c:v>115.59</c:v>
                </c:pt>
                <c:pt idx="16">
                  <c:v>181.22</c:v>
                </c:pt>
                <c:pt idx="17">
                  <c:v>196.25</c:v>
                </c:pt>
                <c:pt idx="18">
                  <c:v>0</c:v>
                </c:pt>
                <c:pt idx="19">
                  <c:v>123.89</c:v>
                </c:pt>
                <c:pt idx="20">
                  <c:v>110.69</c:v>
                </c:pt>
                <c:pt idx="21">
                  <c:v>82.16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196682"/>
        <c:axId val="19777581"/>
      </c:lineChart>
      <c:catAx>
        <c:axId val="9719668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77581"/>
        <c:crosses val="autoZero"/>
        <c:auto val="1"/>
        <c:lblAlgn val="ctr"/>
        <c:lblOffset val="100"/>
        <c:noMultiLvlLbl val="0"/>
      </c:catAx>
      <c:valAx>
        <c:axId val="197775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966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_series!$B$27:$Y$27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290.71</c:v>
                </c:pt>
                <c:pt idx="6">
                  <c:v>324.28</c:v>
                </c:pt>
                <c:pt idx="7">
                  <c:v>271.18</c:v>
                </c:pt>
                <c:pt idx="8">
                  <c:v>294.1</c:v>
                </c:pt>
                <c:pt idx="9">
                  <c:v>305.38</c:v>
                </c:pt>
                <c:pt idx="10">
                  <c:v>240.86</c:v>
                </c:pt>
                <c:pt idx="11">
                  <c:v>379.37</c:v>
                </c:pt>
                <c:pt idx="12">
                  <c:v>463.88</c:v>
                </c:pt>
                <c:pt idx="13">
                  <c:v>533.81</c:v>
                </c:pt>
                <c:pt idx="14">
                  <c:v>372.47</c:v>
                </c:pt>
                <c:pt idx="15">
                  <c:v>384.38</c:v>
                </c:pt>
                <c:pt idx="16">
                  <c:v>309.32</c:v>
                </c:pt>
                <c:pt idx="17">
                  <c:v>368.67</c:v>
                </c:pt>
                <c:pt idx="18">
                  <c:v>343.52</c:v>
                </c:pt>
                <c:pt idx="19">
                  <c:v>280.31</c:v>
                </c:pt>
                <c:pt idx="20">
                  <c:v>335.76</c:v>
                </c:pt>
                <c:pt idx="21">
                  <c:v>67.21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911877"/>
        <c:axId val="87110853"/>
      </c:lineChart>
      <c:catAx>
        <c:axId val="569118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10853"/>
        <c:crosses val="autoZero"/>
        <c:auto val="1"/>
        <c:lblAlgn val="ctr"/>
        <c:lblOffset val="100"/>
        <c:noMultiLvlLbl val="0"/>
      </c:catAx>
      <c:valAx>
        <c:axId val="871108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118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_series!$B$28:$Y$28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42.64</c:v>
                </c:pt>
                <c:pt idx="6">
                  <c:v>52.53</c:v>
                </c:pt>
                <c:pt idx="7">
                  <c:v>52.52</c:v>
                </c:pt>
                <c:pt idx="8">
                  <c:v>52.53</c:v>
                </c:pt>
                <c:pt idx="9">
                  <c:v>96.36</c:v>
                </c:pt>
                <c:pt idx="10">
                  <c:v>158.5</c:v>
                </c:pt>
                <c:pt idx="11">
                  <c:v>323.81</c:v>
                </c:pt>
                <c:pt idx="12">
                  <c:v>532.71</c:v>
                </c:pt>
                <c:pt idx="13">
                  <c:v>651.11</c:v>
                </c:pt>
                <c:pt idx="14">
                  <c:v>444.67</c:v>
                </c:pt>
                <c:pt idx="15">
                  <c:v>119.88</c:v>
                </c:pt>
                <c:pt idx="16">
                  <c:v>48.59</c:v>
                </c:pt>
                <c:pt idx="17">
                  <c:v>48.59</c:v>
                </c:pt>
                <c:pt idx="18">
                  <c:v>48.59</c:v>
                </c:pt>
                <c:pt idx="19">
                  <c:v>48.58</c:v>
                </c:pt>
                <c:pt idx="20">
                  <c:v>48.59</c:v>
                </c:pt>
                <c:pt idx="21">
                  <c:v>111.27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803320"/>
        <c:axId val="55986703"/>
      </c:lineChart>
      <c:catAx>
        <c:axId val="58803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86703"/>
        <c:crosses val="autoZero"/>
        <c:auto val="1"/>
        <c:lblAlgn val="ctr"/>
        <c:lblOffset val="100"/>
        <c:noMultiLvlLbl val="0"/>
      </c:catAx>
      <c:valAx>
        <c:axId val="55986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033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_series!$B$29:$Y$29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57.56</c:v>
                </c:pt>
                <c:pt idx="6">
                  <c:v>84.21</c:v>
                </c:pt>
                <c:pt idx="7">
                  <c:v>44.54</c:v>
                </c:pt>
                <c:pt idx="8">
                  <c:v>79.6</c:v>
                </c:pt>
                <c:pt idx="9">
                  <c:v>44.55</c:v>
                </c:pt>
                <c:pt idx="10">
                  <c:v>44.74</c:v>
                </c:pt>
                <c:pt idx="11">
                  <c:v>50.05</c:v>
                </c:pt>
                <c:pt idx="12">
                  <c:v>68.03</c:v>
                </c:pt>
                <c:pt idx="13">
                  <c:v>100.62</c:v>
                </c:pt>
                <c:pt idx="14">
                  <c:v>68.28</c:v>
                </c:pt>
                <c:pt idx="15">
                  <c:v>74.86</c:v>
                </c:pt>
                <c:pt idx="16">
                  <c:v>98.21</c:v>
                </c:pt>
                <c:pt idx="17">
                  <c:v>185.93</c:v>
                </c:pt>
                <c:pt idx="18">
                  <c:v>227.02</c:v>
                </c:pt>
                <c:pt idx="19">
                  <c:v>130.45</c:v>
                </c:pt>
                <c:pt idx="20">
                  <c:v>129.43</c:v>
                </c:pt>
                <c:pt idx="21">
                  <c:v>68.32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972177"/>
        <c:axId val="30336549"/>
      </c:lineChart>
      <c:catAx>
        <c:axId val="609721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36549"/>
        <c:crosses val="autoZero"/>
        <c:auto val="1"/>
        <c:lblAlgn val="ctr"/>
        <c:lblOffset val="100"/>
        <c:noMultiLvlLbl val="0"/>
      </c:catAx>
      <c:valAx>
        <c:axId val="30336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721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_series!$B$30:$Y$30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109.99</c:v>
                </c:pt>
                <c:pt idx="6">
                  <c:v>103.64</c:v>
                </c:pt>
                <c:pt idx="7">
                  <c:v>88.68</c:v>
                </c:pt>
                <c:pt idx="8">
                  <c:v>82.9</c:v>
                </c:pt>
                <c:pt idx="9">
                  <c:v>70.77</c:v>
                </c:pt>
                <c:pt idx="10">
                  <c:v>60.15</c:v>
                </c:pt>
                <c:pt idx="11">
                  <c:v>65.72</c:v>
                </c:pt>
                <c:pt idx="12">
                  <c:v>71.95</c:v>
                </c:pt>
                <c:pt idx="13">
                  <c:v>80.73</c:v>
                </c:pt>
                <c:pt idx="14">
                  <c:v>75.31</c:v>
                </c:pt>
                <c:pt idx="15">
                  <c:v>94.24</c:v>
                </c:pt>
                <c:pt idx="16">
                  <c:v>100.13</c:v>
                </c:pt>
                <c:pt idx="17">
                  <c:v>79.2</c:v>
                </c:pt>
                <c:pt idx="18">
                  <c:v>54.04</c:v>
                </c:pt>
                <c:pt idx="19">
                  <c:v>45.11</c:v>
                </c:pt>
                <c:pt idx="20">
                  <c:v>44.24</c:v>
                </c:pt>
                <c:pt idx="21">
                  <c:v>41.17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653656"/>
        <c:axId val="81860376"/>
      </c:lineChart>
      <c:catAx>
        <c:axId val="45653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60376"/>
        <c:crosses val="autoZero"/>
        <c:auto val="1"/>
        <c:lblAlgn val="ctr"/>
        <c:lblOffset val="100"/>
        <c:noMultiLvlLbl val="0"/>
      </c:catAx>
      <c:valAx>
        <c:axId val="818603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536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_series!$B$31:$Y$31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205.47</c:v>
                </c:pt>
                <c:pt idx="6">
                  <c:v>180.57</c:v>
                </c:pt>
                <c:pt idx="7">
                  <c:v>117.27</c:v>
                </c:pt>
                <c:pt idx="8">
                  <c:v>110.2</c:v>
                </c:pt>
                <c:pt idx="9">
                  <c:v>156.35</c:v>
                </c:pt>
                <c:pt idx="10">
                  <c:v>119.87</c:v>
                </c:pt>
                <c:pt idx="11">
                  <c:v>107.22</c:v>
                </c:pt>
                <c:pt idx="12">
                  <c:v>95.46</c:v>
                </c:pt>
                <c:pt idx="13">
                  <c:v>96.08</c:v>
                </c:pt>
                <c:pt idx="14">
                  <c:v>120.23</c:v>
                </c:pt>
                <c:pt idx="15">
                  <c:v>147.18</c:v>
                </c:pt>
                <c:pt idx="16">
                  <c:v>119.33</c:v>
                </c:pt>
                <c:pt idx="17">
                  <c:v>180.97</c:v>
                </c:pt>
                <c:pt idx="18">
                  <c:v>141.69</c:v>
                </c:pt>
                <c:pt idx="19">
                  <c:v>112.85</c:v>
                </c:pt>
                <c:pt idx="20">
                  <c:v>113.52</c:v>
                </c:pt>
                <c:pt idx="21">
                  <c:v>101.6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769092"/>
        <c:axId val="41952644"/>
      </c:lineChart>
      <c:catAx>
        <c:axId val="247690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52644"/>
        <c:crosses val="autoZero"/>
        <c:auto val="1"/>
        <c:lblAlgn val="ctr"/>
        <c:lblOffset val="100"/>
        <c:noMultiLvlLbl val="0"/>
      </c:catAx>
      <c:valAx>
        <c:axId val="41952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690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_series!$B$32:$Y$32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140.66</c:v>
                </c:pt>
                <c:pt idx="6">
                  <c:v>134.18</c:v>
                </c:pt>
                <c:pt idx="7">
                  <c:v>89.76</c:v>
                </c:pt>
                <c:pt idx="8">
                  <c:v>109.97</c:v>
                </c:pt>
                <c:pt idx="9">
                  <c:v>103.97</c:v>
                </c:pt>
                <c:pt idx="10">
                  <c:v>101.4</c:v>
                </c:pt>
                <c:pt idx="11">
                  <c:v>119.43</c:v>
                </c:pt>
                <c:pt idx="12">
                  <c:v>157.59</c:v>
                </c:pt>
                <c:pt idx="13">
                  <c:v>113.58</c:v>
                </c:pt>
                <c:pt idx="14">
                  <c:v>111.7</c:v>
                </c:pt>
                <c:pt idx="15">
                  <c:v>107.47</c:v>
                </c:pt>
                <c:pt idx="16">
                  <c:v>104.65</c:v>
                </c:pt>
                <c:pt idx="17">
                  <c:v>129.96</c:v>
                </c:pt>
                <c:pt idx="18">
                  <c:v>127.07</c:v>
                </c:pt>
                <c:pt idx="19">
                  <c:v>121.45</c:v>
                </c:pt>
                <c:pt idx="20">
                  <c:v>103.58</c:v>
                </c:pt>
                <c:pt idx="21">
                  <c:v>78.2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279672"/>
        <c:axId val="28528529"/>
      </c:lineChart>
      <c:catAx>
        <c:axId val="93279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28529"/>
        <c:crosses val="autoZero"/>
        <c:auto val="1"/>
        <c:lblAlgn val="ctr"/>
        <c:lblOffset val="100"/>
        <c:noMultiLvlLbl val="0"/>
      </c:catAx>
      <c:valAx>
        <c:axId val="28528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796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_series!$B$33:$Y$33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250.33</c:v>
                </c:pt>
                <c:pt idx="6">
                  <c:v>300.47</c:v>
                </c:pt>
                <c:pt idx="7">
                  <c:v>153.37</c:v>
                </c:pt>
                <c:pt idx="8">
                  <c:v>98.05</c:v>
                </c:pt>
                <c:pt idx="9">
                  <c:v>46.76</c:v>
                </c:pt>
                <c:pt idx="10">
                  <c:v>46.95</c:v>
                </c:pt>
                <c:pt idx="11">
                  <c:v>66.99</c:v>
                </c:pt>
                <c:pt idx="12">
                  <c:v>80.47</c:v>
                </c:pt>
                <c:pt idx="13">
                  <c:v>46.95</c:v>
                </c:pt>
                <c:pt idx="14">
                  <c:v>46.95</c:v>
                </c:pt>
                <c:pt idx="15">
                  <c:v>47.59</c:v>
                </c:pt>
                <c:pt idx="16">
                  <c:v>50.27</c:v>
                </c:pt>
                <c:pt idx="17">
                  <c:v>81.56</c:v>
                </c:pt>
                <c:pt idx="18">
                  <c:v>86.93</c:v>
                </c:pt>
                <c:pt idx="19">
                  <c:v>118.72</c:v>
                </c:pt>
                <c:pt idx="20">
                  <c:v>137.71</c:v>
                </c:pt>
                <c:pt idx="21">
                  <c:v>70.26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815866"/>
        <c:axId val="6443176"/>
      </c:lineChart>
      <c:catAx>
        <c:axId val="418158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3176"/>
        <c:crosses val="autoZero"/>
        <c:auto val="1"/>
        <c:lblAlgn val="ctr"/>
        <c:lblOffset val="100"/>
        <c:noMultiLvlLbl val="0"/>
      </c:catAx>
      <c:valAx>
        <c:axId val="6443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158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_series!$B$34:$Y$34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151.14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95.38</c:v>
                </c:pt>
                <c:pt idx="13">
                  <c:v>123.9</c:v>
                </c:pt>
                <c:pt idx="14">
                  <c:v>69.87</c:v>
                </c:pt>
                <c:pt idx="15">
                  <c:v>49.33</c:v>
                </c:pt>
                <c:pt idx="16">
                  <c:v>0</c:v>
                </c:pt>
                <c:pt idx="17">
                  <c:v>42.49</c:v>
                </c:pt>
                <c:pt idx="18">
                  <c:v>111.24</c:v>
                </c:pt>
                <c:pt idx="19">
                  <c:v>93.63</c:v>
                </c:pt>
                <c:pt idx="20">
                  <c:v>97.9</c:v>
                </c:pt>
                <c:pt idx="21">
                  <c:v>42.2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967795"/>
        <c:axId val="27385017"/>
      </c:lineChart>
      <c:catAx>
        <c:axId val="839677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85017"/>
        <c:crosses val="autoZero"/>
        <c:auto val="1"/>
        <c:lblAlgn val="ctr"/>
        <c:lblOffset val="100"/>
        <c:noMultiLvlLbl val="0"/>
      </c:catAx>
      <c:valAx>
        <c:axId val="273850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677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_series!$B$35:$Y$35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183.99</c:v>
                </c:pt>
                <c:pt idx="6">
                  <c:v>208.66</c:v>
                </c:pt>
                <c:pt idx="7">
                  <c:v>164.96</c:v>
                </c:pt>
                <c:pt idx="8">
                  <c:v>184.6</c:v>
                </c:pt>
                <c:pt idx="9">
                  <c:v>105.48</c:v>
                </c:pt>
                <c:pt idx="10">
                  <c:v>99.48</c:v>
                </c:pt>
                <c:pt idx="11">
                  <c:v>125.01</c:v>
                </c:pt>
                <c:pt idx="12">
                  <c:v>160.11</c:v>
                </c:pt>
                <c:pt idx="13">
                  <c:v>158.62</c:v>
                </c:pt>
                <c:pt idx="14">
                  <c:v>121.02</c:v>
                </c:pt>
                <c:pt idx="15">
                  <c:v>144.5</c:v>
                </c:pt>
                <c:pt idx="16">
                  <c:v>171.88</c:v>
                </c:pt>
                <c:pt idx="17">
                  <c:v>180.64</c:v>
                </c:pt>
                <c:pt idx="18">
                  <c:v>279.86</c:v>
                </c:pt>
                <c:pt idx="19">
                  <c:v>154.99</c:v>
                </c:pt>
                <c:pt idx="20">
                  <c:v>162.32</c:v>
                </c:pt>
                <c:pt idx="21">
                  <c:v>116.13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684807"/>
        <c:axId val="4421771"/>
      </c:lineChart>
      <c:catAx>
        <c:axId val="78684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1771"/>
        <c:crosses val="autoZero"/>
        <c:auto val="1"/>
        <c:lblAlgn val="ctr"/>
        <c:lblOffset val="100"/>
        <c:noMultiLvlLbl val="0"/>
      </c:catAx>
      <c:valAx>
        <c:axId val="4421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848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_series!$B$36:$Y$36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34.93</c:v>
                </c:pt>
                <c:pt idx="6">
                  <c:v>40.56</c:v>
                </c:pt>
                <c:pt idx="7">
                  <c:v>28.45</c:v>
                </c:pt>
                <c:pt idx="8">
                  <c:v>32.65</c:v>
                </c:pt>
                <c:pt idx="9">
                  <c:v>28.32</c:v>
                </c:pt>
                <c:pt idx="10">
                  <c:v>24.49</c:v>
                </c:pt>
                <c:pt idx="11">
                  <c:v>38.8</c:v>
                </c:pt>
                <c:pt idx="12">
                  <c:v>35.69</c:v>
                </c:pt>
                <c:pt idx="13">
                  <c:v>36.82</c:v>
                </c:pt>
                <c:pt idx="14">
                  <c:v>32.56</c:v>
                </c:pt>
                <c:pt idx="15">
                  <c:v>39.99</c:v>
                </c:pt>
                <c:pt idx="16">
                  <c:v>36.5</c:v>
                </c:pt>
                <c:pt idx="17">
                  <c:v>41.24</c:v>
                </c:pt>
                <c:pt idx="18">
                  <c:v>45.72</c:v>
                </c:pt>
                <c:pt idx="19">
                  <c:v>29.07</c:v>
                </c:pt>
                <c:pt idx="20">
                  <c:v>32.75</c:v>
                </c:pt>
                <c:pt idx="21">
                  <c:v>28.68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381929"/>
        <c:axId val="51074420"/>
      </c:lineChart>
      <c:catAx>
        <c:axId val="563819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74420"/>
        <c:crosses val="autoZero"/>
        <c:auto val="1"/>
        <c:lblAlgn val="ctr"/>
        <c:lblOffset val="100"/>
        <c:noMultiLvlLbl val="0"/>
      </c:catAx>
      <c:valAx>
        <c:axId val="510744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819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_series!$B$37:$Y$37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177.12</c:v>
                </c:pt>
                <c:pt idx="4">
                  <c:v>204.62</c:v>
                </c:pt>
                <c:pt idx="5">
                  <c:v>217.29</c:v>
                </c:pt>
                <c:pt idx="6">
                  <c:v>120.17</c:v>
                </c:pt>
                <c:pt idx="7">
                  <c:v>215.39</c:v>
                </c:pt>
                <c:pt idx="8">
                  <c:v>192.67</c:v>
                </c:pt>
                <c:pt idx="9">
                  <c:v>186.75</c:v>
                </c:pt>
                <c:pt idx="10">
                  <c:v>256.6</c:v>
                </c:pt>
                <c:pt idx="11">
                  <c:v>320.88</c:v>
                </c:pt>
                <c:pt idx="12">
                  <c:v>513.52</c:v>
                </c:pt>
                <c:pt idx="13">
                  <c:v>434.38</c:v>
                </c:pt>
                <c:pt idx="14">
                  <c:v>379.45</c:v>
                </c:pt>
                <c:pt idx="15">
                  <c:v>311.35</c:v>
                </c:pt>
                <c:pt idx="16">
                  <c:v>170.8</c:v>
                </c:pt>
                <c:pt idx="17">
                  <c:v>165</c:v>
                </c:pt>
                <c:pt idx="18">
                  <c:v>160.49</c:v>
                </c:pt>
                <c:pt idx="19">
                  <c:v>211.41</c:v>
                </c:pt>
                <c:pt idx="20">
                  <c:v>194.07</c:v>
                </c:pt>
                <c:pt idx="21">
                  <c:v>204.35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182528"/>
        <c:axId val="77716969"/>
      </c:lineChart>
      <c:catAx>
        <c:axId val="5018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16969"/>
        <c:crosses val="autoZero"/>
        <c:auto val="1"/>
        <c:lblAlgn val="ctr"/>
        <c:lblOffset val="100"/>
        <c:noMultiLvlLbl val="0"/>
      </c:catAx>
      <c:valAx>
        <c:axId val="77716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825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_series!$B$38:$Y$38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48.8</c:v>
                </c:pt>
                <c:pt idx="6">
                  <c:v>87.84</c:v>
                </c:pt>
                <c:pt idx="7">
                  <c:v>47.65</c:v>
                </c:pt>
                <c:pt idx="8">
                  <c:v>56.89</c:v>
                </c:pt>
                <c:pt idx="9">
                  <c:v>54.07</c:v>
                </c:pt>
                <c:pt idx="10">
                  <c:v>53.92</c:v>
                </c:pt>
                <c:pt idx="11">
                  <c:v>76.54</c:v>
                </c:pt>
                <c:pt idx="12">
                  <c:v>42.09</c:v>
                </c:pt>
                <c:pt idx="13">
                  <c:v>39.38</c:v>
                </c:pt>
                <c:pt idx="14">
                  <c:v>74.06</c:v>
                </c:pt>
                <c:pt idx="15">
                  <c:v>82.16</c:v>
                </c:pt>
                <c:pt idx="16">
                  <c:v>50.76</c:v>
                </c:pt>
                <c:pt idx="17">
                  <c:v>68.32</c:v>
                </c:pt>
                <c:pt idx="18">
                  <c:v>74.95</c:v>
                </c:pt>
                <c:pt idx="19">
                  <c:v>74.28</c:v>
                </c:pt>
                <c:pt idx="20">
                  <c:v>67.62</c:v>
                </c:pt>
                <c:pt idx="21">
                  <c:v>68.56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473152"/>
        <c:axId val="6583034"/>
      </c:lineChart>
      <c:catAx>
        <c:axId val="1947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3034"/>
        <c:crosses val="autoZero"/>
        <c:auto val="1"/>
        <c:lblAlgn val="ctr"/>
        <c:lblOffset val="100"/>
        <c:noMultiLvlLbl val="0"/>
      </c:catAx>
      <c:valAx>
        <c:axId val="6583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731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_series!$B$39:$Y$39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101.08</c:v>
                </c:pt>
                <c:pt idx="6">
                  <c:v>100.46</c:v>
                </c:pt>
                <c:pt idx="7">
                  <c:v>67.75</c:v>
                </c:pt>
                <c:pt idx="8">
                  <c:v>70.88</c:v>
                </c:pt>
                <c:pt idx="9">
                  <c:v>33.21</c:v>
                </c:pt>
                <c:pt idx="10">
                  <c:v>46.03</c:v>
                </c:pt>
                <c:pt idx="11">
                  <c:v>63.22</c:v>
                </c:pt>
                <c:pt idx="12">
                  <c:v>43.54</c:v>
                </c:pt>
                <c:pt idx="13">
                  <c:v>97.03</c:v>
                </c:pt>
                <c:pt idx="14">
                  <c:v>53.97</c:v>
                </c:pt>
                <c:pt idx="15">
                  <c:v>70.02</c:v>
                </c:pt>
                <c:pt idx="16">
                  <c:v>65.2</c:v>
                </c:pt>
                <c:pt idx="17">
                  <c:v>75.99</c:v>
                </c:pt>
                <c:pt idx="18">
                  <c:v>74.93</c:v>
                </c:pt>
                <c:pt idx="19">
                  <c:v>73.78</c:v>
                </c:pt>
                <c:pt idx="20">
                  <c:v>153.96</c:v>
                </c:pt>
                <c:pt idx="21">
                  <c:v>66.73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323621"/>
        <c:axId val="93947293"/>
      </c:lineChart>
      <c:catAx>
        <c:axId val="6232362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47293"/>
        <c:crosses val="autoZero"/>
        <c:auto val="1"/>
        <c:lblAlgn val="ctr"/>
        <c:lblOffset val="100"/>
        <c:noMultiLvlLbl val="0"/>
      </c:catAx>
      <c:valAx>
        <c:axId val="93947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236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_series!$B$40:$Y$40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89.75</c:v>
                </c:pt>
                <c:pt idx="6">
                  <c:v>108.92</c:v>
                </c:pt>
                <c:pt idx="7">
                  <c:v>73.59</c:v>
                </c:pt>
                <c:pt idx="8">
                  <c:v>77.8</c:v>
                </c:pt>
                <c:pt idx="9">
                  <c:v>61.24</c:v>
                </c:pt>
                <c:pt idx="10">
                  <c:v>63.51</c:v>
                </c:pt>
                <c:pt idx="11">
                  <c:v>96.98</c:v>
                </c:pt>
                <c:pt idx="12">
                  <c:v>81.79</c:v>
                </c:pt>
                <c:pt idx="13">
                  <c:v>88.77</c:v>
                </c:pt>
                <c:pt idx="14">
                  <c:v>74.94</c:v>
                </c:pt>
                <c:pt idx="15">
                  <c:v>73.06</c:v>
                </c:pt>
                <c:pt idx="16">
                  <c:v>77.56</c:v>
                </c:pt>
                <c:pt idx="17">
                  <c:v>93.16</c:v>
                </c:pt>
                <c:pt idx="18">
                  <c:v>91.18</c:v>
                </c:pt>
                <c:pt idx="19">
                  <c:v>67.79</c:v>
                </c:pt>
                <c:pt idx="20">
                  <c:v>75.66</c:v>
                </c:pt>
                <c:pt idx="21">
                  <c:v>57.57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591253"/>
        <c:axId val="64846439"/>
      </c:lineChart>
      <c:catAx>
        <c:axId val="355912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46439"/>
        <c:crosses val="autoZero"/>
        <c:auto val="1"/>
        <c:lblAlgn val="ctr"/>
        <c:lblOffset val="100"/>
        <c:noMultiLvlLbl val="0"/>
      </c:catAx>
      <c:valAx>
        <c:axId val="648464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912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_series!$B$41:$Y$41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90.02</c:v>
                </c:pt>
                <c:pt idx="6">
                  <c:v>133.35</c:v>
                </c:pt>
                <c:pt idx="7">
                  <c:v>87.14</c:v>
                </c:pt>
                <c:pt idx="8">
                  <c:v>80.25</c:v>
                </c:pt>
                <c:pt idx="9">
                  <c:v>53.25</c:v>
                </c:pt>
                <c:pt idx="10">
                  <c:v>42.98</c:v>
                </c:pt>
                <c:pt idx="11">
                  <c:v>51.71</c:v>
                </c:pt>
                <c:pt idx="12">
                  <c:v>75.05</c:v>
                </c:pt>
                <c:pt idx="13">
                  <c:v>105.46</c:v>
                </c:pt>
                <c:pt idx="14">
                  <c:v>67.14</c:v>
                </c:pt>
                <c:pt idx="15">
                  <c:v>65.41</c:v>
                </c:pt>
                <c:pt idx="16">
                  <c:v>70.95</c:v>
                </c:pt>
                <c:pt idx="17">
                  <c:v>61.44</c:v>
                </c:pt>
                <c:pt idx="18">
                  <c:v>55.79</c:v>
                </c:pt>
                <c:pt idx="19">
                  <c:v>58.96</c:v>
                </c:pt>
                <c:pt idx="20">
                  <c:v>59.58</c:v>
                </c:pt>
                <c:pt idx="21">
                  <c:v>31.76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409184"/>
        <c:axId val="98545320"/>
      </c:lineChart>
      <c:catAx>
        <c:axId val="5140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45320"/>
        <c:crosses val="autoZero"/>
        <c:auto val="1"/>
        <c:lblAlgn val="ctr"/>
        <c:lblOffset val="100"/>
        <c:noMultiLvlLbl val="0"/>
      </c:catAx>
      <c:valAx>
        <c:axId val="98545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091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_series!$B$42:$Y$42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206.38</c:v>
                </c:pt>
                <c:pt idx="6">
                  <c:v>195.81</c:v>
                </c:pt>
                <c:pt idx="7">
                  <c:v>143.12</c:v>
                </c:pt>
                <c:pt idx="8">
                  <c:v>105.5</c:v>
                </c:pt>
                <c:pt idx="9">
                  <c:v>61.13</c:v>
                </c:pt>
                <c:pt idx="10">
                  <c:v>55.64</c:v>
                </c:pt>
                <c:pt idx="11">
                  <c:v>2296.4</c:v>
                </c:pt>
                <c:pt idx="12">
                  <c:v>68.33</c:v>
                </c:pt>
                <c:pt idx="13">
                  <c:v>73.64</c:v>
                </c:pt>
                <c:pt idx="14">
                  <c:v>67.28</c:v>
                </c:pt>
                <c:pt idx="15">
                  <c:v>71.22</c:v>
                </c:pt>
                <c:pt idx="16">
                  <c:v>115.97</c:v>
                </c:pt>
                <c:pt idx="17">
                  <c:v>141.81</c:v>
                </c:pt>
                <c:pt idx="18">
                  <c:v>189.29</c:v>
                </c:pt>
                <c:pt idx="19">
                  <c:v>147.98</c:v>
                </c:pt>
                <c:pt idx="20">
                  <c:v>177.84</c:v>
                </c:pt>
                <c:pt idx="21">
                  <c:v>107.11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754606"/>
        <c:axId val="84161773"/>
      </c:lineChart>
      <c:catAx>
        <c:axId val="757546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61773"/>
        <c:crosses val="autoZero"/>
        <c:auto val="1"/>
        <c:lblAlgn val="ctr"/>
        <c:lblOffset val="100"/>
        <c:noMultiLvlLbl val="0"/>
      </c:catAx>
      <c:valAx>
        <c:axId val="841617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546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_series!$B$43:$Y$43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40.13</c:v>
                </c:pt>
                <c:pt idx="6">
                  <c:v>113.72</c:v>
                </c:pt>
                <c:pt idx="7">
                  <c:v>75.18</c:v>
                </c:pt>
                <c:pt idx="8">
                  <c:v>54.02</c:v>
                </c:pt>
                <c:pt idx="9">
                  <c:v>53.3</c:v>
                </c:pt>
                <c:pt idx="10">
                  <c:v>53.49</c:v>
                </c:pt>
                <c:pt idx="11">
                  <c:v>66.13</c:v>
                </c:pt>
                <c:pt idx="12">
                  <c:v>53.49</c:v>
                </c:pt>
                <c:pt idx="13">
                  <c:v>53.49</c:v>
                </c:pt>
                <c:pt idx="14">
                  <c:v>53.49</c:v>
                </c:pt>
                <c:pt idx="15">
                  <c:v>59.64</c:v>
                </c:pt>
                <c:pt idx="16">
                  <c:v>53.49</c:v>
                </c:pt>
                <c:pt idx="17">
                  <c:v>53.49</c:v>
                </c:pt>
                <c:pt idx="18">
                  <c:v>53.49</c:v>
                </c:pt>
                <c:pt idx="19">
                  <c:v>84.44</c:v>
                </c:pt>
                <c:pt idx="20">
                  <c:v>86.3</c:v>
                </c:pt>
                <c:pt idx="21">
                  <c:v>53.49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32344"/>
        <c:axId val="56717077"/>
      </c:lineChart>
      <c:catAx>
        <c:axId val="1332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17077"/>
        <c:crosses val="autoZero"/>
        <c:auto val="1"/>
        <c:lblAlgn val="ctr"/>
        <c:lblOffset val="100"/>
        <c:noMultiLvlLbl val="0"/>
      </c:catAx>
      <c:valAx>
        <c:axId val="567170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23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_series!$B$44:$Y$44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347.11</c:v>
                </c:pt>
                <c:pt idx="6">
                  <c:v>371.75</c:v>
                </c:pt>
                <c:pt idx="7">
                  <c:v>300.62</c:v>
                </c:pt>
                <c:pt idx="8">
                  <c:v>294.73</c:v>
                </c:pt>
                <c:pt idx="9">
                  <c:v>169.66</c:v>
                </c:pt>
                <c:pt idx="10">
                  <c:v>79.89</c:v>
                </c:pt>
                <c:pt idx="11">
                  <c:v>63.9</c:v>
                </c:pt>
                <c:pt idx="12">
                  <c:v>53.49</c:v>
                </c:pt>
                <c:pt idx="13">
                  <c:v>83.14</c:v>
                </c:pt>
                <c:pt idx="14">
                  <c:v>68.13</c:v>
                </c:pt>
                <c:pt idx="15">
                  <c:v>65.56</c:v>
                </c:pt>
                <c:pt idx="16">
                  <c:v>165.45</c:v>
                </c:pt>
                <c:pt idx="17">
                  <c:v>344.09</c:v>
                </c:pt>
                <c:pt idx="18">
                  <c:v>343.37</c:v>
                </c:pt>
                <c:pt idx="19">
                  <c:v>215.59</c:v>
                </c:pt>
                <c:pt idx="20">
                  <c:v>339.06</c:v>
                </c:pt>
                <c:pt idx="21">
                  <c:v>133.97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698656"/>
        <c:axId val="3388166"/>
      </c:lineChart>
      <c:catAx>
        <c:axId val="7769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8166"/>
        <c:crosses val="autoZero"/>
        <c:auto val="1"/>
        <c:lblAlgn val="ctr"/>
        <c:lblOffset val="100"/>
        <c:noMultiLvlLbl val="0"/>
      </c:catAx>
      <c:valAx>
        <c:axId val="33881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986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_series!$B$45:$Y$45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118.49</c:v>
                </c:pt>
                <c:pt idx="6">
                  <c:v>154.22</c:v>
                </c:pt>
                <c:pt idx="7">
                  <c:v>87.47</c:v>
                </c:pt>
                <c:pt idx="8">
                  <c:v>83.49</c:v>
                </c:pt>
                <c:pt idx="9">
                  <c:v>78.65</c:v>
                </c:pt>
                <c:pt idx="10">
                  <c:v>78.84</c:v>
                </c:pt>
                <c:pt idx="11">
                  <c:v>121.87</c:v>
                </c:pt>
                <c:pt idx="12">
                  <c:v>124.02</c:v>
                </c:pt>
                <c:pt idx="13">
                  <c:v>93.77</c:v>
                </c:pt>
                <c:pt idx="14">
                  <c:v>93.31</c:v>
                </c:pt>
                <c:pt idx="15">
                  <c:v>94.56</c:v>
                </c:pt>
                <c:pt idx="16">
                  <c:v>93.5</c:v>
                </c:pt>
                <c:pt idx="17">
                  <c:v>165.13</c:v>
                </c:pt>
                <c:pt idx="18">
                  <c:v>175.03</c:v>
                </c:pt>
                <c:pt idx="19">
                  <c:v>121.96</c:v>
                </c:pt>
                <c:pt idx="20">
                  <c:v>78.84</c:v>
                </c:pt>
                <c:pt idx="21">
                  <c:v>78.84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81677"/>
        <c:axId val="60337281"/>
      </c:lineChart>
      <c:catAx>
        <c:axId val="30816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37281"/>
        <c:crosses val="autoZero"/>
        <c:auto val="1"/>
        <c:lblAlgn val="ctr"/>
        <c:lblOffset val="100"/>
        <c:noMultiLvlLbl val="0"/>
      </c:catAx>
      <c:valAx>
        <c:axId val="60337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16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_series!$B$46:$Y$46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39.85</c:v>
                </c:pt>
                <c:pt idx="6">
                  <c:v>51.78</c:v>
                </c:pt>
                <c:pt idx="7">
                  <c:v>37.33</c:v>
                </c:pt>
                <c:pt idx="8">
                  <c:v>41.41</c:v>
                </c:pt>
                <c:pt idx="9">
                  <c:v>97.03</c:v>
                </c:pt>
                <c:pt idx="10">
                  <c:v>0</c:v>
                </c:pt>
                <c:pt idx="11">
                  <c:v>0</c:v>
                </c:pt>
                <c:pt idx="12">
                  <c:v>42.75</c:v>
                </c:pt>
                <c:pt idx="13">
                  <c:v>31.97</c:v>
                </c:pt>
                <c:pt idx="14">
                  <c:v>0</c:v>
                </c:pt>
                <c:pt idx="15">
                  <c:v>52.56</c:v>
                </c:pt>
                <c:pt idx="16">
                  <c:v>44.32</c:v>
                </c:pt>
                <c:pt idx="17">
                  <c:v>39.84</c:v>
                </c:pt>
                <c:pt idx="18">
                  <c:v>45.55</c:v>
                </c:pt>
                <c:pt idx="19">
                  <c:v>44.05</c:v>
                </c:pt>
                <c:pt idx="20">
                  <c:v>37.65</c:v>
                </c:pt>
                <c:pt idx="21">
                  <c:v>36.42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463706"/>
        <c:axId val="13541636"/>
      </c:lineChart>
      <c:catAx>
        <c:axId val="124637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41636"/>
        <c:crosses val="autoZero"/>
        <c:auto val="1"/>
        <c:lblAlgn val="ctr"/>
        <c:lblOffset val="100"/>
        <c:noMultiLvlLbl val="0"/>
      </c:catAx>
      <c:valAx>
        <c:axId val="135416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637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_series!$B$47:$Y$47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24.44</c:v>
                </c:pt>
                <c:pt idx="6">
                  <c:v>103.27</c:v>
                </c:pt>
                <c:pt idx="7">
                  <c:v>38.12</c:v>
                </c:pt>
                <c:pt idx="8">
                  <c:v>30.84</c:v>
                </c:pt>
                <c:pt idx="9">
                  <c:v>62.64</c:v>
                </c:pt>
                <c:pt idx="10">
                  <c:v>48.65</c:v>
                </c:pt>
                <c:pt idx="11">
                  <c:v>38.22</c:v>
                </c:pt>
                <c:pt idx="12">
                  <c:v>30.61</c:v>
                </c:pt>
                <c:pt idx="13">
                  <c:v>30.61</c:v>
                </c:pt>
                <c:pt idx="14">
                  <c:v>30.61</c:v>
                </c:pt>
                <c:pt idx="15">
                  <c:v>30.61</c:v>
                </c:pt>
                <c:pt idx="16">
                  <c:v>46.48</c:v>
                </c:pt>
                <c:pt idx="17">
                  <c:v>34.29</c:v>
                </c:pt>
                <c:pt idx="18">
                  <c:v>31.16</c:v>
                </c:pt>
                <c:pt idx="19">
                  <c:v>30.6</c:v>
                </c:pt>
                <c:pt idx="20">
                  <c:v>30.61</c:v>
                </c:pt>
                <c:pt idx="21">
                  <c:v>30.61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640018"/>
        <c:axId val="18308692"/>
      </c:lineChart>
      <c:catAx>
        <c:axId val="9564001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08692"/>
        <c:crosses val="autoZero"/>
        <c:auto val="1"/>
        <c:lblAlgn val="ctr"/>
        <c:lblOffset val="100"/>
        <c:noMultiLvlLbl val="0"/>
      </c:catAx>
      <c:valAx>
        <c:axId val="183086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400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_series!$B$48:$Y$48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142.7</c:v>
                </c:pt>
                <c:pt idx="6">
                  <c:v>158.03</c:v>
                </c:pt>
                <c:pt idx="7">
                  <c:v>104.93</c:v>
                </c:pt>
                <c:pt idx="8">
                  <c:v>109.06</c:v>
                </c:pt>
                <c:pt idx="9">
                  <c:v>62.3</c:v>
                </c:pt>
                <c:pt idx="10">
                  <c:v>62.29</c:v>
                </c:pt>
                <c:pt idx="11">
                  <c:v>157.8</c:v>
                </c:pt>
                <c:pt idx="12">
                  <c:v>198.54</c:v>
                </c:pt>
                <c:pt idx="13">
                  <c:v>134.89</c:v>
                </c:pt>
                <c:pt idx="14">
                  <c:v>110.65</c:v>
                </c:pt>
                <c:pt idx="15">
                  <c:v>105.97</c:v>
                </c:pt>
                <c:pt idx="16">
                  <c:v>117.91</c:v>
                </c:pt>
                <c:pt idx="17">
                  <c:v>123.7</c:v>
                </c:pt>
                <c:pt idx="18">
                  <c:v>98.87</c:v>
                </c:pt>
                <c:pt idx="19">
                  <c:v>105.2</c:v>
                </c:pt>
                <c:pt idx="20">
                  <c:v>90.93</c:v>
                </c:pt>
                <c:pt idx="21">
                  <c:v>57.95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125318"/>
        <c:axId val="15289038"/>
      </c:lineChart>
      <c:catAx>
        <c:axId val="8312531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89038"/>
        <c:crosses val="autoZero"/>
        <c:auto val="1"/>
        <c:lblAlgn val="ctr"/>
        <c:lblOffset val="100"/>
        <c:noMultiLvlLbl val="0"/>
      </c:catAx>
      <c:valAx>
        <c:axId val="15289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253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_series!$B$49:$Y$49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36.64</c:v>
                </c:pt>
                <c:pt idx="6">
                  <c:v>50.58</c:v>
                </c:pt>
                <c:pt idx="7">
                  <c:v>40.66</c:v>
                </c:pt>
                <c:pt idx="8">
                  <c:v>36.23</c:v>
                </c:pt>
                <c:pt idx="9">
                  <c:v>56.58</c:v>
                </c:pt>
                <c:pt idx="10">
                  <c:v>36.42</c:v>
                </c:pt>
                <c:pt idx="11">
                  <c:v>73.55</c:v>
                </c:pt>
                <c:pt idx="12">
                  <c:v>129.06</c:v>
                </c:pt>
                <c:pt idx="13">
                  <c:v>123.92</c:v>
                </c:pt>
                <c:pt idx="14">
                  <c:v>91.35</c:v>
                </c:pt>
                <c:pt idx="15">
                  <c:v>61.86</c:v>
                </c:pt>
                <c:pt idx="16">
                  <c:v>36.42</c:v>
                </c:pt>
                <c:pt idx="17">
                  <c:v>36.42</c:v>
                </c:pt>
                <c:pt idx="18">
                  <c:v>36.42</c:v>
                </c:pt>
                <c:pt idx="19">
                  <c:v>36.41</c:v>
                </c:pt>
                <c:pt idx="20">
                  <c:v>36.42</c:v>
                </c:pt>
                <c:pt idx="21">
                  <c:v>36.42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246427"/>
        <c:axId val="13524351"/>
      </c:lineChart>
      <c:catAx>
        <c:axId val="292464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24351"/>
        <c:crosses val="autoZero"/>
        <c:auto val="1"/>
        <c:lblAlgn val="ctr"/>
        <c:lblOffset val="100"/>
        <c:noMultiLvlLbl val="0"/>
      </c:catAx>
      <c:valAx>
        <c:axId val="135243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464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_series!$B$50:$Y$50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4.17</c:v>
                </c:pt>
                <c:pt idx="6">
                  <c:v>38.81</c:v>
                </c:pt>
                <c:pt idx="7">
                  <c:v>29.88</c:v>
                </c:pt>
                <c:pt idx="8">
                  <c:v>29.89</c:v>
                </c:pt>
                <c:pt idx="9">
                  <c:v>29.89</c:v>
                </c:pt>
                <c:pt idx="10">
                  <c:v>30.08</c:v>
                </c:pt>
                <c:pt idx="11">
                  <c:v>30.08</c:v>
                </c:pt>
                <c:pt idx="12">
                  <c:v>30.08</c:v>
                </c:pt>
                <c:pt idx="13">
                  <c:v>41.58</c:v>
                </c:pt>
                <c:pt idx="14">
                  <c:v>32.89</c:v>
                </c:pt>
                <c:pt idx="15">
                  <c:v>35.43</c:v>
                </c:pt>
                <c:pt idx="16">
                  <c:v>30.08</c:v>
                </c:pt>
                <c:pt idx="17">
                  <c:v>59.76</c:v>
                </c:pt>
                <c:pt idx="18">
                  <c:v>45.3</c:v>
                </c:pt>
                <c:pt idx="19">
                  <c:v>30.07</c:v>
                </c:pt>
                <c:pt idx="20">
                  <c:v>30.27</c:v>
                </c:pt>
                <c:pt idx="21">
                  <c:v>30.08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244928"/>
        <c:axId val="1821238"/>
      </c:lineChart>
      <c:catAx>
        <c:axId val="6324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1238"/>
        <c:crosses val="autoZero"/>
        <c:auto val="1"/>
        <c:lblAlgn val="ctr"/>
        <c:lblOffset val="100"/>
        <c:noMultiLvlLbl val="0"/>
      </c:catAx>
      <c:valAx>
        <c:axId val="1821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449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_series!$B$51:$Y$51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187.37</c:v>
                </c:pt>
                <c:pt idx="6">
                  <c:v>356.58</c:v>
                </c:pt>
                <c:pt idx="7">
                  <c:v>235.43</c:v>
                </c:pt>
                <c:pt idx="8">
                  <c:v>209.2</c:v>
                </c:pt>
                <c:pt idx="9">
                  <c:v>182.14</c:v>
                </c:pt>
                <c:pt idx="10">
                  <c:v>207.52</c:v>
                </c:pt>
                <c:pt idx="11">
                  <c:v>386.58</c:v>
                </c:pt>
                <c:pt idx="12">
                  <c:v>538.58</c:v>
                </c:pt>
                <c:pt idx="13">
                  <c:v>419.91</c:v>
                </c:pt>
                <c:pt idx="14">
                  <c:v>343.48</c:v>
                </c:pt>
                <c:pt idx="15">
                  <c:v>342.43</c:v>
                </c:pt>
                <c:pt idx="16">
                  <c:v>233.64</c:v>
                </c:pt>
                <c:pt idx="17">
                  <c:v>286.64</c:v>
                </c:pt>
                <c:pt idx="18">
                  <c:v>392.56</c:v>
                </c:pt>
                <c:pt idx="19">
                  <c:v>325.89</c:v>
                </c:pt>
                <c:pt idx="20">
                  <c:v>280.12</c:v>
                </c:pt>
                <c:pt idx="21">
                  <c:v>251.73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709433"/>
        <c:axId val="77590613"/>
      </c:lineChart>
      <c:catAx>
        <c:axId val="247094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90613"/>
        <c:crosses val="autoZero"/>
        <c:auto val="1"/>
        <c:lblAlgn val="ctr"/>
        <c:lblOffset val="100"/>
        <c:noMultiLvlLbl val="0"/>
      </c:catAx>
      <c:valAx>
        <c:axId val="775906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094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_series!$B$52:$Y$52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197.21</c:v>
                </c:pt>
                <c:pt idx="6">
                  <c:v>107.96</c:v>
                </c:pt>
                <c:pt idx="7">
                  <c:v>57.75</c:v>
                </c:pt>
                <c:pt idx="8">
                  <c:v>57.76</c:v>
                </c:pt>
                <c:pt idx="9">
                  <c:v>156.48</c:v>
                </c:pt>
                <c:pt idx="10">
                  <c:v>109.34</c:v>
                </c:pt>
                <c:pt idx="11">
                  <c:v>81.96</c:v>
                </c:pt>
                <c:pt idx="12">
                  <c:v>104.55</c:v>
                </c:pt>
                <c:pt idx="13">
                  <c:v>64.71</c:v>
                </c:pt>
                <c:pt idx="14">
                  <c:v>144.05</c:v>
                </c:pt>
                <c:pt idx="15">
                  <c:v>114.68</c:v>
                </c:pt>
                <c:pt idx="16">
                  <c:v>57.95</c:v>
                </c:pt>
                <c:pt idx="17">
                  <c:v>155.67</c:v>
                </c:pt>
                <c:pt idx="18">
                  <c:v>95.69</c:v>
                </c:pt>
                <c:pt idx="19">
                  <c:v>73.01</c:v>
                </c:pt>
                <c:pt idx="20">
                  <c:v>131.64</c:v>
                </c:pt>
                <c:pt idx="21">
                  <c:v>214.16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351651"/>
        <c:axId val="75461818"/>
      </c:lineChart>
      <c:catAx>
        <c:axId val="283516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61818"/>
        <c:crosses val="autoZero"/>
        <c:auto val="1"/>
        <c:lblAlgn val="ctr"/>
        <c:lblOffset val="100"/>
        <c:noMultiLvlLbl val="0"/>
      </c:catAx>
      <c:valAx>
        <c:axId val="754618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516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_series!$B$53:$Y$53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180.47</c:v>
                </c:pt>
                <c:pt idx="6">
                  <c:v>158.91</c:v>
                </c:pt>
                <c:pt idx="7">
                  <c:v>141.13</c:v>
                </c:pt>
                <c:pt idx="8">
                  <c:v>152.98</c:v>
                </c:pt>
                <c:pt idx="9">
                  <c:v>157.74</c:v>
                </c:pt>
                <c:pt idx="10">
                  <c:v>113.65</c:v>
                </c:pt>
                <c:pt idx="11">
                  <c:v>193.9</c:v>
                </c:pt>
                <c:pt idx="12">
                  <c:v>208.65</c:v>
                </c:pt>
                <c:pt idx="13">
                  <c:v>154.35</c:v>
                </c:pt>
                <c:pt idx="14">
                  <c:v>155.61</c:v>
                </c:pt>
                <c:pt idx="15">
                  <c:v>97.8</c:v>
                </c:pt>
                <c:pt idx="16">
                  <c:v>151.27</c:v>
                </c:pt>
                <c:pt idx="17">
                  <c:v>251.03</c:v>
                </c:pt>
                <c:pt idx="18">
                  <c:v>157.49</c:v>
                </c:pt>
                <c:pt idx="19">
                  <c:v>190.46</c:v>
                </c:pt>
                <c:pt idx="20">
                  <c:v>136.69</c:v>
                </c:pt>
                <c:pt idx="21">
                  <c:v>63.08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959228"/>
        <c:axId val="67937781"/>
      </c:lineChart>
      <c:catAx>
        <c:axId val="309592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37781"/>
        <c:crosses val="autoZero"/>
        <c:auto val="1"/>
        <c:lblAlgn val="ctr"/>
        <c:lblOffset val="100"/>
        <c:noMultiLvlLbl val="0"/>
      </c:catAx>
      <c:valAx>
        <c:axId val="679377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592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_series!$B$54:$Y$54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69.32</c:v>
                </c:pt>
                <c:pt idx="6">
                  <c:v>68.18</c:v>
                </c:pt>
                <c:pt idx="7">
                  <c:v>67.91</c:v>
                </c:pt>
                <c:pt idx="8">
                  <c:v>65.5</c:v>
                </c:pt>
                <c:pt idx="9">
                  <c:v>63</c:v>
                </c:pt>
                <c:pt idx="10">
                  <c:v>66.74</c:v>
                </c:pt>
                <c:pt idx="11">
                  <c:v>76.22</c:v>
                </c:pt>
                <c:pt idx="12">
                  <c:v>103.09</c:v>
                </c:pt>
                <c:pt idx="13">
                  <c:v>113.81</c:v>
                </c:pt>
                <c:pt idx="14">
                  <c:v>63.43</c:v>
                </c:pt>
                <c:pt idx="15">
                  <c:v>65.43</c:v>
                </c:pt>
                <c:pt idx="16">
                  <c:v>70.01</c:v>
                </c:pt>
                <c:pt idx="17">
                  <c:v>68.52</c:v>
                </c:pt>
                <c:pt idx="18">
                  <c:v>70.37</c:v>
                </c:pt>
                <c:pt idx="19">
                  <c:v>71.34</c:v>
                </c:pt>
                <c:pt idx="20">
                  <c:v>69.79</c:v>
                </c:pt>
                <c:pt idx="21">
                  <c:v>67.31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051627"/>
        <c:axId val="35168496"/>
      </c:lineChart>
      <c:catAx>
        <c:axId val="780516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68496"/>
        <c:crosses val="autoZero"/>
        <c:auto val="1"/>
        <c:lblAlgn val="ctr"/>
        <c:lblOffset val="100"/>
        <c:noMultiLvlLbl val="0"/>
      </c:catAx>
      <c:valAx>
        <c:axId val="351684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516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_series!$B$55:$Y$55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47.83</c:v>
                </c:pt>
                <c:pt idx="6">
                  <c:v>50.78</c:v>
                </c:pt>
                <c:pt idx="7">
                  <c:v>50.77</c:v>
                </c:pt>
                <c:pt idx="8">
                  <c:v>50.78</c:v>
                </c:pt>
                <c:pt idx="9">
                  <c:v>50.78</c:v>
                </c:pt>
                <c:pt idx="10">
                  <c:v>50.97</c:v>
                </c:pt>
                <c:pt idx="11">
                  <c:v>65.4</c:v>
                </c:pt>
                <c:pt idx="12">
                  <c:v>50.97</c:v>
                </c:pt>
                <c:pt idx="13">
                  <c:v>50.97</c:v>
                </c:pt>
                <c:pt idx="14">
                  <c:v>50.97</c:v>
                </c:pt>
                <c:pt idx="15">
                  <c:v>66.67</c:v>
                </c:pt>
                <c:pt idx="16">
                  <c:v>64.71</c:v>
                </c:pt>
                <c:pt idx="17">
                  <c:v>50.97</c:v>
                </c:pt>
                <c:pt idx="18">
                  <c:v>50.97</c:v>
                </c:pt>
                <c:pt idx="19">
                  <c:v>50.96</c:v>
                </c:pt>
                <c:pt idx="20">
                  <c:v>50.97</c:v>
                </c:pt>
                <c:pt idx="21">
                  <c:v>50.97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954965"/>
        <c:axId val="36096895"/>
      </c:lineChart>
      <c:catAx>
        <c:axId val="1495496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96895"/>
        <c:crosses val="autoZero"/>
        <c:auto val="1"/>
        <c:lblAlgn val="ctr"/>
        <c:lblOffset val="100"/>
        <c:noMultiLvlLbl val="0"/>
      </c:catAx>
      <c:valAx>
        <c:axId val="360968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549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_series!$B$56:$Y$56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30.2</c:v>
                </c:pt>
                <c:pt idx="6">
                  <c:v>34.09</c:v>
                </c:pt>
                <c:pt idx="7">
                  <c:v>59.75</c:v>
                </c:pt>
                <c:pt idx="8">
                  <c:v>34.51</c:v>
                </c:pt>
                <c:pt idx="9">
                  <c:v>39.85</c:v>
                </c:pt>
                <c:pt idx="10">
                  <c:v>53.43</c:v>
                </c:pt>
                <c:pt idx="11">
                  <c:v>116.93</c:v>
                </c:pt>
                <c:pt idx="12">
                  <c:v>93.33</c:v>
                </c:pt>
                <c:pt idx="13">
                  <c:v>112.19</c:v>
                </c:pt>
                <c:pt idx="14">
                  <c:v>101.59</c:v>
                </c:pt>
                <c:pt idx="15">
                  <c:v>86.7</c:v>
                </c:pt>
                <c:pt idx="16">
                  <c:v>120.39</c:v>
                </c:pt>
                <c:pt idx="17">
                  <c:v>129.97</c:v>
                </c:pt>
                <c:pt idx="18">
                  <c:v>202.95</c:v>
                </c:pt>
                <c:pt idx="19">
                  <c:v>104.89</c:v>
                </c:pt>
                <c:pt idx="20">
                  <c:v>100.84</c:v>
                </c:pt>
                <c:pt idx="21">
                  <c:v>34.7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760392"/>
        <c:axId val="55613844"/>
      </c:lineChart>
      <c:catAx>
        <c:axId val="33760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13844"/>
        <c:crosses val="autoZero"/>
        <c:auto val="1"/>
        <c:lblAlgn val="ctr"/>
        <c:lblOffset val="100"/>
        <c:noMultiLvlLbl val="0"/>
      </c:catAx>
      <c:valAx>
        <c:axId val="556138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603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_series!$B$57:$Y$57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152.3</c:v>
                </c:pt>
                <c:pt idx="6">
                  <c:v>155.74</c:v>
                </c:pt>
                <c:pt idx="7">
                  <c:v>135.53</c:v>
                </c:pt>
                <c:pt idx="8">
                  <c:v>151.45</c:v>
                </c:pt>
                <c:pt idx="9">
                  <c:v>121.1</c:v>
                </c:pt>
                <c:pt idx="10">
                  <c:v>117.22</c:v>
                </c:pt>
                <c:pt idx="11">
                  <c:v>135.4</c:v>
                </c:pt>
                <c:pt idx="12">
                  <c:v>157.11</c:v>
                </c:pt>
                <c:pt idx="13">
                  <c:v>145.6</c:v>
                </c:pt>
                <c:pt idx="14">
                  <c:v>133.59</c:v>
                </c:pt>
                <c:pt idx="15">
                  <c:v>124.12</c:v>
                </c:pt>
                <c:pt idx="16">
                  <c:v>141.72</c:v>
                </c:pt>
                <c:pt idx="17">
                  <c:v>181.57</c:v>
                </c:pt>
                <c:pt idx="18">
                  <c:v>190.85</c:v>
                </c:pt>
                <c:pt idx="19">
                  <c:v>144.71</c:v>
                </c:pt>
                <c:pt idx="20">
                  <c:v>140.88</c:v>
                </c:pt>
                <c:pt idx="21">
                  <c:v>121.29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579886"/>
        <c:axId val="1840141"/>
      </c:lineChart>
      <c:catAx>
        <c:axId val="5657988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0141"/>
        <c:crosses val="autoZero"/>
        <c:auto val="1"/>
        <c:lblAlgn val="ctr"/>
        <c:lblOffset val="100"/>
        <c:noMultiLvlLbl val="0"/>
      </c:catAx>
      <c:valAx>
        <c:axId val="18401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798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_series!$B$58:$Y$58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192.1</c:v>
                </c:pt>
                <c:pt idx="6">
                  <c:v>178.04</c:v>
                </c:pt>
                <c:pt idx="7">
                  <c:v>145.32</c:v>
                </c:pt>
                <c:pt idx="8">
                  <c:v>133.89</c:v>
                </c:pt>
                <c:pt idx="9">
                  <c:v>81.14</c:v>
                </c:pt>
                <c:pt idx="10">
                  <c:v>70.79</c:v>
                </c:pt>
                <c:pt idx="11">
                  <c:v>85.31</c:v>
                </c:pt>
                <c:pt idx="12">
                  <c:v>127.02</c:v>
                </c:pt>
                <c:pt idx="13">
                  <c:v>106.87</c:v>
                </c:pt>
                <c:pt idx="14">
                  <c:v>97.92</c:v>
                </c:pt>
                <c:pt idx="15">
                  <c:v>105.82</c:v>
                </c:pt>
                <c:pt idx="16">
                  <c:v>139.48</c:v>
                </c:pt>
                <c:pt idx="17">
                  <c:v>194.34</c:v>
                </c:pt>
                <c:pt idx="18">
                  <c:v>242.11</c:v>
                </c:pt>
                <c:pt idx="19">
                  <c:v>171.01</c:v>
                </c:pt>
                <c:pt idx="20">
                  <c:v>177.95</c:v>
                </c:pt>
                <c:pt idx="21">
                  <c:v>93.5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56745"/>
        <c:axId val="44664138"/>
      </c:lineChart>
      <c:catAx>
        <c:axId val="45567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64138"/>
        <c:crosses val="autoZero"/>
        <c:auto val="1"/>
        <c:lblAlgn val="ctr"/>
        <c:lblOffset val="100"/>
        <c:noMultiLvlLbl val="0"/>
      </c:catAx>
      <c:valAx>
        <c:axId val="44664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67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_series!$B$59:$Y$59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488.65</c:v>
                </c:pt>
                <c:pt idx="6">
                  <c:v>537.73</c:v>
                </c:pt>
                <c:pt idx="7">
                  <c:v>494.3</c:v>
                </c:pt>
                <c:pt idx="8">
                  <c:v>528.99</c:v>
                </c:pt>
                <c:pt idx="9">
                  <c:v>544.83</c:v>
                </c:pt>
                <c:pt idx="10">
                  <c:v>537.05</c:v>
                </c:pt>
                <c:pt idx="11">
                  <c:v>563.32</c:v>
                </c:pt>
                <c:pt idx="12">
                  <c:v>575.52</c:v>
                </c:pt>
                <c:pt idx="13">
                  <c:v>644.98</c:v>
                </c:pt>
                <c:pt idx="14">
                  <c:v>529.15</c:v>
                </c:pt>
                <c:pt idx="15">
                  <c:v>488.22</c:v>
                </c:pt>
                <c:pt idx="16">
                  <c:v>454.74</c:v>
                </c:pt>
                <c:pt idx="17">
                  <c:v>450</c:v>
                </c:pt>
                <c:pt idx="18">
                  <c:v>440.38</c:v>
                </c:pt>
                <c:pt idx="19">
                  <c:v>457.36</c:v>
                </c:pt>
                <c:pt idx="20">
                  <c:v>398.64</c:v>
                </c:pt>
                <c:pt idx="21">
                  <c:v>437.08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593063"/>
        <c:axId val="28463382"/>
      </c:lineChart>
      <c:catAx>
        <c:axId val="26593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63382"/>
        <c:crosses val="autoZero"/>
        <c:auto val="1"/>
        <c:lblAlgn val="ctr"/>
        <c:lblOffset val="100"/>
        <c:noMultiLvlLbl val="0"/>
      </c:catAx>
      <c:valAx>
        <c:axId val="284633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930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_series!$B$60:$Y$60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94.92</c:v>
                </c:pt>
                <c:pt idx="6">
                  <c:v>86.01</c:v>
                </c:pt>
                <c:pt idx="7">
                  <c:v>79.35</c:v>
                </c:pt>
                <c:pt idx="8">
                  <c:v>78.97</c:v>
                </c:pt>
                <c:pt idx="9">
                  <c:v>65.97</c:v>
                </c:pt>
                <c:pt idx="10">
                  <c:v>67.69</c:v>
                </c:pt>
                <c:pt idx="11">
                  <c:v>103.82</c:v>
                </c:pt>
                <c:pt idx="12">
                  <c:v>132.38</c:v>
                </c:pt>
                <c:pt idx="13">
                  <c:v>136.19</c:v>
                </c:pt>
                <c:pt idx="14">
                  <c:v>77.82</c:v>
                </c:pt>
                <c:pt idx="15">
                  <c:v>64.73</c:v>
                </c:pt>
                <c:pt idx="16">
                  <c:v>71.67</c:v>
                </c:pt>
                <c:pt idx="17">
                  <c:v>82.72</c:v>
                </c:pt>
                <c:pt idx="18">
                  <c:v>96.29</c:v>
                </c:pt>
                <c:pt idx="19">
                  <c:v>71.93</c:v>
                </c:pt>
                <c:pt idx="20">
                  <c:v>86.07</c:v>
                </c:pt>
                <c:pt idx="21">
                  <c:v>73.45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543211"/>
        <c:axId val="53080919"/>
      </c:lineChart>
      <c:catAx>
        <c:axId val="105432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80919"/>
        <c:crosses val="autoZero"/>
        <c:auto val="1"/>
        <c:lblAlgn val="ctr"/>
        <c:lblOffset val="100"/>
        <c:noMultiLvlLbl val="0"/>
      </c:catAx>
      <c:valAx>
        <c:axId val="530809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432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_series!$B$61:$Y$61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153.3</c:v>
                </c:pt>
                <c:pt idx="6">
                  <c:v>235.52</c:v>
                </c:pt>
                <c:pt idx="7">
                  <c:v>144.81</c:v>
                </c:pt>
                <c:pt idx="8">
                  <c:v>170.73</c:v>
                </c:pt>
                <c:pt idx="9">
                  <c:v>107.14</c:v>
                </c:pt>
                <c:pt idx="10">
                  <c:v>64.89</c:v>
                </c:pt>
                <c:pt idx="11">
                  <c:v>74.86</c:v>
                </c:pt>
                <c:pt idx="12">
                  <c:v>64.9</c:v>
                </c:pt>
                <c:pt idx="13">
                  <c:v>73.65</c:v>
                </c:pt>
                <c:pt idx="14">
                  <c:v>68.86</c:v>
                </c:pt>
                <c:pt idx="15">
                  <c:v>64.9</c:v>
                </c:pt>
                <c:pt idx="16">
                  <c:v>98.52</c:v>
                </c:pt>
                <c:pt idx="17">
                  <c:v>222.19</c:v>
                </c:pt>
                <c:pt idx="18">
                  <c:v>204.15</c:v>
                </c:pt>
                <c:pt idx="19">
                  <c:v>117.32</c:v>
                </c:pt>
                <c:pt idx="20">
                  <c:v>122.82</c:v>
                </c:pt>
                <c:pt idx="21">
                  <c:v>64.9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144251"/>
        <c:axId val="87443253"/>
      </c:lineChart>
      <c:catAx>
        <c:axId val="621442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443253"/>
        <c:crosses val="autoZero"/>
        <c:auto val="1"/>
        <c:lblAlgn val="ctr"/>
        <c:lblOffset val="100"/>
        <c:noMultiLvlLbl val="0"/>
      </c:catAx>
      <c:valAx>
        <c:axId val="874432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442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_series!$B$62:$Y$62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25.51</c:v>
                </c:pt>
                <c:pt idx="6">
                  <c:v>36.23</c:v>
                </c:pt>
                <c:pt idx="7">
                  <c:v>36.22</c:v>
                </c:pt>
                <c:pt idx="8">
                  <c:v>36.23</c:v>
                </c:pt>
                <c:pt idx="9">
                  <c:v>36.23</c:v>
                </c:pt>
                <c:pt idx="10">
                  <c:v>36.42</c:v>
                </c:pt>
                <c:pt idx="11">
                  <c:v>39.14</c:v>
                </c:pt>
                <c:pt idx="12">
                  <c:v>36.42</c:v>
                </c:pt>
                <c:pt idx="13">
                  <c:v>69.21</c:v>
                </c:pt>
                <c:pt idx="14">
                  <c:v>36.42</c:v>
                </c:pt>
                <c:pt idx="15">
                  <c:v>36.42</c:v>
                </c:pt>
                <c:pt idx="16">
                  <c:v>36.42</c:v>
                </c:pt>
                <c:pt idx="17">
                  <c:v>36.42</c:v>
                </c:pt>
                <c:pt idx="18">
                  <c:v>36.42</c:v>
                </c:pt>
                <c:pt idx="19">
                  <c:v>36.41</c:v>
                </c:pt>
                <c:pt idx="20">
                  <c:v>36.42</c:v>
                </c:pt>
                <c:pt idx="21">
                  <c:v>36.42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148905"/>
        <c:axId val="13947518"/>
      </c:lineChart>
      <c:catAx>
        <c:axId val="121489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47518"/>
        <c:crosses val="autoZero"/>
        <c:auto val="1"/>
        <c:lblAlgn val="ctr"/>
        <c:lblOffset val="100"/>
        <c:noMultiLvlLbl val="0"/>
      </c:catAx>
      <c:valAx>
        <c:axId val="13947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489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_series!$B$63:$Y$63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84.84</c:v>
                </c:pt>
                <c:pt idx="6">
                  <c:v>87.6</c:v>
                </c:pt>
                <c:pt idx="7">
                  <c:v>102.13</c:v>
                </c:pt>
                <c:pt idx="8">
                  <c:v>112.73</c:v>
                </c:pt>
                <c:pt idx="9">
                  <c:v>67.24</c:v>
                </c:pt>
                <c:pt idx="10">
                  <c:v>70.09</c:v>
                </c:pt>
                <c:pt idx="11">
                  <c:v>176.45</c:v>
                </c:pt>
                <c:pt idx="12">
                  <c:v>216.18</c:v>
                </c:pt>
                <c:pt idx="13">
                  <c:v>228.49</c:v>
                </c:pt>
                <c:pt idx="14">
                  <c:v>167.21</c:v>
                </c:pt>
                <c:pt idx="15">
                  <c:v>89.58</c:v>
                </c:pt>
                <c:pt idx="16">
                  <c:v>53.52</c:v>
                </c:pt>
                <c:pt idx="17">
                  <c:v>94.91</c:v>
                </c:pt>
                <c:pt idx="18">
                  <c:v>68.69</c:v>
                </c:pt>
                <c:pt idx="19">
                  <c:v>52.1</c:v>
                </c:pt>
                <c:pt idx="20">
                  <c:v>65.48</c:v>
                </c:pt>
                <c:pt idx="21">
                  <c:v>54.69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886836"/>
        <c:axId val="71888979"/>
      </c:lineChart>
      <c:catAx>
        <c:axId val="868868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88979"/>
        <c:crosses val="autoZero"/>
        <c:auto val="1"/>
        <c:lblAlgn val="ctr"/>
        <c:lblOffset val="100"/>
        <c:noMultiLvlLbl val="0"/>
      </c:catAx>
      <c:valAx>
        <c:axId val="718889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868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_series!$B$64:$Y$64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210.17</c:v>
                </c:pt>
                <c:pt idx="6">
                  <c:v>158.23</c:v>
                </c:pt>
                <c:pt idx="7">
                  <c:v>144.91</c:v>
                </c:pt>
                <c:pt idx="8">
                  <c:v>177.92</c:v>
                </c:pt>
                <c:pt idx="9">
                  <c:v>203.1</c:v>
                </c:pt>
                <c:pt idx="10">
                  <c:v>248.87</c:v>
                </c:pt>
                <c:pt idx="11">
                  <c:v>311.28</c:v>
                </c:pt>
                <c:pt idx="12">
                  <c:v>316.34</c:v>
                </c:pt>
                <c:pt idx="13">
                  <c:v>459.23</c:v>
                </c:pt>
                <c:pt idx="14">
                  <c:v>343.62</c:v>
                </c:pt>
                <c:pt idx="15">
                  <c:v>268.93</c:v>
                </c:pt>
                <c:pt idx="16">
                  <c:v>208.6</c:v>
                </c:pt>
                <c:pt idx="17">
                  <c:v>225.91</c:v>
                </c:pt>
                <c:pt idx="18">
                  <c:v>206.38</c:v>
                </c:pt>
                <c:pt idx="19">
                  <c:v>249.36</c:v>
                </c:pt>
                <c:pt idx="20">
                  <c:v>234.85</c:v>
                </c:pt>
                <c:pt idx="21">
                  <c:v>245.83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082380"/>
        <c:axId val="66986969"/>
      </c:lineChart>
      <c:catAx>
        <c:axId val="310823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86969"/>
        <c:crosses val="autoZero"/>
        <c:auto val="1"/>
        <c:lblAlgn val="ctr"/>
        <c:lblOffset val="100"/>
        <c:noMultiLvlLbl val="0"/>
      </c:catAx>
      <c:valAx>
        <c:axId val="66986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823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_series!$B$65:$Y$65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102.46</c:v>
                </c:pt>
                <c:pt idx="6">
                  <c:v>89.21</c:v>
                </c:pt>
                <c:pt idx="7">
                  <c:v>83.15</c:v>
                </c:pt>
                <c:pt idx="8">
                  <c:v>72.06</c:v>
                </c:pt>
                <c:pt idx="9">
                  <c:v>80.99</c:v>
                </c:pt>
                <c:pt idx="10">
                  <c:v>82.21</c:v>
                </c:pt>
                <c:pt idx="11">
                  <c:v>98.36</c:v>
                </c:pt>
                <c:pt idx="12">
                  <c:v>101.02</c:v>
                </c:pt>
                <c:pt idx="13">
                  <c:v>102.55</c:v>
                </c:pt>
                <c:pt idx="14">
                  <c:v>85.84</c:v>
                </c:pt>
                <c:pt idx="15">
                  <c:v>73.62</c:v>
                </c:pt>
                <c:pt idx="16">
                  <c:v>75.21</c:v>
                </c:pt>
                <c:pt idx="17">
                  <c:v>82.48</c:v>
                </c:pt>
                <c:pt idx="18">
                  <c:v>82.8</c:v>
                </c:pt>
                <c:pt idx="19">
                  <c:v>76.5</c:v>
                </c:pt>
                <c:pt idx="20">
                  <c:v>89.98</c:v>
                </c:pt>
                <c:pt idx="21">
                  <c:v>96.87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385343"/>
        <c:axId val="65879186"/>
      </c:lineChart>
      <c:catAx>
        <c:axId val="74385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79186"/>
        <c:crosses val="autoZero"/>
        <c:auto val="1"/>
        <c:lblAlgn val="ctr"/>
        <c:lblOffset val="100"/>
        <c:noMultiLvlLbl val="0"/>
      </c:catAx>
      <c:valAx>
        <c:axId val="658791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853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_series!$B$66:$Y$66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449.11</c:v>
                </c:pt>
                <c:pt idx="5">
                  <c:v>662.18</c:v>
                </c:pt>
                <c:pt idx="6">
                  <c:v>474.49</c:v>
                </c:pt>
                <c:pt idx="7">
                  <c:v>515.45</c:v>
                </c:pt>
                <c:pt idx="8">
                  <c:v>71.21</c:v>
                </c:pt>
                <c:pt idx="9">
                  <c:v>492.58</c:v>
                </c:pt>
                <c:pt idx="10">
                  <c:v>493.06</c:v>
                </c:pt>
                <c:pt idx="11">
                  <c:v>616.1</c:v>
                </c:pt>
                <c:pt idx="12">
                  <c:v>1183.11</c:v>
                </c:pt>
                <c:pt idx="13">
                  <c:v>1678.46</c:v>
                </c:pt>
                <c:pt idx="14">
                  <c:v>0</c:v>
                </c:pt>
                <c:pt idx="15">
                  <c:v>417.31</c:v>
                </c:pt>
                <c:pt idx="16">
                  <c:v>248.18</c:v>
                </c:pt>
                <c:pt idx="17">
                  <c:v>405.59</c:v>
                </c:pt>
                <c:pt idx="18">
                  <c:v>379.31</c:v>
                </c:pt>
                <c:pt idx="19">
                  <c:v>351.58</c:v>
                </c:pt>
                <c:pt idx="20">
                  <c:v>359.92</c:v>
                </c:pt>
                <c:pt idx="21">
                  <c:v>452.06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934157"/>
        <c:axId val="3344211"/>
      </c:lineChart>
      <c:catAx>
        <c:axId val="199341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4211"/>
        <c:crosses val="autoZero"/>
        <c:auto val="1"/>
        <c:lblAlgn val="ctr"/>
        <c:lblOffset val="100"/>
        <c:noMultiLvlLbl val="0"/>
      </c:catAx>
      <c:valAx>
        <c:axId val="33442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341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_series!$B$67:$Y$67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85.15</c:v>
                </c:pt>
                <c:pt idx="6">
                  <c:v>120.77</c:v>
                </c:pt>
                <c:pt idx="7">
                  <c:v>92.2</c:v>
                </c:pt>
                <c:pt idx="8">
                  <c:v>68.44</c:v>
                </c:pt>
                <c:pt idx="9">
                  <c:v>57.76</c:v>
                </c:pt>
                <c:pt idx="10">
                  <c:v>57.95</c:v>
                </c:pt>
                <c:pt idx="11">
                  <c:v>84.98</c:v>
                </c:pt>
                <c:pt idx="12">
                  <c:v>61.44</c:v>
                </c:pt>
                <c:pt idx="13">
                  <c:v>101.42</c:v>
                </c:pt>
                <c:pt idx="14">
                  <c:v>70.84</c:v>
                </c:pt>
                <c:pt idx="15">
                  <c:v>84.57</c:v>
                </c:pt>
                <c:pt idx="16">
                  <c:v>67.08</c:v>
                </c:pt>
                <c:pt idx="17">
                  <c:v>70.83</c:v>
                </c:pt>
                <c:pt idx="18">
                  <c:v>70.11</c:v>
                </c:pt>
                <c:pt idx="19">
                  <c:v>132.36</c:v>
                </c:pt>
                <c:pt idx="20">
                  <c:v>104.69</c:v>
                </c:pt>
                <c:pt idx="21">
                  <c:v>57.95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23751"/>
        <c:axId val="39437912"/>
      </c:lineChart>
      <c:catAx>
        <c:axId val="5323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37912"/>
        <c:crosses val="autoZero"/>
        <c:auto val="1"/>
        <c:lblAlgn val="ctr"/>
        <c:lblOffset val="100"/>
        <c:noMultiLvlLbl val="0"/>
      </c:catAx>
      <c:valAx>
        <c:axId val="394379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37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_series!$B$68:$Y$68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41.66</c:v>
                </c:pt>
                <c:pt idx="6">
                  <c:v>35.05</c:v>
                </c:pt>
                <c:pt idx="7">
                  <c:v>34.81</c:v>
                </c:pt>
                <c:pt idx="8">
                  <c:v>35.95</c:v>
                </c:pt>
                <c:pt idx="9">
                  <c:v>31.75</c:v>
                </c:pt>
                <c:pt idx="10">
                  <c:v>29.2</c:v>
                </c:pt>
                <c:pt idx="11">
                  <c:v>31.73</c:v>
                </c:pt>
                <c:pt idx="12">
                  <c:v>33.85</c:v>
                </c:pt>
                <c:pt idx="13">
                  <c:v>33.05</c:v>
                </c:pt>
                <c:pt idx="14">
                  <c:v>31.61</c:v>
                </c:pt>
                <c:pt idx="15">
                  <c:v>29.11</c:v>
                </c:pt>
                <c:pt idx="16">
                  <c:v>28.47</c:v>
                </c:pt>
                <c:pt idx="17">
                  <c:v>31.87</c:v>
                </c:pt>
                <c:pt idx="18">
                  <c:v>30.7</c:v>
                </c:pt>
                <c:pt idx="19">
                  <c:v>29.69</c:v>
                </c:pt>
                <c:pt idx="20">
                  <c:v>30.16</c:v>
                </c:pt>
                <c:pt idx="21">
                  <c:v>29.88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853568"/>
        <c:axId val="98278804"/>
      </c:lineChart>
      <c:catAx>
        <c:axId val="9785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78804"/>
        <c:crosses val="autoZero"/>
        <c:auto val="1"/>
        <c:lblAlgn val="ctr"/>
        <c:lblOffset val="100"/>
        <c:noMultiLvlLbl val="0"/>
      </c:catAx>
      <c:valAx>
        <c:axId val="982788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535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_series!$B$69:$Y$69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358.67</c:v>
                </c:pt>
                <c:pt idx="6">
                  <c:v>350.43</c:v>
                </c:pt>
                <c:pt idx="7">
                  <c:v>337.5</c:v>
                </c:pt>
                <c:pt idx="8">
                  <c:v>277.58</c:v>
                </c:pt>
                <c:pt idx="9">
                  <c:v>256.26</c:v>
                </c:pt>
                <c:pt idx="10">
                  <c:v>193.71</c:v>
                </c:pt>
                <c:pt idx="11">
                  <c:v>181.85</c:v>
                </c:pt>
                <c:pt idx="12">
                  <c:v>363.21</c:v>
                </c:pt>
                <c:pt idx="13">
                  <c:v>369.07</c:v>
                </c:pt>
                <c:pt idx="14">
                  <c:v>254.21</c:v>
                </c:pt>
                <c:pt idx="15">
                  <c:v>189.36</c:v>
                </c:pt>
                <c:pt idx="16">
                  <c:v>231.97</c:v>
                </c:pt>
                <c:pt idx="17">
                  <c:v>305.24</c:v>
                </c:pt>
                <c:pt idx="18">
                  <c:v>452.36</c:v>
                </c:pt>
                <c:pt idx="19">
                  <c:v>293.37</c:v>
                </c:pt>
                <c:pt idx="20">
                  <c:v>376.52</c:v>
                </c:pt>
                <c:pt idx="21">
                  <c:v>246.41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876548"/>
        <c:axId val="41590865"/>
      </c:lineChart>
      <c:catAx>
        <c:axId val="998765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90865"/>
        <c:crosses val="autoZero"/>
        <c:auto val="1"/>
        <c:lblAlgn val="ctr"/>
        <c:lblOffset val="100"/>
        <c:noMultiLvlLbl val="0"/>
      </c:catAx>
      <c:valAx>
        <c:axId val="415908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765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_series!$B$70:$Y$70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118.32</c:v>
                </c:pt>
                <c:pt idx="6">
                  <c:v>113.69</c:v>
                </c:pt>
                <c:pt idx="7">
                  <c:v>92.56</c:v>
                </c:pt>
                <c:pt idx="8">
                  <c:v>84.84</c:v>
                </c:pt>
                <c:pt idx="9">
                  <c:v>76.2</c:v>
                </c:pt>
                <c:pt idx="10">
                  <c:v>56.22</c:v>
                </c:pt>
                <c:pt idx="11">
                  <c:v>54.26</c:v>
                </c:pt>
                <c:pt idx="12">
                  <c:v>61.97</c:v>
                </c:pt>
                <c:pt idx="13">
                  <c:v>68.04</c:v>
                </c:pt>
                <c:pt idx="14">
                  <c:v>57.03</c:v>
                </c:pt>
                <c:pt idx="15">
                  <c:v>67.69</c:v>
                </c:pt>
                <c:pt idx="16">
                  <c:v>86.22</c:v>
                </c:pt>
                <c:pt idx="17">
                  <c:v>126.77</c:v>
                </c:pt>
                <c:pt idx="18">
                  <c:v>120.39</c:v>
                </c:pt>
                <c:pt idx="19">
                  <c:v>76.79</c:v>
                </c:pt>
                <c:pt idx="20">
                  <c:v>111.2</c:v>
                </c:pt>
                <c:pt idx="21">
                  <c:v>66.77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799005"/>
        <c:axId val="34568738"/>
      </c:lineChart>
      <c:catAx>
        <c:axId val="627990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68738"/>
        <c:crosses val="autoZero"/>
        <c:auto val="1"/>
        <c:lblAlgn val="ctr"/>
        <c:lblOffset val="100"/>
        <c:noMultiLvlLbl val="0"/>
      </c:catAx>
      <c:valAx>
        <c:axId val="345687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990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_series!$B$71:$Y$71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36.63</c:v>
                </c:pt>
                <c:pt idx="6">
                  <c:v>65.34</c:v>
                </c:pt>
                <c:pt idx="7">
                  <c:v>88.68</c:v>
                </c:pt>
                <c:pt idx="8">
                  <c:v>93.12</c:v>
                </c:pt>
                <c:pt idx="9">
                  <c:v>84.43</c:v>
                </c:pt>
                <c:pt idx="10">
                  <c:v>101.18</c:v>
                </c:pt>
                <c:pt idx="11">
                  <c:v>101.75</c:v>
                </c:pt>
                <c:pt idx="12">
                  <c:v>102.95</c:v>
                </c:pt>
                <c:pt idx="13">
                  <c:v>100.4</c:v>
                </c:pt>
                <c:pt idx="14">
                  <c:v>97.61</c:v>
                </c:pt>
                <c:pt idx="15">
                  <c:v>97.97</c:v>
                </c:pt>
                <c:pt idx="16">
                  <c:v>102.17</c:v>
                </c:pt>
                <c:pt idx="17">
                  <c:v>84.78</c:v>
                </c:pt>
                <c:pt idx="18">
                  <c:v>86.04</c:v>
                </c:pt>
                <c:pt idx="19">
                  <c:v>90.5</c:v>
                </c:pt>
                <c:pt idx="20">
                  <c:v>92.13</c:v>
                </c:pt>
                <c:pt idx="21">
                  <c:v>105.09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124971"/>
        <c:axId val="11876424"/>
      </c:lineChart>
      <c:catAx>
        <c:axId val="981249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76424"/>
        <c:crosses val="autoZero"/>
        <c:auto val="1"/>
        <c:lblAlgn val="ctr"/>
        <c:lblOffset val="100"/>
        <c:noMultiLvlLbl val="0"/>
      </c:catAx>
      <c:valAx>
        <c:axId val="11876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249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_series!$B$72:$Y$72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47.1</c:v>
                </c:pt>
                <c:pt idx="6">
                  <c:v>102.36</c:v>
                </c:pt>
                <c:pt idx="7">
                  <c:v>78.98</c:v>
                </c:pt>
                <c:pt idx="8">
                  <c:v>99.58</c:v>
                </c:pt>
                <c:pt idx="9">
                  <c:v>74.5</c:v>
                </c:pt>
                <c:pt idx="10">
                  <c:v>68.43</c:v>
                </c:pt>
                <c:pt idx="11">
                  <c:v>74.5</c:v>
                </c:pt>
                <c:pt idx="12">
                  <c:v>105.08</c:v>
                </c:pt>
                <c:pt idx="13">
                  <c:v>138.22</c:v>
                </c:pt>
                <c:pt idx="14">
                  <c:v>106.65</c:v>
                </c:pt>
                <c:pt idx="15">
                  <c:v>83.05</c:v>
                </c:pt>
                <c:pt idx="16">
                  <c:v>64.55</c:v>
                </c:pt>
                <c:pt idx="17">
                  <c:v>76.49</c:v>
                </c:pt>
                <c:pt idx="18">
                  <c:v>91.62</c:v>
                </c:pt>
                <c:pt idx="19">
                  <c:v>58.77</c:v>
                </c:pt>
                <c:pt idx="20">
                  <c:v>58.18</c:v>
                </c:pt>
                <c:pt idx="21">
                  <c:v>55.48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633603"/>
        <c:axId val="10104047"/>
      </c:lineChart>
      <c:catAx>
        <c:axId val="396336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04047"/>
        <c:crosses val="autoZero"/>
        <c:auto val="1"/>
        <c:lblAlgn val="ctr"/>
        <c:lblOffset val="100"/>
        <c:noMultiLvlLbl val="0"/>
      </c:catAx>
      <c:valAx>
        <c:axId val="101040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336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_series!$B$73:$Y$73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179.27</c:v>
                </c:pt>
                <c:pt idx="6">
                  <c:v>171.75</c:v>
                </c:pt>
                <c:pt idx="7">
                  <c:v>160.16</c:v>
                </c:pt>
                <c:pt idx="8">
                  <c:v>129.92</c:v>
                </c:pt>
                <c:pt idx="9">
                  <c:v>139.63</c:v>
                </c:pt>
                <c:pt idx="10">
                  <c:v>145.33</c:v>
                </c:pt>
                <c:pt idx="11">
                  <c:v>125.55</c:v>
                </c:pt>
                <c:pt idx="12">
                  <c:v>124.24</c:v>
                </c:pt>
                <c:pt idx="13">
                  <c:v>120.84</c:v>
                </c:pt>
                <c:pt idx="14">
                  <c:v>128.59</c:v>
                </c:pt>
                <c:pt idx="15">
                  <c:v>127.75</c:v>
                </c:pt>
                <c:pt idx="16">
                  <c:v>133.81</c:v>
                </c:pt>
                <c:pt idx="17">
                  <c:v>141.93</c:v>
                </c:pt>
                <c:pt idx="18">
                  <c:v>138.58</c:v>
                </c:pt>
                <c:pt idx="19">
                  <c:v>129.93</c:v>
                </c:pt>
                <c:pt idx="20">
                  <c:v>125.39</c:v>
                </c:pt>
                <c:pt idx="21">
                  <c:v>116.23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706008"/>
        <c:axId val="11948764"/>
      </c:lineChart>
      <c:catAx>
        <c:axId val="50706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48764"/>
        <c:crosses val="autoZero"/>
        <c:auto val="1"/>
        <c:lblAlgn val="ctr"/>
        <c:lblOffset val="100"/>
        <c:noMultiLvlLbl val="0"/>
      </c:catAx>
      <c:valAx>
        <c:axId val="119487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060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_series!$B$74:$Y$74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60.01</c:v>
                </c:pt>
                <c:pt idx="6">
                  <c:v>68.16</c:v>
                </c:pt>
                <c:pt idx="7">
                  <c:v>67.64</c:v>
                </c:pt>
                <c:pt idx="8">
                  <c:v>73.35</c:v>
                </c:pt>
                <c:pt idx="9">
                  <c:v>53.01</c:v>
                </c:pt>
                <c:pt idx="10">
                  <c:v>58.62</c:v>
                </c:pt>
                <c:pt idx="11">
                  <c:v>72.58</c:v>
                </c:pt>
                <c:pt idx="12">
                  <c:v>79.49</c:v>
                </c:pt>
                <c:pt idx="13">
                  <c:v>70.45</c:v>
                </c:pt>
                <c:pt idx="14">
                  <c:v>70.07</c:v>
                </c:pt>
                <c:pt idx="15">
                  <c:v>52.96</c:v>
                </c:pt>
                <c:pt idx="16">
                  <c:v>59.33</c:v>
                </c:pt>
                <c:pt idx="17">
                  <c:v>75.91</c:v>
                </c:pt>
                <c:pt idx="18">
                  <c:v>71.54</c:v>
                </c:pt>
                <c:pt idx="19">
                  <c:v>63.92</c:v>
                </c:pt>
                <c:pt idx="20">
                  <c:v>69.46</c:v>
                </c:pt>
                <c:pt idx="21">
                  <c:v>54.68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96371"/>
        <c:axId val="22874393"/>
      </c:lineChart>
      <c:catAx>
        <c:axId val="93963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74393"/>
        <c:crosses val="autoZero"/>
        <c:auto val="1"/>
        <c:lblAlgn val="ctr"/>
        <c:lblOffset val="100"/>
        <c:noMultiLvlLbl val="0"/>
      </c:catAx>
      <c:valAx>
        <c:axId val="228743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63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_series!$B$75:$Y$75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24.29</c:v>
                </c:pt>
                <c:pt idx="6">
                  <c:v>30.33</c:v>
                </c:pt>
                <c:pt idx="7">
                  <c:v>30.41</c:v>
                </c:pt>
                <c:pt idx="8">
                  <c:v>30.7</c:v>
                </c:pt>
                <c:pt idx="9">
                  <c:v>30.44</c:v>
                </c:pt>
                <c:pt idx="10">
                  <c:v>31.33</c:v>
                </c:pt>
                <c:pt idx="11">
                  <c:v>30.63</c:v>
                </c:pt>
                <c:pt idx="12">
                  <c:v>50.95</c:v>
                </c:pt>
                <c:pt idx="13">
                  <c:v>143.88</c:v>
                </c:pt>
                <c:pt idx="14">
                  <c:v>75.89</c:v>
                </c:pt>
                <c:pt idx="15">
                  <c:v>97.48</c:v>
                </c:pt>
                <c:pt idx="16">
                  <c:v>138.15</c:v>
                </c:pt>
                <c:pt idx="17">
                  <c:v>225.91</c:v>
                </c:pt>
                <c:pt idx="18">
                  <c:v>280.97</c:v>
                </c:pt>
                <c:pt idx="19">
                  <c:v>162.3</c:v>
                </c:pt>
                <c:pt idx="20">
                  <c:v>213.17</c:v>
                </c:pt>
                <c:pt idx="21">
                  <c:v>130.56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941582"/>
        <c:axId val="70872043"/>
      </c:lineChart>
      <c:catAx>
        <c:axId val="5094158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72043"/>
        <c:crosses val="autoZero"/>
        <c:auto val="1"/>
        <c:lblAlgn val="ctr"/>
        <c:lblOffset val="100"/>
        <c:noMultiLvlLbl val="0"/>
      </c:catAx>
      <c:valAx>
        <c:axId val="708720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415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_series!$B$76:$Y$76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139.72</c:v>
                </c:pt>
                <c:pt idx="6">
                  <c:v>238.81</c:v>
                </c:pt>
                <c:pt idx="7">
                  <c:v>213.22</c:v>
                </c:pt>
                <c:pt idx="8">
                  <c:v>225.12</c:v>
                </c:pt>
                <c:pt idx="9">
                  <c:v>105.27</c:v>
                </c:pt>
                <c:pt idx="10">
                  <c:v>108.45</c:v>
                </c:pt>
                <c:pt idx="11">
                  <c:v>111.84</c:v>
                </c:pt>
                <c:pt idx="12">
                  <c:v>118.73</c:v>
                </c:pt>
                <c:pt idx="13">
                  <c:v>117.75</c:v>
                </c:pt>
                <c:pt idx="14">
                  <c:v>115.82</c:v>
                </c:pt>
                <c:pt idx="15">
                  <c:v>109.08</c:v>
                </c:pt>
                <c:pt idx="16">
                  <c:v>115.93</c:v>
                </c:pt>
                <c:pt idx="17">
                  <c:v>128.57</c:v>
                </c:pt>
                <c:pt idx="18">
                  <c:v>124.52</c:v>
                </c:pt>
                <c:pt idx="19">
                  <c:v>115.58</c:v>
                </c:pt>
                <c:pt idx="20">
                  <c:v>122.89</c:v>
                </c:pt>
                <c:pt idx="21">
                  <c:v>106.18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285044"/>
        <c:axId val="8575545"/>
      </c:lineChart>
      <c:catAx>
        <c:axId val="732850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5545"/>
        <c:crosses val="autoZero"/>
        <c:auto val="1"/>
        <c:lblAlgn val="ctr"/>
        <c:lblOffset val="100"/>
        <c:noMultiLvlLbl val="0"/>
      </c:catAx>
      <c:valAx>
        <c:axId val="85755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850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_series!$B$77:$Y$77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393.41</c:v>
                </c:pt>
                <c:pt idx="6">
                  <c:v>419.51</c:v>
                </c:pt>
                <c:pt idx="7">
                  <c:v>389.06</c:v>
                </c:pt>
                <c:pt idx="8">
                  <c:v>401.02</c:v>
                </c:pt>
                <c:pt idx="9">
                  <c:v>407.94</c:v>
                </c:pt>
                <c:pt idx="10">
                  <c:v>493.27</c:v>
                </c:pt>
                <c:pt idx="11">
                  <c:v>521.53</c:v>
                </c:pt>
                <c:pt idx="12">
                  <c:v>704.76</c:v>
                </c:pt>
                <c:pt idx="13">
                  <c:v>749.93</c:v>
                </c:pt>
                <c:pt idx="14">
                  <c:v>566.89</c:v>
                </c:pt>
                <c:pt idx="15">
                  <c:v>529.1</c:v>
                </c:pt>
                <c:pt idx="16">
                  <c:v>324.93</c:v>
                </c:pt>
                <c:pt idx="17">
                  <c:v>478.51</c:v>
                </c:pt>
                <c:pt idx="18">
                  <c:v>445.62</c:v>
                </c:pt>
                <c:pt idx="19">
                  <c:v>481.49</c:v>
                </c:pt>
                <c:pt idx="20">
                  <c:v>416.01</c:v>
                </c:pt>
                <c:pt idx="21">
                  <c:v>494.21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983702"/>
        <c:axId val="78634672"/>
      </c:lineChart>
      <c:catAx>
        <c:axId val="689837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34672"/>
        <c:crosses val="autoZero"/>
        <c:auto val="1"/>
        <c:lblAlgn val="ctr"/>
        <c:lblOffset val="100"/>
        <c:noMultiLvlLbl val="0"/>
      </c:catAx>
      <c:valAx>
        <c:axId val="78634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837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_series!$B$78:$Y$78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172.66</c:v>
                </c:pt>
                <c:pt idx="6">
                  <c:v>140.6</c:v>
                </c:pt>
                <c:pt idx="7">
                  <c:v>158.47</c:v>
                </c:pt>
                <c:pt idx="8">
                  <c:v>184.51</c:v>
                </c:pt>
                <c:pt idx="9">
                  <c:v>194.33</c:v>
                </c:pt>
                <c:pt idx="10">
                  <c:v>221.07</c:v>
                </c:pt>
                <c:pt idx="11">
                  <c:v>286.14</c:v>
                </c:pt>
                <c:pt idx="12">
                  <c:v>327.74</c:v>
                </c:pt>
                <c:pt idx="13">
                  <c:v>322.68</c:v>
                </c:pt>
                <c:pt idx="14">
                  <c:v>298.59</c:v>
                </c:pt>
                <c:pt idx="15">
                  <c:v>127.27</c:v>
                </c:pt>
                <c:pt idx="16">
                  <c:v>86.75</c:v>
                </c:pt>
                <c:pt idx="17">
                  <c:v>125.6</c:v>
                </c:pt>
                <c:pt idx="18">
                  <c:v>117.49</c:v>
                </c:pt>
                <c:pt idx="19">
                  <c:v>107.32</c:v>
                </c:pt>
                <c:pt idx="20">
                  <c:v>98.2</c:v>
                </c:pt>
                <c:pt idx="21">
                  <c:v>110.02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381633"/>
        <c:axId val="74571270"/>
      </c:lineChart>
      <c:catAx>
        <c:axId val="773816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71270"/>
        <c:crosses val="autoZero"/>
        <c:auto val="1"/>
        <c:lblAlgn val="ctr"/>
        <c:lblOffset val="100"/>
        <c:noMultiLvlLbl val="0"/>
      </c:catAx>
      <c:valAx>
        <c:axId val="745712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816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_series!$B$79:$Y$79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75.72</c:v>
                </c:pt>
                <c:pt idx="6">
                  <c:v>65.52</c:v>
                </c:pt>
                <c:pt idx="7">
                  <c:v>59.6</c:v>
                </c:pt>
                <c:pt idx="8">
                  <c:v>64.86</c:v>
                </c:pt>
                <c:pt idx="9">
                  <c:v>58.86</c:v>
                </c:pt>
                <c:pt idx="10">
                  <c:v>62.08</c:v>
                </c:pt>
                <c:pt idx="11">
                  <c:v>68.69</c:v>
                </c:pt>
                <c:pt idx="12">
                  <c:v>93.19</c:v>
                </c:pt>
                <c:pt idx="13">
                  <c:v>44.32</c:v>
                </c:pt>
                <c:pt idx="14">
                  <c:v>71.61</c:v>
                </c:pt>
                <c:pt idx="15">
                  <c:v>75.68</c:v>
                </c:pt>
                <c:pt idx="16">
                  <c:v>82.53</c:v>
                </c:pt>
                <c:pt idx="17">
                  <c:v>123.37</c:v>
                </c:pt>
                <c:pt idx="18">
                  <c:v>111.46</c:v>
                </c:pt>
                <c:pt idx="19">
                  <c:v>98.21</c:v>
                </c:pt>
                <c:pt idx="20">
                  <c:v>102.11</c:v>
                </c:pt>
                <c:pt idx="21">
                  <c:v>93.47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023589"/>
        <c:axId val="59388897"/>
      </c:lineChart>
      <c:catAx>
        <c:axId val="9102358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88897"/>
        <c:crosses val="autoZero"/>
        <c:auto val="1"/>
        <c:lblAlgn val="ctr"/>
        <c:lblOffset val="100"/>
        <c:noMultiLvlLbl val="0"/>
      </c:catAx>
      <c:valAx>
        <c:axId val="593888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235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_series!$B$80:$Y$80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194.59</c:v>
                </c:pt>
                <c:pt idx="6">
                  <c:v>200.53</c:v>
                </c:pt>
                <c:pt idx="7">
                  <c:v>189.95</c:v>
                </c:pt>
                <c:pt idx="8">
                  <c:v>191.45</c:v>
                </c:pt>
                <c:pt idx="9">
                  <c:v>170.59</c:v>
                </c:pt>
                <c:pt idx="10">
                  <c:v>187.58</c:v>
                </c:pt>
                <c:pt idx="11">
                  <c:v>243.75</c:v>
                </c:pt>
                <c:pt idx="12">
                  <c:v>225.29</c:v>
                </c:pt>
                <c:pt idx="13">
                  <c:v>265.1</c:v>
                </c:pt>
                <c:pt idx="14">
                  <c:v>177.17</c:v>
                </c:pt>
                <c:pt idx="15">
                  <c:v>163.95</c:v>
                </c:pt>
                <c:pt idx="16">
                  <c:v>163.55</c:v>
                </c:pt>
                <c:pt idx="17">
                  <c:v>169.55</c:v>
                </c:pt>
                <c:pt idx="18">
                  <c:v>163.22</c:v>
                </c:pt>
                <c:pt idx="19">
                  <c:v>171.38</c:v>
                </c:pt>
                <c:pt idx="20">
                  <c:v>159.33</c:v>
                </c:pt>
                <c:pt idx="21">
                  <c:v>114.01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367205"/>
        <c:axId val="29330885"/>
      </c:lineChart>
      <c:catAx>
        <c:axId val="463672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30885"/>
        <c:crosses val="autoZero"/>
        <c:auto val="1"/>
        <c:lblAlgn val="ctr"/>
        <c:lblOffset val="100"/>
        <c:noMultiLvlLbl val="0"/>
      </c:catAx>
      <c:valAx>
        <c:axId val="293308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672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_series!$B$81:$Y$81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133.65</c:v>
                </c:pt>
                <c:pt idx="6">
                  <c:v>145.22</c:v>
                </c:pt>
                <c:pt idx="7">
                  <c:v>137.24</c:v>
                </c:pt>
                <c:pt idx="8">
                  <c:v>134.79</c:v>
                </c:pt>
                <c:pt idx="9">
                  <c:v>106.91</c:v>
                </c:pt>
                <c:pt idx="10">
                  <c:v>99.99</c:v>
                </c:pt>
                <c:pt idx="11">
                  <c:v>105.79</c:v>
                </c:pt>
                <c:pt idx="12">
                  <c:v>111.83</c:v>
                </c:pt>
                <c:pt idx="13">
                  <c:v>115.89</c:v>
                </c:pt>
                <c:pt idx="14">
                  <c:v>113.78</c:v>
                </c:pt>
                <c:pt idx="15">
                  <c:v>108.16</c:v>
                </c:pt>
                <c:pt idx="16">
                  <c:v>116.05</c:v>
                </c:pt>
                <c:pt idx="17">
                  <c:v>136.53</c:v>
                </c:pt>
                <c:pt idx="18">
                  <c:v>161.18</c:v>
                </c:pt>
                <c:pt idx="19">
                  <c:v>142.85</c:v>
                </c:pt>
                <c:pt idx="20">
                  <c:v>135.28</c:v>
                </c:pt>
                <c:pt idx="21">
                  <c:v>103.79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808321"/>
        <c:axId val="30976625"/>
      </c:lineChart>
      <c:catAx>
        <c:axId val="8880832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76625"/>
        <c:crosses val="autoZero"/>
        <c:auto val="1"/>
        <c:lblAlgn val="ctr"/>
        <c:lblOffset val="100"/>
        <c:noMultiLvlLbl val="0"/>
      </c:catAx>
      <c:valAx>
        <c:axId val="309766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083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_series!$B$82:$Y$82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88.32</c:v>
                </c:pt>
                <c:pt idx="6">
                  <c:v>83.4</c:v>
                </c:pt>
                <c:pt idx="7">
                  <c:v>82.42</c:v>
                </c:pt>
                <c:pt idx="8">
                  <c:v>82.92</c:v>
                </c:pt>
                <c:pt idx="9">
                  <c:v>82.87</c:v>
                </c:pt>
                <c:pt idx="10">
                  <c:v>87.13</c:v>
                </c:pt>
                <c:pt idx="11">
                  <c:v>84.8</c:v>
                </c:pt>
                <c:pt idx="12">
                  <c:v>86.52</c:v>
                </c:pt>
                <c:pt idx="13">
                  <c:v>83.41</c:v>
                </c:pt>
                <c:pt idx="14">
                  <c:v>87.34</c:v>
                </c:pt>
                <c:pt idx="15">
                  <c:v>89.19</c:v>
                </c:pt>
                <c:pt idx="16">
                  <c:v>86.85</c:v>
                </c:pt>
                <c:pt idx="17">
                  <c:v>82.81</c:v>
                </c:pt>
                <c:pt idx="18">
                  <c:v>59.72</c:v>
                </c:pt>
                <c:pt idx="19">
                  <c:v>82.24</c:v>
                </c:pt>
                <c:pt idx="20">
                  <c:v>84.62</c:v>
                </c:pt>
                <c:pt idx="21">
                  <c:v>83.26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322444"/>
        <c:axId val="43466458"/>
      </c:lineChart>
      <c:catAx>
        <c:axId val="343224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66458"/>
        <c:crosses val="autoZero"/>
        <c:auto val="1"/>
        <c:lblAlgn val="ctr"/>
        <c:lblOffset val="100"/>
        <c:noMultiLvlLbl val="0"/>
      </c:catAx>
      <c:valAx>
        <c:axId val="43466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224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_series!$B$83:$Y$83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66.43</c:v>
                </c:pt>
                <c:pt idx="6">
                  <c:v>73.23</c:v>
                </c:pt>
                <c:pt idx="7">
                  <c:v>88.95</c:v>
                </c:pt>
                <c:pt idx="8">
                  <c:v>92.01</c:v>
                </c:pt>
                <c:pt idx="9">
                  <c:v>89.3</c:v>
                </c:pt>
                <c:pt idx="10">
                  <c:v>90.55</c:v>
                </c:pt>
                <c:pt idx="11">
                  <c:v>96.07</c:v>
                </c:pt>
                <c:pt idx="12">
                  <c:v>104.36</c:v>
                </c:pt>
                <c:pt idx="13">
                  <c:v>101.37</c:v>
                </c:pt>
                <c:pt idx="14">
                  <c:v>96.2</c:v>
                </c:pt>
                <c:pt idx="15">
                  <c:v>95.27</c:v>
                </c:pt>
                <c:pt idx="16">
                  <c:v>94.89</c:v>
                </c:pt>
                <c:pt idx="17">
                  <c:v>95.73</c:v>
                </c:pt>
                <c:pt idx="18">
                  <c:v>94.77</c:v>
                </c:pt>
                <c:pt idx="19">
                  <c:v>92.26</c:v>
                </c:pt>
                <c:pt idx="20">
                  <c:v>97.02</c:v>
                </c:pt>
                <c:pt idx="21">
                  <c:v>94.05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623952"/>
        <c:axId val="75484731"/>
      </c:lineChart>
      <c:catAx>
        <c:axId val="47623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84731"/>
        <c:crosses val="autoZero"/>
        <c:auto val="1"/>
        <c:lblAlgn val="ctr"/>
        <c:lblOffset val="100"/>
        <c:noMultiLvlLbl val="0"/>
      </c:catAx>
      <c:valAx>
        <c:axId val="75484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239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_series!$B$84:$Y$84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67.16</c:v>
                </c:pt>
                <c:pt idx="6">
                  <c:v>58.6</c:v>
                </c:pt>
                <c:pt idx="7">
                  <c:v>56.07</c:v>
                </c:pt>
                <c:pt idx="8">
                  <c:v>52.58</c:v>
                </c:pt>
                <c:pt idx="9">
                  <c:v>50.55</c:v>
                </c:pt>
                <c:pt idx="10">
                  <c:v>53.01</c:v>
                </c:pt>
                <c:pt idx="11">
                  <c:v>43.93</c:v>
                </c:pt>
                <c:pt idx="12">
                  <c:v>42.04</c:v>
                </c:pt>
                <c:pt idx="13">
                  <c:v>43.36</c:v>
                </c:pt>
                <c:pt idx="14">
                  <c:v>56.91</c:v>
                </c:pt>
                <c:pt idx="15">
                  <c:v>55.94</c:v>
                </c:pt>
                <c:pt idx="16">
                  <c:v>57.3</c:v>
                </c:pt>
                <c:pt idx="17">
                  <c:v>59</c:v>
                </c:pt>
                <c:pt idx="18">
                  <c:v>61.26</c:v>
                </c:pt>
                <c:pt idx="19">
                  <c:v>51.7</c:v>
                </c:pt>
                <c:pt idx="20">
                  <c:v>60.92</c:v>
                </c:pt>
                <c:pt idx="21">
                  <c:v>51.83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044293"/>
        <c:axId val="94530017"/>
      </c:lineChart>
      <c:catAx>
        <c:axId val="6404429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30017"/>
        <c:crosses val="autoZero"/>
        <c:auto val="1"/>
        <c:lblAlgn val="ctr"/>
        <c:lblOffset val="100"/>
        <c:noMultiLvlLbl val="0"/>
      </c:catAx>
      <c:valAx>
        <c:axId val="945300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442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_series!$B$85:$Y$85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242.74</c:v>
                </c:pt>
                <c:pt idx="6">
                  <c:v>219.19</c:v>
                </c:pt>
                <c:pt idx="7">
                  <c:v>209.34</c:v>
                </c:pt>
                <c:pt idx="8">
                  <c:v>210.33</c:v>
                </c:pt>
                <c:pt idx="9">
                  <c:v>189.9</c:v>
                </c:pt>
                <c:pt idx="10">
                  <c:v>190.38</c:v>
                </c:pt>
                <c:pt idx="11">
                  <c:v>193.93</c:v>
                </c:pt>
                <c:pt idx="12">
                  <c:v>203.58</c:v>
                </c:pt>
                <c:pt idx="13">
                  <c:v>205.73</c:v>
                </c:pt>
                <c:pt idx="14">
                  <c:v>206.28</c:v>
                </c:pt>
                <c:pt idx="15">
                  <c:v>209.82</c:v>
                </c:pt>
                <c:pt idx="16">
                  <c:v>233.02</c:v>
                </c:pt>
                <c:pt idx="17">
                  <c:v>237.28</c:v>
                </c:pt>
                <c:pt idx="18">
                  <c:v>266.33</c:v>
                </c:pt>
                <c:pt idx="19">
                  <c:v>225.34</c:v>
                </c:pt>
                <c:pt idx="20">
                  <c:v>236</c:v>
                </c:pt>
                <c:pt idx="21">
                  <c:v>204.34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336274"/>
        <c:axId val="10793877"/>
      </c:lineChart>
      <c:catAx>
        <c:axId val="593362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93877"/>
        <c:crosses val="autoZero"/>
        <c:auto val="1"/>
        <c:lblAlgn val="ctr"/>
        <c:lblOffset val="100"/>
        <c:noMultiLvlLbl val="0"/>
      </c:catAx>
      <c:valAx>
        <c:axId val="107938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362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_series!$B$86:$Y$86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271.49</c:v>
                </c:pt>
                <c:pt idx="6">
                  <c:v>223.27</c:v>
                </c:pt>
                <c:pt idx="7">
                  <c:v>165.31</c:v>
                </c:pt>
                <c:pt idx="8">
                  <c:v>212.39</c:v>
                </c:pt>
                <c:pt idx="9">
                  <c:v>192.81</c:v>
                </c:pt>
                <c:pt idx="10">
                  <c:v>199.72</c:v>
                </c:pt>
                <c:pt idx="11">
                  <c:v>242.68</c:v>
                </c:pt>
                <c:pt idx="12">
                  <c:v>304.15</c:v>
                </c:pt>
                <c:pt idx="13">
                  <c:v>226.56</c:v>
                </c:pt>
                <c:pt idx="14">
                  <c:v>226.4</c:v>
                </c:pt>
                <c:pt idx="15">
                  <c:v>216.69</c:v>
                </c:pt>
                <c:pt idx="16">
                  <c:v>185.6</c:v>
                </c:pt>
                <c:pt idx="17">
                  <c:v>167.69</c:v>
                </c:pt>
                <c:pt idx="18">
                  <c:v>176.58</c:v>
                </c:pt>
                <c:pt idx="19">
                  <c:v>191.31</c:v>
                </c:pt>
                <c:pt idx="20">
                  <c:v>206.85</c:v>
                </c:pt>
                <c:pt idx="21">
                  <c:v>196.66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141137"/>
        <c:axId val="16845866"/>
      </c:lineChart>
      <c:catAx>
        <c:axId val="3814113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45866"/>
        <c:crosses val="autoZero"/>
        <c:auto val="1"/>
        <c:lblAlgn val="ctr"/>
        <c:lblOffset val="100"/>
        <c:noMultiLvlLbl val="0"/>
      </c:catAx>
      <c:valAx>
        <c:axId val="168458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411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_series!$B$87:$Y$87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59.65</c:v>
                </c:pt>
                <c:pt idx="6">
                  <c:v>58.03</c:v>
                </c:pt>
                <c:pt idx="7">
                  <c:v>88.58</c:v>
                </c:pt>
                <c:pt idx="8">
                  <c:v>110.11</c:v>
                </c:pt>
                <c:pt idx="9">
                  <c:v>86.86</c:v>
                </c:pt>
                <c:pt idx="10">
                  <c:v>94.08</c:v>
                </c:pt>
                <c:pt idx="11">
                  <c:v>60.44</c:v>
                </c:pt>
                <c:pt idx="12">
                  <c:v>164.62</c:v>
                </c:pt>
                <c:pt idx="13">
                  <c:v>102.38</c:v>
                </c:pt>
                <c:pt idx="14">
                  <c:v>95.01</c:v>
                </c:pt>
                <c:pt idx="15">
                  <c:v>128.23</c:v>
                </c:pt>
                <c:pt idx="16">
                  <c:v>157.68</c:v>
                </c:pt>
                <c:pt idx="17">
                  <c:v>163.88</c:v>
                </c:pt>
                <c:pt idx="18">
                  <c:v>215.59</c:v>
                </c:pt>
                <c:pt idx="19">
                  <c:v>255.58</c:v>
                </c:pt>
                <c:pt idx="20">
                  <c:v>212.36</c:v>
                </c:pt>
                <c:pt idx="21">
                  <c:v>149.56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533273"/>
        <c:axId val="85583161"/>
      </c:lineChart>
      <c:catAx>
        <c:axId val="7753327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83161"/>
        <c:crosses val="autoZero"/>
        <c:auto val="1"/>
        <c:lblAlgn val="ctr"/>
        <c:lblOffset val="100"/>
        <c:noMultiLvlLbl val="0"/>
      </c:catAx>
      <c:valAx>
        <c:axId val="855831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332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_series!$B$88:$Y$88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71.29</c:v>
                </c:pt>
                <c:pt idx="7">
                  <c:v>81.17</c:v>
                </c:pt>
                <c:pt idx="8">
                  <c:v>67.38</c:v>
                </c:pt>
                <c:pt idx="9">
                  <c:v>86.28</c:v>
                </c:pt>
                <c:pt idx="10">
                  <c:v>82.2</c:v>
                </c:pt>
                <c:pt idx="11">
                  <c:v>101.38</c:v>
                </c:pt>
                <c:pt idx="12">
                  <c:v>107.26</c:v>
                </c:pt>
                <c:pt idx="13">
                  <c:v>107.01</c:v>
                </c:pt>
                <c:pt idx="14">
                  <c:v>97.17</c:v>
                </c:pt>
                <c:pt idx="15">
                  <c:v>98.27</c:v>
                </c:pt>
                <c:pt idx="16">
                  <c:v>76.38</c:v>
                </c:pt>
                <c:pt idx="17">
                  <c:v>108.71</c:v>
                </c:pt>
                <c:pt idx="18">
                  <c:v>56.84</c:v>
                </c:pt>
                <c:pt idx="19">
                  <c:v>83.29</c:v>
                </c:pt>
                <c:pt idx="20">
                  <c:v>110.19</c:v>
                </c:pt>
                <c:pt idx="21">
                  <c:v>105.17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075063"/>
        <c:axId val="81191843"/>
      </c:lineChart>
      <c:catAx>
        <c:axId val="68075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91843"/>
        <c:crosses val="autoZero"/>
        <c:auto val="1"/>
        <c:lblAlgn val="ctr"/>
        <c:lblOffset val="100"/>
        <c:noMultiLvlLbl val="0"/>
      </c:catAx>
      <c:valAx>
        <c:axId val="81191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750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_series!$B$89:$Y$89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237.82</c:v>
                </c:pt>
                <c:pt idx="8">
                  <c:v>194.8</c:v>
                </c:pt>
                <c:pt idx="9">
                  <c:v>152.7</c:v>
                </c:pt>
                <c:pt idx="10">
                  <c:v>84.08</c:v>
                </c:pt>
                <c:pt idx="11">
                  <c:v>156.38</c:v>
                </c:pt>
                <c:pt idx="12">
                  <c:v>191.84</c:v>
                </c:pt>
                <c:pt idx="13">
                  <c:v>247.16</c:v>
                </c:pt>
                <c:pt idx="14">
                  <c:v>137.84</c:v>
                </c:pt>
                <c:pt idx="15">
                  <c:v>112.15</c:v>
                </c:pt>
                <c:pt idx="16">
                  <c:v>186.88</c:v>
                </c:pt>
                <c:pt idx="17">
                  <c:v>247.21</c:v>
                </c:pt>
                <c:pt idx="18">
                  <c:v>287.01</c:v>
                </c:pt>
                <c:pt idx="19">
                  <c:v>230.81</c:v>
                </c:pt>
                <c:pt idx="20">
                  <c:v>276.44</c:v>
                </c:pt>
                <c:pt idx="21">
                  <c:v>139.84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139183"/>
        <c:axId val="16528464"/>
      </c:lineChart>
      <c:catAx>
        <c:axId val="82139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28464"/>
        <c:crosses val="autoZero"/>
        <c:auto val="1"/>
        <c:lblAlgn val="ctr"/>
        <c:lblOffset val="100"/>
        <c:noMultiLvlLbl val="0"/>
      </c:catAx>
      <c:valAx>
        <c:axId val="165284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391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_series!$B$90:$Y$90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371.95</c:v>
                </c:pt>
                <c:pt idx="8">
                  <c:v>624.44</c:v>
                </c:pt>
                <c:pt idx="9">
                  <c:v>608.5</c:v>
                </c:pt>
                <c:pt idx="10">
                  <c:v>558.97</c:v>
                </c:pt>
                <c:pt idx="11">
                  <c:v>531.97</c:v>
                </c:pt>
                <c:pt idx="12">
                  <c:v>602.51</c:v>
                </c:pt>
                <c:pt idx="13">
                  <c:v>614.23</c:v>
                </c:pt>
                <c:pt idx="14">
                  <c:v>527.74</c:v>
                </c:pt>
                <c:pt idx="15">
                  <c:v>518.28</c:v>
                </c:pt>
                <c:pt idx="16">
                  <c:v>526.58</c:v>
                </c:pt>
                <c:pt idx="17">
                  <c:v>689.52</c:v>
                </c:pt>
                <c:pt idx="18">
                  <c:v>670.6</c:v>
                </c:pt>
                <c:pt idx="19">
                  <c:v>530.95</c:v>
                </c:pt>
                <c:pt idx="20">
                  <c:v>522.32</c:v>
                </c:pt>
                <c:pt idx="21">
                  <c:v>506.43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041131"/>
        <c:axId val="27539838"/>
      </c:lineChart>
      <c:catAx>
        <c:axId val="550411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39838"/>
        <c:crosses val="autoZero"/>
        <c:auto val="1"/>
        <c:lblAlgn val="ctr"/>
        <c:lblOffset val="100"/>
        <c:noMultiLvlLbl val="0"/>
      </c:catAx>
      <c:valAx>
        <c:axId val="27539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411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_series!$B$91:$Y$91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130.28</c:v>
                </c:pt>
                <c:pt idx="9">
                  <c:v>86.89</c:v>
                </c:pt>
                <c:pt idx="10">
                  <c:v>123.44</c:v>
                </c:pt>
                <c:pt idx="11">
                  <c:v>100.73</c:v>
                </c:pt>
                <c:pt idx="12">
                  <c:v>168.47</c:v>
                </c:pt>
                <c:pt idx="13">
                  <c:v>174.45</c:v>
                </c:pt>
                <c:pt idx="14">
                  <c:v>139.44</c:v>
                </c:pt>
                <c:pt idx="15">
                  <c:v>129.46</c:v>
                </c:pt>
                <c:pt idx="16">
                  <c:v>108.57</c:v>
                </c:pt>
                <c:pt idx="17">
                  <c:v>121.96</c:v>
                </c:pt>
                <c:pt idx="18">
                  <c:v>139.72</c:v>
                </c:pt>
                <c:pt idx="19">
                  <c:v>108.09</c:v>
                </c:pt>
                <c:pt idx="20">
                  <c:v>113.96</c:v>
                </c:pt>
                <c:pt idx="21">
                  <c:v>110.63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538758"/>
        <c:axId val="26439835"/>
      </c:lineChart>
      <c:catAx>
        <c:axId val="5453875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39835"/>
        <c:crosses val="autoZero"/>
        <c:auto val="1"/>
        <c:lblAlgn val="ctr"/>
        <c:lblOffset val="100"/>
        <c:noMultiLvlLbl val="0"/>
      </c:catAx>
      <c:valAx>
        <c:axId val="264398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387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_series!$B$92:$Y$92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156.99</c:v>
                </c:pt>
                <c:pt idx="9">
                  <c:v>159.88</c:v>
                </c:pt>
                <c:pt idx="10">
                  <c:v>155.71</c:v>
                </c:pt>
                <c:pt idx="11">
                  <c:v>179.05</c:v>
                </c:pt>
                <c:pt idx="12">
                  <c:v>158.95</c:v>
                </c:pt>
                <c:pt idx="13">
                  <c:v>171.66</c:v>
                </c:pt>
                <c:pt idx="14">
                  <c:v>160.19</c:v>
                </c:pt>
                <c:pt idx="15">
                  <c:v>168.94</c:v>
                </c:pt>
                <c:pt idx="16">
                  <c:v>155.65</c:v>
                </c:pt>
                <c:pt idx="17">
                  <c:v>129.09</c:v>
                </c:pt>
                <c:pt idx="18">
                  <c:v>128.09</c:v>
                </c:pt>
                <c:pt idx="19">
                  <c:v>127.88</c:v>
                </c:pt>
                <c:pt idx="20">
                  <c:v>132.18</c:v>
                </c:pt>
                <c:pt idx="21">
                  <c:v>145.46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703808"/>
        <c:axId val="33997685"/>
      </c:lineChart>
      <c:catAx>
        <c:axId val="1370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97685"/>
        <c:crosses val="autoZero"/>
        <c:auto val="1"/>
        <c:lblAlgn val="ctr"/>
        <c:lblOffset val="100"/>
        <c:noMultiLvlLbl val="0"/>
      </c:catAx>
      <c:valAx>
        <c:axId val="33997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038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_series!$B$93:$Y$93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55.51</c:v>
                </c:pt>
                <c:pt idx="9">
                  <c:v>54.59</c:v>
                </c:pt>
                <c:pt idx="10">
                  <c:v>55.04</c:v>
                </c:pt>
                <c:pt idx="11">
                  <c:v>57.65</c:v>
                </c:pt>
                <c:pt idx="12">
                  <c:v>61.04</c:v>
                </c:pt>
                <c:pt idx="13">
                  <c:v>63.23</c:v>
                </c:pt>
                <c:pt idx="14">
                  <c:v>58.99</c:v>
                </c:pt>
                <c:pt idx="15">
                  <c:v>53.54</c:v>
                </c:pt>
                <c:pt idx="16">
                  <c:v>53.16</c:v>
                </c:pt>
                <c:pt idx="17">
                  <c:v>50.92</c:v>
                </c:pt>
                <c:pt idx="18">
                  <c:v>52.69</c:v>
                </c:pt>
                <c:pt idx="19">
                  <c:v>51.88</c:v>
                </c:pt>
                <c:pt idx="20">
                  <c:v>51.56</c:v>
                </c:pt>
                <c:pt idx="21">
                  <c:v>50.65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173658"/>
        <c:axId val="42765410"/>
      </c:lineChart>
      <c:catAx>
        <c:axId val="4817365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65410"/>
        <c:crosses val="autoZero"/>
        <c:auto val="1"/>
        <c:lblAlgn val="ctr"/>
        <c:lblOffset val="100"/>
        <c:noMultiLvlLbl val="0"/>
      </c:catAx>
      <c:valAx>
        <c:axId val="427654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736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_series!$B$94:$Y$94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112.02</c:v>
                </c:pt>
                <c:pt idx="9">
                  <c:v>144.01</c:v>
                </c:pt>
                <c:pt idx="10">
                  <c:v>145.69</c:v>
                </c:pt>
                <c:pt idx="11">
                  <c:v>154.99</c:v>
                </c:pt>
                <c:pt idx="12">
                  <c:v>145.89</c:v>
                </c:pt>
                <c:pt idx="13">
                  <c:v>151.85</c:v>
                </c:pt>
                <c:pt idx="14">
                  <c:v>136.86</c:v>
                </c:pt>
                <c:pt idx="15">
                  <c:v>134.53</c:v>
                </c:pt>
                <c:pt idx="16">
                  <c:v>144.57</c:v>
                </c:pt>
                <c:pt idx="17">
                  <c:v>150.52</c:v>
                </c:pt>
                <c:pt idx="18">
                  <c:v>181.28</c:v>
                </c:pt>
                <c:pt idx="19">
                  <c:v>153.51</c:v>
                </c:pt>
                <c:pt idx="20">
                  <c:v>166.78</c:v>
                </c:pt>
                <c:pt idx="21">
                  <c:v>143.64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4966"/>
        <c:axId val="95811265"/>
      </c:lineChart>
      <c:catAx>
        <c:axId val="5649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11265"/>
        <c:crosses val="autoZero"/>
        <c:auto val="1"/>
        <c:lblAlgn val="ctr"/>
        <c:lblOffset val="100"/>
        <c:noMultiLvlLbl val="0"/>
      </c:catAx>
      <c:valAx>
        <c:axId val="958112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9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_series!$B$95:$Y$95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114.03</c:v>
                </c:pt>
                <c:pt idx="9">
                  <c:v>0</c:v>
                </c:pt>
                <c:pt idx="10">
                  <c:v>87.24</c:v>
                </c:pt>
                <c:pt idx="11">
                  <c:v>101.39</c:v>
                </c:pt>
                <c:pt idx="12">
                  <c:v>120.89</c:v>
                </c:pt>
                <c:pt idx="13">
                  <c:v>93.58</c:v>
                </c:pt>
                <c:pt idx="14">
                  <c:v>0</c:v>
                </c:pt>
                <c:pt idx="15">
                  <c:v>89.5</c:v>
                </c:pt>
                <c:pt idx="16">
                  <c:v>107.26</c:v>
                </c:pt>
                <c:pt idx="17">
                  <c:v>158.65</c:v>
                </c:pt>
                <c:pt idx="18">
                  <c:v>169.19</c:v>
                </c:pt>
                <c:pt idx="19">
                  <c:v>125.64</c:v>
                </c:pt>
                <c:pt idx="20">
                  <c:v>130.05</c:v>
                </c:pt>
                <c:pt idx="21">
                  <c:v>95.55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445390"/>
        <c:axId val="84549436"/>
      </c:lineChart>
      <c:catAx>
        <c:axId val="2744539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49436"/>
        <c:crosses val="autoZero"/>
        <c:auto val="1"/>
        <c:lblAlgn val="ctr"/>
        <c:lblOffset val="100"/>
        <c:noMultiLvlLbl val="0"/>
      </c:catAx>
      <c:valAx>
        <c:axId val="845494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453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_series!$B$96:$Y$96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60.82</c:v>
                </c:pt>
                <c:pt idx="8">
                  <c:v>108.09</c:v>
                </c:pt>
                <c:pt idx="9">
                  <c:v>85.8</c:v>
                </c:pt>
                <c:pt idx="10">
                  <c:v>81.15</c:v>
                </c:pt>
                <c:pt idx="11">
                  <c:v>80.82</c:v>
                </c:pt>
                <c:pt idx="12">
                  <c:v>80.07</c:v>
                </c:pt>
                <c:pt idx="13">
                  <c:v>80.14</c:v>
                </c:pt>
                <c:pt idx="14">
                  <c:v>80.85</c:v>
                </c:pt>
                <c:pt idx="15">
                  <c:v>80.09</c:v>
                </c:pt>
                <c:pt idx="16">
                  <c:v>90.46</c:v>
                </c:pt>
                <c:pt idx="17">
                  <c:v>112.04</c:v>
                </c:pt>
                <c:pt idx="18">
                  <c:v>121.6</c:v>
                </c:pt>
                <c:pt idx="19">
                  <c:v>104.6</c:v>
                </c:pt>
                <c:pt idx="20">
                  <c:v>109.16</c:v>
                </c:pt>
                <c:pt idx="21">
                  <c:v>88.23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135884"/>
        <c:axId val="79878783"/>
      </c:lineChart>
      <c:catAx>
        <c:axId val="801358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78783"/>
        <c:crosses val="autoZero"/>
        <c:auto val="1"/>
        <c:lblAlgn val="ctr"/>
        <c:lblOffset val="100"/>
        <c:noMultiLvlLbl val="0"/>
      </c:catAx>
      <c:valAx>
        <c:axId val="798787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358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_series!$B$97:$Y$97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71.25</c:v>
                </c:pt>
                <c:pt idx="8">
                  <c:v>119.33</c:v>
                </c:pt>
                <c:pt idx="9">
                  <c:v>141.22</c:v>
                </c:pt>
                <c:pt idx="10">
                  <c:v>141.85</c:v>
                </c:pt>
                <c:pt idx="11">
                  <c:v>148.12</c:v>
                </c:pt>
                <c:pt idx="12">
                  <c:v>205.23</c:v>
                </c:pt>
                <c:pt idx="13">
                  <c:v>219.62</c:v>
                </c:pt>
                <c:pt idx="14">
                  <c:v>133.77</c:v>
                </c:pt>
                <c:pt idx="15">
                  <c:v>144.42</c:v>
                </c:pt>
                <c:pt idx="16">
                  <c:v>102.84</c:v>
                </c:pt>
                <c:pt idx="17">
                  <c:v>127.74</c:v>
                </c:pt>
                <c:pt idx="18">
                  <c:v>119.1</c:v>
                </c:pt>
                <c:pt idx="19">
                  <c:v>115.51</c:v>
                </c:pt>
                <c:pt idx="20">
                  <c:v>113.22</c:v>
                </c:pt>
                <c:pt idx="21">
                  <c:v>115.73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290747"/>
        <c:axId val="90376813"/>
      </c:lineChart>
      <c:catAx>
        <c:axId val="482907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76813"/>
        <c:crosses val="autoZero"/>
        <c:auto val="1"/>
        <c:lblAlgn val="ctr"/>
        <c:lblOffset val="100"/>
        <c:noMultiLvlLbl val="0"/>
      </c:catAx>
      <c:valAx>
        <c:axId val="903768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907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_series!$B$98:$Y$98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91.49</c:v>
                </c:pt>
                <c:pt idx="9">
                  <c:v>0</c:v>
                </c:pt>
                <c:pt idx="10">
                  <c:v>100.61</c:v>
                </c:pt>
                <c:pt idx="11">
                  <c:v>69.69</c:v>
                </c:pt>
                <c:pt idx="12">
                  <c:v>101.34</c:v>
                </c:pt>
                <c:pt idx="13">
                  <c:v>96.5</c:v>
                </c:pt>
                <c:pt idx="14">
                  <c:v>109.71</c:v>
                </c:pt>
                <c:pt idx="15">
                  <c:v>99.05</c:v>
                </c:pt>
                <c:pt idx="16">
                  <c:v>104.36</c:v>
                </c:pt>
                <c:pt idx="17">
                  <c:v>112.78</c:v>
                </c:pt>
                <c:pt idx="18">
                  <c:v>137.89</c:v>
                </c:pt>
                <c:pt idx="19">
                  <c:v>93.58</c:v>
                </c:pt>
                <c:pt idx="20">
                  <c:v>89.09</c:v>
                </c:pt>
                <c:pt idx="21">
                  <c:v>85.99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104879"/>
        <c:axId val="32629437"/>
      </c:lineChart>
      <c:catAx>
        <c:axId val="13104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29437"/>
        <c:crosses val="autoZero"/>
        <c:auto val="1"/>
        <c:lblAlgn val="ctr"/>
        <c:lblOffset val="100"/>
        <c:noMultiLvlLbl val="0"/>
      </c:catAx>
      <c:valAx>
        <c:axId val="32629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048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_series!$B$99:$Y$99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85.37</c:v>
                </c:pt>
                <c:pt idx="11">
                  <c:v>85.27</c:v>
                </c:pt>
                <c:pt idx="12">
                  <c:v>128.1</c:v>
                </c:pt>
                <c:pt idx="13">
                  <c:v>138.43</c:v>
                </c:pt>
                <c:pt idx="14">
                  <c:v>93.14</c:v>
                </c:pt>
                <c:pt idx="15">
                  <c:v>98.52</c:v>
                </c:pt>
                <c:pt idx="16">
                  <c:v>114.92</c:v>
                </c:pt>
                <c:pt idx="17">
                  <c:v>236.9</c:v>
                </c:pt>
                <c:pt idx="18">
                  <c:v>220.23</c:v>
                </c:pt>
                <c:pt idx="19">
                  <c:v>156.77</c:v>
                </c:pt>
                <c:pt idx="20">
                  <c:v>189.43</c:v>
                </c:pt>
                <c:pt idx="21">
                  <c:v>92.52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964314"/>
        <c:axId val="14728333"/>
      </c:lineChart>
      <c:catAx>
        <c:axId val="9496431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28333"/>
        <c:crosses val="autoZero"/>
        <c:auto val="1"/>
        <c:lblAlgn val="ctr"/>
        <c:lblOffset val="100"/>
        <c:noMultiLvlLbl val="0"/>
      </c:catAx>
      <c:valAx>
        <c:axId val="147283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643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_series!$B$100:$Y$100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29.23</c:v>
                </c:pt>
                <c:pt idx="11">
                  <c:v>44.55</c:v>
                </c:pt>
                <c:pt idx="12">
                  <c:v>26.01</c:v>
                </c:pt>
                <c:pt idx="13">
                  <c:v>53.09</c:v>
                </c:pt>
                <c:pt idx="14">
                  <c:v>48.21</c:v>
                </c:pt>
                <c:pt idx="15">
                  <c:v>52.08</c:v>
                </c:pt>
                <c:pt idx="16">
                  <c:v>42.39</c:v>
                </c:pt>
                <c:pt idx="17">
                  <c:v>63.74</c:v>
                </c:pt>
                <c:pt idx="18">
                  <c:v>29.62</c:v>
                </c:pt>
                <c:pt idx="19">
                  <c:v>52.02</c:v>
                </c:pt>
                <c:pt idx="20">
                  <c:v>45.72</c:v>
                </c:pt>
                <c:pt idx="21">
                  <c:v>51.48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326153"/>
        <c:axId val="69291879"/>
      </c:lineChart>
      <c:catAx>
        <c:axId val="903261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91879"/>
        <c:crosses val="autoZero"/>
        <c:auto val="1"/>
        <c:lblAlgn val="ctr"/>
        <c:lblOffset val="100"/>
        <c:noMultiLvlLbl val="0"/>
      </c:catAx>
      <c:valAx>
        <c:axId val="692918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261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_series!$B$101:$Y$101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42.6</c:v>
                </c:pt>
                <c:pt idx="11">
                  <c:v>0</c:v>
                </c:pt>
                <c:pt idx="12">
                  <c:v>35.75</c:v>
                </c:pt>
                <c:pt idx="13">
                  <c:v>36.09</c:v>
                </c:pt>
                <c:pt idx="14">
                  <c:v>32.82</c:v>
                </c:pt>
                <c:pt idx="15">
                  <c:v>31.05</c:v>
                </c:pt>
                <c:pt idx="16">
                  <c:v>30.64</c:v>
                </c:pt>
                <c:pt idx="17">
                  <c:v>31.9</c:v>
                </c:pt>
                <c:pt idx="18">
                  <c:v>33.88</c:v>
                </c:pt>
                <c:pt idx="19">
                  <c:v>28.96</c:v>
                </c:pt>
                <c:pt idx="20">
                  <c:v>29.65</c:v>
                </c:pt>
                <c:pt idx="21">
                  <c:v>28.71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278739"/>
        <c:axId val="42981642"/>
      </c:lineChart>
      <c:catAx>
        <c:axId val="662787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81642"/>
        <c:crosses val="autoZero"/>
        <c:auto val="1"/>
        <c:lblAlgn val="ctr"/>
        <c:lblOffset val="100"/>
        <c:noMultiLvlLbl val="0"/>
      </c:catAx>
      <c:valAx>
        <c:axId val="429816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787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_series!$B$102:$Y$102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119.86</c:v>
                </c:pt>
                <c:pt idx="13">
                  <c:v>120.44</c:v>
                </c:pt>
                <c:pt idx="14">
                  <c:v>133.01</c:v>
                </c:pt>
                <c:pt idx="15">
                  <c:v>119.55</c:v>
                </c:pt>
                <c:pt idx="16">
                  <c:v>112.61</c:v>
                </c:pt>
                <c:pt idx="17">
                  <c:v>80.83</c:v>
                </c:pt>
                <c:pt idx="18">
                  <c:v>86.53</c:v>
                </c:pt>
                <c:pt idx="19">
                  <c:v>41.27</c:v>
                </c:pt>
                <c:pt idx="20">
                  <c:v>49.23</c:v>
                </c:pt>
                <c:pt idx="21">
                  <c:v>34.7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300366"/>
        <c:axId val="73546094"/>
      </c:lineChart>
      <c:catAx>
        <c:axId val="193003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46094"/>
        <c:crosses val="autoZero"/>
        <c:auto val="1"/>
        <c:lblAlgn val="ctr"/>
        <c:lblOffset val="100"/>
        <c:noMultiLvlLbl val="0"/>
      </c:catAx>
      <c:valAx>
        <c:axId val="735460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003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_series!$B$103:$Y$103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232.86</c:v>
                </c:pt>
                <c:pt idx="13">
                  <c:v>319.29</c:v>
                </c:pt>
                <c:pt idx="14">
                  <c:v>331.38</c:v>
                </c:pt>
                <c:pt idx="15">
                  <c:v>319.24</c:v>
                </c:pt>
                <c:pt idx="16">
                  <c:v>236.66</c:v>
                </c:pt>
                <c:pt idx="17">
                  <c:v>238.63</c:v>
                </c:pt>
                <c:pt idx="18">
                  <c:v>231.31</c:v>
                </c:pt>
                <c:pt idx="19">
                  <c:v>138.31</c:v>
                </c:pt>
                <c:pt idx="20">
                  <c:v>250.68</c:v>
                </c:pt>
                <c:pt idx="21">
                  <c:v>314.85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83368"/>
        <c:axId val="69814101"/>
      </c:lineChart>
      <c:catAx>
        <c:axId val="7183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14101"/>
        <c:crosses val="autoZero"/>
        <c:auto val="1"/>
        <c:lblAlgn val="ctr"/>
        <c:lblOffset val="100"/>
        <c:noMultiLvlLbl val="0"/>
      </c:catAx>
      <c:valAx>
        <c:axId val="698141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33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_series!$B$104:$Y$104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48.02</c:v>
                </c:pt>
                <c:pt idx="14">
                  <c:v>0</c:v>
                </c:pt>
                <c:pt idx="15">
                  <c:v>0</c:v>
                </c:pt>
                <c:pt idx="16">
                  <c:v>52.29</c:v>
                </c:pt>
                <c:pt idx="17">
                  <c:v>53.54</c:v>
                </c:pt>
                <c:pt idx="18">
                  <c:v>37.74</c:v>
                </c:pt>
                <c:pt idx="19">
                  <c:v>42.72</c:v>
                </c:pt>
                <c:pt idx="20">
                  <c:v>47.49</c:v>
                </c:pt>
                <c:pt idx="21">
                  <c:v>47.07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214374"/>
        <c:axId val="54126301"/>
      </c:lineChart>
      <c:catAx>
        <c:axId val="262143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26301"/>
        <c:crosses val="autoZero"/>
        <c:auto val="1"/>
        <c:lblAlgn val="ctr"/>
        <c:lblOffset val="100"/>
        <c:noMultiLvlLbl val="0"/>
      </c:catAx>
      <c:valAx>
        <c:axId val="541263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143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_series!$B$105:$Y$105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101.99</c:v>
                </c:pt>
                <c:pt idx="14">
                  <c:v>0</c:v>
                </c:pt>
                <c:pt idx="15">
                  <c:v>0</c:v>
                </c:pt>
                <c:pt idx="16">
                  <c:v>54.46</c:v>
                </c:pt>
                <c:pt idx="17">
                  <c:v>48.72</c:v>
                </c:pt>
                <c:pt idx="18">
                  <c:v>55.89</c:v>
                </c:pt>
                <c:pt idx="19">
                  <c:v>53.5</c:v>
                </c:pt>
                <c:pt idx="20">
                  <c:v>52.85</c:v>
                </c:pt>
                <c:pt idx="21">
                  <c:v>49.47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228029"/>
        <c:axId val="16716844"/>
      </c:lineChart>
      <c:catAx>
        <c:axId val="922280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16844"/>
        <c:crosses val="autoZero"/>
        <c:auto val="1"/>
        <c:lblAlgn val="ctr"/>
        <c:lblOffset val="100"/>
        <c:noMultiLvlLbl val="0"/>
      </c:catAx>
      <c:valAx>
        <c:axId val="167168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280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_series!$B$106:$Y$106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30.58</c:v>
                </c:pt>
                <c:pt idx="17">
                  <c:v>68.22</c:v>
                </c:pt>
                <c:pt idx="18">
                  <c:v>116.82</c:v>
                </c:pt>
                <c:pt idx="19">
                  <c:v>110.26</c:v>
                </c:pt>
                <c:pt idx="20">
                  <c:v>109.66</c:v>
                </c:pt>
                <c:pt idx="21">
                  <c:v>92.76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537957"/>
        <c:axId val="88304687"/>
      </c:lineChart>
      <c:catAx>
        <c:axId val="895379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04687"/>
        <c:crosses val="autoZero"/>
        <c:auto val="1"/>
        <c:lblAlgn val="ctr"/>
        <c:lblOffset val="100"/>
        <c:noMultiLvlLbl val="0"/>
      </c:catAx>
      <c:valAx>
        <c:axId val="883046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37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_series!$B$107:$Y$107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42.26</c:v>
                </c:pt>
                <c:pt idx="16">
                  <c:v>40.45</c:v>
                </c:pt>
                <c:pt idx="17">
                  <c:v>40.36</c:v>
                </c:pt>
                <c:pt idx="18">
                  <c:v>41.3</c:v>
                </c:pt>
                <c:pt idx="19">
                  <c:v>40.68</c:v>
                </c:pt>
                <c:pt idx="20">
                  <c:v>43.96</c:v>
                </c:pt>
                <c:pt idx="21">
                  <c:v>41.92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120347"/>
        <c:axId val="95281338"/>
      </c:lineChart>
      <c:catAx>
        <c:axId val="781203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81338"/>
        <c:crosses val="autoZero"/>
        <c:auto val="1"/>
        <c:lblAlgn val="ctr"/>
        <c:lblOffset val="100"/>
        <c:noMultiLvlLbl val="0"/>
      </c:catAx>
      <c:valAx>
        <c:axId val="95281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203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_series!$B$108:$Y$108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94.36</c:v>
                </c:pt>
                <c:pt idx="16">
                  <c:v>70.41</c:v>
                </c:pt>
                <c:pt idx="17">
                  <c:v>41.79</c:v>
                </c:pt>
                <c:pt idx="18">
                  <c:v>42.14</c:v>
                </c:pt>
                <c:pt idx="19">
                  <c:v>46.75</c:v>
                </c:pt>
                <c:pt idx="20">
                  <c:v>40.63</c:v>
                </c:pt>
                <c:pt idx="21">
                  <c:v>34.86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059834"/>
        <c:axId val="49410461"/>
      </c:lineChart>
      <c:catAx>
        <c:axId val="5105983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10461"/>
        <c:crosses val="autoZero"/>
        <c:auto val="1"/>
        <c:lblAlgn val="ctr"/>
        <c:lblOffset val="100"/>
        <c:noMultiLvlLbl val="0"/>
      </c:catAx>
      <c:valAx>
        <c:axId val="494104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598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_series!$B$109:$Y$109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65.76</c:v>
                </c:pt>
                <c:pt idx="14">
                  <c:v>0</c:v>
                </c:pt>
                <c:pt idx="15">
                  <c:v>0</c:v>
                </c:pt>
                <c:pt idx="16">
                  <c:v>37.24</c:v>
                </c:pt>
                <c:pt idx="17">
                  <c:v>36.49</c:v>
                </c:pt>
                <c:pt idx="18">
                  <c:v>38.72</c:v>
                </c:pt>
                <c:pt idx="19">
                  <c:v>36.12</c:v>
                </c:pt>
                <c:pt idx="20">
                  <c:v>34.5</c:v>
                </c:pt>
                <c:pt idx="21">
                  <c:v>37.58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387914"/>
        <c:axId val="58662163"/>
      </c:lineChart>
      <c:catAx>
        <c:axId val="3338791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62163"/>
        <c:crosses val="autoZero"/>
        <c:auto val="1"/>
        <c:lblAlgn val="ctr"/>
        <c:lblOffset val="100"/>
        <c:noMultiLvlLbl val="0"/>
      </c:catAx>
      <c:valAx>
        <c:axId val="58662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879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_series!$B$110:$Y$110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104.92</c:v>
                </c:pt>
                <c:pt idx="16">
                  <c:v>256.57</c:v>
                </c:pt>
                <c:pt idx="17">
                  <c:v>406.3</c:v>
                </c:pt>
                <c:pt idx="18">
                  <c:v>391.89</c:v>
                </c:pt>
                <c:pt idx="19">
                  <c:v>260.7</c:v>
                </c:pt>
                <c:pt idx="20">
                  <c:v>291.94</c:v>
                </c:pt>
                <c:pt idx="21">
                  <c:v>227.31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326464"/>
        <c:axId val="62406116"/>
      </c:lineChart>
      <c:catAx>
        <c:axId val="8332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06116"/>
        <c:crosses val="autoZero"/>
        <c:auto val="1"/>
        <c:lblAlgn val="ctr"/>
        <c:lblOffset val="100"/>
        <c:noMultiLvlLbl val="0"/>
      </c:catAx>
      <c:valAx>
        <c:axId val="624061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264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_series!$B$111:$Y$111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69.47</c:v>
                </c:pt>
                <c:pt idx="19">
                  <c:v>119.54</c:v>
                </c:pt>
                <c:pt idx="20">
                  <c:v>117.27</c:v>
                </c:pt>
                <c:pt idx="21">
                  <c:v>89.59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457036"/>
        <c:axId val="17921808"/>
      </c:lineChart>
      <c:catAx>
        <c:axId val="714570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21808"/>
        <c:crosses val="autoZero"/>
        <c:auto val="1"/>
        <c:lblAlgn val="ctr"/>
        <c:lblOffset val="100"/>
        <c:noMultiLvlLbl val="0"/>
      </c:catAx>
      <c:valAx>
        <c:axId val="179218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570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_series!$B$112:$Y$112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86.78</c:v>
                </c:pt>
                <c:pt idx="19">
                  <c:v>195.72</c:v>
                </c:pt>
                <c:pt idx="20">
                  <c:v>162.48</c:v>
                </c:pt>
                <c:pt idx="21">
                  <c:v>142.15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179549"/>
        <c:axId val="99339623"/>
      </c:lineChart>
      <c:catAx>
        <c:axId val="261795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39623"/>
        <c:crosses val="autoZero"/>
        <c:auto val="1"/>
        <c:lblAlgn val="ctr"/>
        <c:lblOffset val="100"/>
        <c:noMultiLvlLbl val="0"/>
      </c:catAx>
      <c:valAx>
        <c:axId val="993396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795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_series!$B$113:$Y$113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82.27</c:v>
                </c:pt>
                <c:pt idx="20">
                  <c:v>78.03</c:v>
                </c:pt>
                <c:pt idx="21">
                  <c:v>69.14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411737"/>
        <c:axId val="25928922"/>
      </c:lineChart>
      <c:catAx>
        <c:axId val="4241173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28922"/>
        <c:crosses val="autoZero"/>
        <c:auto val="1"/>
        <c:lblAlgn val="ctr"/>
        <c:lblOffset val="100"/>
        <c:noMultiLvlLbl val="0"/>
      </c:catAx>
      <c:valAx>
        <c:axId val="259289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117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_series!$B$114:$Y$114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53.48</c:v>
                </c:pt>
                <c:pt idx="20">
                  <c:v>57.25</c:v>
                </c:pt>
                <c:pt idx="21">
                  <c:v>56.12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844314"/>
        <c:axId val="39832839"/>
      </c:lineChart>
      <c:catAx>
        <c:axId val="4584431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32839"/>
        <c:crosses val="autoZero"/>
        <c:auto val="1"/>
        <c:lblAlgn val="ctr"/>
        <c:lblOffset val="100"/>
        <c:noMultiLvlLbl val="0"/>
      </c:catAx>
      <c:valAx>
        <c:axId val="398328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443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_series!$B$115:$Y$115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49.6</c:v>
                </c:pt>
                <c:pt idx="21">
                  <c:v>40.88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747484"/>
        <c:axId val="84198033"/>
      </c:lineChart>
      <c:catAx>
        <c:axId val="257474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98033"/>
        <c:crosses val="autoZero"/>
        <c:auto val="1"/>
        <c:lblAlgn val="ctr"/>
        <c:lblOffset val="100"/>
        <c:noMultiLvlLbl val="0"/>
      </c:catAx>
      <c:valAx>
        <c:axId val="841980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474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_series!$B$116:$Y$116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271.71</c:v>
                </c:pt>
                <c:pt idx="20">
                  <c:v>96.34</c:v>
                </c:pt>
                <c:pt idx="21">
                  <c:v>94.96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296595"/>
        <c:axId val="15092690"/>
      </c:lineChart>
      <c:catAx>
        <c:axId val="482965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92690"/>
        <c:crosses val="autoZero"/>
        <c:auto val="1"/>
        <c:lblAlgn val="ctr"/>
        <c:lblOffset val="100"/>
        <c:noMultiLvlLbl val="0"/>
      </c:catAx>
      <c:valAx>
        <c:axId val="150926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965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_series!$B$117:$Y$117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107.46</c:v>
                </c:pt>
                <c:pt idx="20">
                  <c:v>111.89</c:v>
                </c:pt>
                <c:pt idx="21">
                  <c:v>117.07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992671"/>
        <c:axId val="9477481"/>
      </c:lineChart>
      <c:catAx>
        <c:axId val="66992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7481"/>
        <c:crosses val="autoZero"/>
        <c:auto val="1"/>
        <c:lblAlgn val="ctr"/>
        <c:lblOffset val="100"/>
        <c:noMultiLvlLbl val="0"/>
      </c:catAx>
      <c:valAx>
        <c:axId val="94774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926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_series!$B$118:$Y$118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78.71</c:v>
                </c:pt>
                <c:pt idx="20">
                  <c:v>82.54</c:v>
                </c:pt>
                <c:pt idx="21">
                  <c:v>64.82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855924"/>
        <c:axId val="81968084"/>
      </c:lineChart>
      <c:catAx>
        <c:axId val="588559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68084"/>
        <c:crosses val="autoZero"/>
        <c:auto val="1"/>
        <c:lblAlgn val="ctr"/>
        <c:lblOffset val="100"/>
        <c:noMultiLvlLbl val="0"/>
      </c:catAx>
      <c:valAx>
        <c:axId val="81968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559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_series!$B$119:$Y$119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62.66</c:v>
                </c:pt>
                <c:pt idx="20">
                  <c:v>52.63</c:v>
                </c:pt>
                <c:pt idx="21">
                  <c:v>53.78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253639"/>
        <c:axId val="42606103"/>
      </c:lineChart>
      <c:catAx>
        <c:axId val="51253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06103"/>
        <c:crosses val="autoZero"/>
        <c:auto val="1"/>
        <c:lblAlgn val="ctr"/>
        <c:lblOffset val="100"/>
        <c:noMultiLvlLbl val="0"/>
      </c:catAx>
      <c:valAx>
        <c:axId val="426061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536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_series!$B$120:$Y$120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61.16</c:v>
                </c:pt>
                <c:pt idx="20">
                  <c:v>87.04</c:v>
                </c:pt>
                <c:pt idx="21">
                  <c:v>81.16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535374"/>
        <c:axId val="59892120"/>
      </c:lineChart>
      <c:catAx>
        <c:axId val="215353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92120"/>
        <c:crosses val="autoZero"/>
        <c:auto val="1"/>
        <c:lblAlgn val="ctr"/>
        <c:lblOffset val="100"/>
        <c:noMultiLvlLbl val="0"/>
      </c:catAx>
      <c:valAx>
        <c:axId val="598921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353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_series!$B$121:$Y$121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45.1</c:v>
                </c:pt>
                <c:pt idx="20">
                  <c:v>71.24</c:v>
                </c:pt>
                <c:pt idx="21">
                  <c:v>68.52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470588"/>
        <c:axId val="4571318"/>
      </c:lineChart>
      <c:catAx>
        <c:axId val="754705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1318"/>
        <c:crosses val="autoZero"/>
        <c:auto val="1"/>
        <c:lblAlgn val="ctr"/>
        <c:lblOffset val="100"/>
        <c:noMultiLvlLbl val="0"/>
      </c:catAx>
      <c:valAx>
        <c:axId val="45713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705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_series!$B$122:$Y$122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39.06</c:v>
                </c:pt>
                <c:pt idx="20">
                  <c:v>57.14</c:v>
                </c:pt>
                <c:pt idx="21">
                  <c:v>47.65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579324"/>
        <c:axId val="33147644"/>
      </c:lineChart>
      <c:catAx>
        <c:axId val="815793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47644"/>
        <c:crosses val="autoZero"/>
        <c:auto val="1"/>
        <c:lblAlgn val="ctr"/>
        <c:lblOffset val="100"/>
        <c:noMultiLvlLbl val="0"/>
      </c:catAx>
      <c:valAx>
        <c:axId val="33147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793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_series!$B$123:$Y$123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14.59</c:v>
                </c:pt>
                <c:pt idx="20">
                  <c:v>78.76</c:v>
                </c:pt>
                <c:pt idx="21">
                  <c:v>73.51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345637"/>
        <c:axId val="7255545"/>
      </c:lineChart>
      <c:catAx>
        <c:axId val="1334563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5545"/>
        <c:crosses val="autoZero"/>
        <c:auto val="1"/>
        <c:lblAlgn val="ctr"/>
        <c:lblOffset val="100"/>
        <c:noMultiLvlLbl val="0"/>
      </c:catAx>
      <c:valAx>
        <c:axId val="72555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456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_series!$B$124:$Y$124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28.44</c:v>
                </c:pt>
                <c:pt idx="20">
                  <c:v>72.12</c:v>
                </c:pt>
                <c:pt idx="21">
                  <c:v>49.98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306608"/>
        <c:axId val="47931070"/>
      </c:lineChart>
      <c:catAx>
        <c:axId val="6630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31070"/>
        <c:crosses val="autoZero"/>
        <c:auto val="1"/>
        <c:lblAlgn val="ctr"/>
        <c:lblOffset val="100"/>
        <c:noMultiLvlLbl val="0"/>
      </c:catAx>
      <c:valAx>
        <c:axId val="479310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066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_series!$B$125:$Y$125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10.51</c:v>
                </c:pt>
                <c:pt idx="20">
                  <c:v>82.43</c:v>
                </c:pt>
                <c:pt idx="21">
                  <c:v>48.26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134573"/>
        <c:axId val="6498851"/>
      </c:lineChart>
      <c:catAx>
        <c:axId val="6413457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8851"/>
        <c:crosses val="autoZero"/>
        <c:auto val="1"/>
        <c:lblAlgn val="ctr"/>
        <c:lblOffset val="100"/>
        <c:noMultiLvlLbl val="0"/>
      </c:catAx>
      <c:valAx>
        <c:axId val="6498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345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_series!$B$126:$Y$126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40.58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826241"/>
        <c:axId val="31082055"/>
      </c:lineChart>
      <c:catAx>
        <c:axId val="448262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82055"/>
        <c:crosses val="autoZero"/>
        <c:auto val="1"/>
        <c:lblAlgn val="ctr"/>
        <c:lblOffset val="100"/>
        <c:noMultiLvlLbl val="0"/>
      </c:catAx>
      <c:valAx>
        <c:axId val="310820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262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_series!$B$127:$Y$127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47.83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754537"/>
        <c:axId val="63354022"/>
      </c:lineChart>
      <c:catAx>
        <c:axId val="6975453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54022"/>
        <c:crosses val="autoZero"/>
        <c:auto val="1"/>
        <c:lblAlgn val="ctr"/>
        <c:lblOffset val="100"/>
        <c:noMultiLvlLbl val="0"/>
      </c:catAx>
      <c:valAx>
        <c:axId val="633540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54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_series!$B$128:$Y$128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65.18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274143"/>
        <c:axId val="96514424"/>
      </c:lineChart>
      <c:catAx>
        <c:axId val="41274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14424"/>
        <c:crosses val="autoZero"/>
        <c:auto val="1"/>
        <c:lblAlgn val="ctr"/>
        <c:lblOffset val="100"/>
        <c:noMultiLvlLbl val="0"/>
      </c:catAx>
      <c:valAx>
        <c:axId val="96514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741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_series!$B$129:$Y$129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66.33</c:v>
                </c:pt>
                <c:pt idx="21">
                  <c:v>58.66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284681"/>
        <c:axId val="76271014"/>
      </c:lineChart>
      <c:catAx>
        <c:axId val="7528468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71014"/>
        <c:crosses val="autoZero"/>
        <c:auto val="1"/>
        <c:lblAlgn val="ctr"/>
        <c:lblOffset val="100"/>
        <c:noMultiLvlLbl val="0"/>
      </c:catAx>
      <c:valAx>
        <c:axId val="762710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846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_series!$B$130:$Y$130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77.85</c:v>
                </c:pt>
                <c:pt idx="21">
                  <c:v>104.62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508054"/>
        <c:axId val="84214412"/>
      </c:lineChart>
      <c:catAx>
        <c:axId val="435080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14412"/>
        <c:crosses val="autoZero"/>
        <c:auto val="1"/>
        <c:lblAlgn val="ctr"/>
        <c:lblOffset val="100"/>
        <c:noMultiLvlLbl val="0"/>
      </c:catAx>
      <c:valAx>
        <c:axId val="84214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080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_series!$B$131:$Y$131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26.05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445656"/>
        <c:axId val="63180282"/>
      </c:lineChart>
      <c:catAx>
        <c:axId val="56445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80282"/>
        <c:crosses val="autoZero"/>
        <c:auto val="1"/>
        <c:lblAlgn val="ctr"/>
        <c:lblOffset val="100"/>
        <c:noMultiLvlLbl val="0"/>
      </c:catAx>
      <c:valAx>
        <c:axId val="631802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456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_series!$B$132:$Y$132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88.1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417372"/>
        <c:axId val="7771597"/>
      </c:lineChart>
      <c:catAx>
        <c:axId val="624173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1597"/>
        <c:crosses val="autoZero"/>
        <c:auto val="1"/>
        <c:lblAlgn val="ctr"/>
        <c:lblOffset val="100"/>
        <c:noMultiLvlLbl val="0"/>
      </c:catAx>
      <c:valAx>
        <c:axId val="7771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173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_series!$B$133:$Y$133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58.7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162353"/>
        <c:axId val="12350696"/>
      </c:lineChart>
      <c:catAx>
        <c:axId val="671623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50696"/>
        <c:crosses val="autoZero"/>
        <c:auto val="1"/>
        <c:lblAlgn val="ctr"/>
        <c:lblOffset val="100"/>
        <c:noMultiLvlLbl val="0"/>
      </c:catAx>
      <c:valAx>
        <c:axId val="123506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623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_series!$B$134:$Y$134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54.97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071887"/>
        <c:axId val="19225650"/>
      </c:lineChart>
      <c:catAx>
        <c:axId val="39071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25650"/>
        <c:crosses val="autoZero"/>
        <c:auto val="1"/>
        <c:lblAlgn val="ctr"/>
        <c:lblOffset val="100"/>
        <c:noMultiLvlLbl val="0"/>
      </c:catAx>
      <c:valAx>
        <c:axId val="192256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718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_series!$B$135:$Y$135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33.35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362197"/>
        <c:axId val="64751996"/>
      </c:lineChart>
      <c:catAx>
        <c:axId val="1336219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51996"/>
        <c:crosses val="autoZero"/>
        <c:auto val="1"/>
        <c:lblAlgn val="ctr"/>
        <c:lblOffset val="100"/>
        <c:noMultiLvlLbl val="0"/>
      </c:catAx>
      <c:valAx>
        <c:axId val="647519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621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_series!$B$136:$Y$136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60.42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813695"/>
        <c:axId val="38236328"/>
      </c:lineChart>
      <c:catAx>
        <c:axId val="62813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36328"/>
        <c:crosses val="autoZero"/>
        <c:auto val="1"/>
        <c:lblAlgn val="ctr"/>
        <c:lblOffset val="100"/>
        <c:noMultiLvlLbl val="0"/>
      </c:catAx>
      <c:valAx>
        <c:axId val="382363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136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c55a11"/>
            </a:solidFill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_series!$B$137:$Y$137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480.78</c:v>
                </c:pt>
                <c:pt idx="5">
                  <c:v>869.3</c:v>
                </c:pt>
                <c:pt idx="6">
                  <c:v>484.66</c:v>
                </c:pt>
                <c:pt idx="7">
                  <c:v>499.94</c:v>
                </c:pt>
                <c:pt idx="8">
                  <c:v>802.97</c:v>
                </c:pt>
                <c:pt idx="9">
                  <c:v>1074.48</c:v>
                </c:pt>
                <c:pt idx="10">
                  <c:v>997.35</c:v>
                </c:pt>
                <c:pt idx="11">
                  <c:v>1001.22</c:v>
                </c:pt>
                <c:pt idx="12">
                  <c:v>1957.85</c:v>
                </c:pt>
                <c:pt idx="13">
                  <c:v>79.62</c:v>
                </c:pt>
                <c:pt idx="14">
                  <c:v>1019.69</c:v>
                </c:pt>
                <c:pt idx="15">
                  <c:v>699.4</c:v>
                </c:pt>
                <c:pt idx="16">
                  <c:v>233.98</c:v>
                </c:pt>
                <c:pt idx="17">
                  <c:v>803.7</c:v>
                </c:pt>
                <c:pt idx="18">
                  <c:v>716.71</c:v>
                </c:pt>
                <c:pt idx="19">
                  <c:v>712.12</c:v>
                </c:pt>
                <c:pt idx="20">
                  <c:v>540.74</c:v>
                </c:pt>
                <c:pt idx="21">
                  <c:v>624.71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963248"/>
        <c:axId val="82548800"/>
      </c:lineChart>
      <c:catAx>
        <c:axId val="8996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48800"/>
        <c:crosses val="autoZero"/>
        <c:auto val="1"/>
        <c:lblAlgn val="ctr"/>
        <c:lblOffset val="100"/>
        <c:noMultiLvlLbl val="0"/>
      </c:catAx>
      <c:valAx>
        <c:axId val="82548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632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Relationship Id="rId79" Type="http://schemas.openxmlformats.org/officeDocument/2006/relationships/chart" Target="../charts/chart79.xml"/><Relationship Id="rId80" Type="http://schemas.openxmlformats.org/officeDocument/2006/relationships/chart" Target="../charts/chart80.xml"/><Relationship Id="rId81" Type="http://schemas.openxmlformats.org/officeDocument/2006/relationships/chart" Target="../charts/chart81.xml"/><Relationship Id="rId82" Type="http://schemas.openxmlformats.org/officeDocument/2006/relationships/chart" Target="../charts/chart82.xml"/><Relationship Id="rId83" Type="http://schemas.openxmlformats.org/officeDocument/2006/relationships/chart" Target="../charts/chart83.xml"/><Relationship Id="rId84" Type="http://schemas.openxmlformats.org/officeDocument/2006/relationships/chart" Target="../charts/chart84.xml"/><Relationship Id="rId85" Type="http://schemas.openxmlformats.org/officeDocument/2006/relationships/chart" Target="../charts/chart85.xml"/><Relationship Id="rId86" Type="http://schemas.openxmlformats.org/officeDocument/2006/relationships/chart" Target="../charts/chart86.xml"/><Relationship Id="rId87" Type="http://schemas.openxmlformats.org/officeDocument/2006/relationships/chart" Target="../charts/chart87.xml"/><Relationship Id="rId88" Type="http://schemas.openxmlformats.org/officeDocument/2006/relationships/chart" Target="../charts/chart88.xml"/><Relationship Id="rId89" Type="http://schemas.openxmlformats.org/officeDocument/2006/relationships/chart" Target="../charts/chart89.xml"/><Relationship Id="rId90" Type="http://schemas.openxmlformats.org/officeDocument/2006/relationships/chart" Target="../charts/chart90.xml"/><Relationship Id="rId91" Type="http://schemas.openxmlformats.org/officeDocument/2006/relationships/chart" Target="../charts/chart91.xml"/><Relationship Id="rId92" Type="http://schemas.openxmlformats.org/officeDocument/2006/relationships/chart" Target="../charts/chart92.xml"/><Relationship Id="rId93" Type="http://schemas.openxmlformats.org/officeDocument/2006/relationships/chart" Target="../charts/chart93.xml"/><Relationship Id="rId94" Type="http://schemas.openxmlformats.org/officeDocument/2006/relationships/chart" Target="../charts/chart94.xml"/><Relationship Id="rId95" Type="http://schemas.openxmlformats.org/officeDocument/2006/relationships/chart" Target="../charts/chart95.xml"/><Relationship Id="rId96" Type="http://schemas.openxmlformats.org/officeDocument/2006/relationships/chart" Target="../charts/chart96.xml"/><Relationship Id="rId97" Type="http://schemas.openxmlformats.org/officeDocument/2006/relationships/chart" Target="../charts/chart97.xml"/><Relationship Id="rId98" Type="http://schemas.openxmlformats.org/officeDocument/2006/relationships/chart" Target="../charts/chart98.xml"/><Relationship Id="rId99" Type="http://schemas.openxmlformats.org/officeDocument/2006/relationships/chart" Target="../charts/chart99.xml"/><Relationship Id="rId100" Type="http://schemas.openxmlformats.org/officeDocument/2006/relationships/chart" Target="../charts/chart100.xml"/><Relationship Id="rId101" Type="http://schemas.openxmlformats.org/officeDocument/2006/relationships/chart" Target="../charts/chart101.xml"/><Relationship Id="rId102" Type="http://schemas.openxmlformats.org/officeDocument/2006/relationships/chart" Target="../charts/chart102.xml"/><Relationship Id="rId103" Type="http://schemas.openxmlformats.org/officeDocument/2006/relationships/chart" Target="../charts/chart103.xml"/><Relationship Id="rId104" Type="http://schemas.openxmlformats.org/officeDocument/2006/relationships/chart" Target="../charts/chart104.xml"/><Relationship Id="rId105" Type="http://schemas.openxmlformats.org/officeDocument/2006/relationships/chart" Target="../charts/chart105.xml"/><Relationship Id="rId106" Type="http://schemas.openxmlformats.org/officeDocument/2006/relationships/chart" Target="../charts/chart106.xml"/><Relationship Id="rId107" Type="http://schemas.openxmlformats.org/officeDocument/2006/relationships/chart" Target="../charts/chart107.xml"/><Relationship Id="rId108" Type="http://schemas.openxmlformats.org/officeDocument/2006/relationships/chart" Target="../charts/chart108.xml"/><Relationship Id="rId109" Type="http://schemas.openxmlformats.org/officeDocument/2006/relationships/chart" Target="../charts/chart109.xml"/><Relationship Id="rId110" Type="http://schemas.openxmlformats.org/officeDocument/2006/relationships/chart" Target="../charts/chart110.xml"/><Relationship Id="rId111" Type="http://schemas.openxmlformats.org/officeDocument/2006/relationships/chart" Target="../charts/chart111.xml"/><Relationship Id="rId112" Type="http://schemas.openxmlformats.org/officeDocument/2006/relationships/chart" Target="../charts/chart112.xml"/><Relationship Id="rId113" Type="http://schemas.openxmlformats.org/officeDocument/2006/relationships/chart" Target="../charts/chart113.xml"/><Relationship Id="rId114" Type="http://schemas.openxmlformats.org/officeDocument/2006/relationships/chart" Target="../charts/chart114.xml"/><Relationship Id="rId115" Type="http://schemas.openxmlformats.org/officeDocument/2006/relationships/chart" Target="../charts/chart115.xml"/><Relationship Id="rId116" Type="http://schemas.openxmlformats.org/officeDocument/2006/relationships/chart" Target="../charts/chart116.xml"/><Relationship Id="rId117" Type="http://schemas.openxmlformats.org/officeDocument/2006/relationships/chart" Target="../charts/chart117.xml"/><Relationship Id="rId118" Type="http://schemas.openxmlformats.org/officeDocument/2006/relationships/chart" Target="../charts/chart118.xml"/><Relationship Id="rId119" Type="http://schemas.openxmlformats.org/officeDocument/2006/relationships/chart" Target="../charts/chart119.xml"/><Relationship Id="rId120" Type="http://schemas.openxmlformats.org/officeDocument/2006/relationships/chart" Target="../charts/chart120.xml"/><Relationship Id="rId121" Type="http://schemas.openxmlformats.org/officeDocument/2006/relationships/chart" Target="../charts/chart121.xml"/><Relationship Id="rId122" Type="http://schemas.openxmlformats.org/officeDocument/2006/relationships/chart" Target="../charts/chart122.xml"/><Relationship Id="rId123" Type="http://schemas.openxmlformats.org/officeDocument/2006/relationships/chart" Target="../charts/chart123.xml"/><Relationship Id="rId124" Type="http://schemas.openxmlformats.org/officeDocument/2006/relationships/chart" Target="../charts/chart124.xml"/><Relationship Id="rId125" Type="http://schemas.openxmlformats.org/officeDocument/2006/relationships/chart" Target="../charts/chart125.xml"/><Relationship Id="rId126" Type="http://schemas.openxmlformats.org/officeDocument/2006/relationships/chart" Target="../charts/chart126.xml"/><Relationship Id="rId127" Type="http://schemas.openxmlformats.org/officeDocument/2006/relationships/chart" Target="../charts/chart127.xml"/><Relationship Id="rId128" Type="http://schemas.openxmlformats.org/officeDocument/2006/relationships/chart" Target="../charts/chart128.xml"/><Relationship Id="rId129" Type="http://schemas.openxmlformats.org/officeDocument/2006/relationships/chart" Target="../charts/chart129.xml"/><Relationship Id="rId130" Type="http://schemas.openxmlformats.org/officeDocument/2006/relationships/chart" Target="../charts/chart130.xml"/><Relationship Id="rId131" Type="http://schemas.openxmlformats.org/officeDocument/2006/relationships/chart" Target="../charts/chart131.xml"/><Relationship Id="rId132" Type="http://schemas.openxmlformats.org/officeDocument/2006/relationships/chart" Target="../charts/chart132.xml"/><Relationship Id="rId133" Type="http://schemas.openxmlformats.org/officeDocument/2006/relationships/chart" Target="../charts/chart133.xml"/><Relationship Id="rId134" Type="http://schemas.openxmlformats.org/officeDocument/2006/relationships/chart" Target="../charts/chart134.xml"/><Relationship Id="rId135" Type="http://schemas.openxmlformats.org/officeDocument/2006/relationships/chart" Target="../charts/chart135.xml"/><Relationship Id="rId136" Type="http://schemas.openxmlformats.org/officeDocument/2006/relationships/chart" Target="../charts/chart13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7</xdr:row>
      <xdr:rowOff>0</xdr:rowOff>
    </xdr:from>
    <xdr:to>
      <xdr:col>20</xdr:col>
      <xdr:colOff>2160</xdr:colOff>
      <xdr:row>14</xdr:row>
      <xdr:rowOff>178200</xdr:rowOff>
    </xdr:to>
    <xdr:graphicFrame>
      <xdr:nvGraphicFramePr>
        <xdr:cNvPr id="0" name="Chart 1"/>
        <xdr:cNvGraphicFramePr/>
      </xdr:nvGraphicFramePr>
      <xdr:xfrm>
        <a:off x="8776440" y="1333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20</xdr:col>
      <xdr:colOff>2160</xdr:colOff>
      <xdr:row>28</xdr:row>
      <xdr:rowOff>178200</xdr:rowOff>
    </xdr:to>
    <xdr:graphicFrame>
      <xdr:nvGraphicFramePr>
        <xdr:cNvPr id="1" name="Chart 2"/>
        <xdr:cNvGraphicFramePr/>
      </xdr:nvGraphicFramePr>
      <xdr:xfrm>
        <a:off x="8776440" y="4000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35</xdr:row>
      <xdr:rowOff>0</xdr:rowOff>
    </xdr:from>
    <xdr:to>
      <xdr:col>20</xdr:col>
      <xdr:colOff>2160</xdr:colOff>
      <xdr:row>42</xdr:row>
      <xdr:rowOff>178200</xdr:rowOff>
    </xdr:to>
    <xdr:graphicFrame>
      <xdr:nvGraphicFramePr>
        <xdr:cNvPr id="2" name="Chart 3"/>
        <xdr:cNvGraphicFramePr/>
      </xdr:nvGraphicFramePr>
      <xdr:xfrm>
        <a:off x="8776440" y="6667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49</xdr:row>
      <xdr:rowOff>0</xdr:rowOff>
    </xdr:from>
    <xdr:to>
      <xdr:col>20</xdr:col>
      <xdr:colOff>2160</xdr:colOff>
      <xdr:row>56</xdr:row>
      <xdr:rowOff>178200</xdr:rowOff>
    </xdr:to>
    <xdr:graphicFrame>
      <xdr:nvGraphicFramePr>
        <xdr:cNvPr id="3" name="Chart 4"/>
        <xdr:cNvGraphicFramePr/>
      </xdr:nvGraphicFramePr>
      <xdr:xfrm>
        <a:off x="8776440" y="9334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0</xdr:colOff>
      <xdr:row>63</xdr:row>
      <xdr:rowOff>0</xdr:rowOff>
    </xdr:from>
    <xdr:to>
      <xdr:col>20</xdr:col>
      <xdr:colOff>2160</xdr:colOff>
      <xdr:row>70</xdr:row>
      <xdr:rowOff>178200</xdr:rowOff>
    </xdr:to>
    <xdr:graphicFrame>
      <xdr:nvGraphicFramePr>
        <xdr:cNvPr id="4" name="Chart 5"/>
        <xdr:cNvGraphicFramePr/>
      </xdr:nvGraphicFramePr>
      <xdr:xfrm>
        <a:off x="8776440" y="12001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0</xdr:colOff>
      <xdr:row>77</xdr:row>
      <xdr:rowOff>0</xdr:rowOff>
    </xdr:from>
    <xdr:to>
      <xdr:col>20</xdr:col>
      <xdr:colOff>2160</xdr:colOff>
      <xdr:row>84</xdr:row>
      <xdr:rowOff>178200</xdr:rowOff>
    </xdr:to>
    <xdr:graphicFrame>
      <xdr:nvGraphicFramePr>
        <xdr:cNvPr id="5" name="Chart 6"/>
        <xdr:cNvGraphicFramePr/>
      </xdr:nvGraphicFramePr>
      <xdr:xfrm>
        <a:off x="8776440" y="14668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15</xdr:col>
      <xdr:colOff>0</xdr:colOff>
      <xdr:row>91</xdr:row>
      <xdr:rowOff>0</xdr:rowOff>
    </xdr:from>
    <xdr:to>
      <xdr:col>20</xdr:col>
      <xdr:colOff>2160</xdr:colOff>
      <xdr:row>98</xdr:row>
      <xdr:rowOff>178200</xdr:rowOff>
    </xdr:to>
    <xdr:graphicFrame>
      <xdr:nvGraphicFramePr>
        <xdr:cNvPr id="6" name="Chart 7"/>
        <xdr:cNvGraphicFramePr/>
      </xdr:nvGraphicFramePr>
      <xdr:xfrm>
        <a:off x="8776440" y="17335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15</xdr:col>
      <xdr:colOff>0</xdr:colOff>
      <xdr:row>105</xdr:row>
      <xdr:rowOff>0</xdr:rowOff>
    </xdr:from>
    <xdr:to>
      <xdr:col>20</xdr:col>
      <xdr:colOff>2160</xdr:colOff>
      <xdr:row>112</xdr:row>
      <xdr:rowOff>178200</xdr:rowOff>
    </xdr:to>
    <xdr:graphicFrame>
      <xdr:nvGraphicFramePr>
        <xdr:cNvPr id="7" name="Chart 8"/>
        <xdr:cNvGraphicFramePr/>
      </xdr:nvGraphicFramePr>
      <xdr:xfrm>
        <a:off x="8776440" y="20002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0</xdr:colOff>
      <xdr:row>119</xdr:row>
      <xdr:rowOff>0</xdr:rowOff>
    </xdr:from>
    <xdr:to>
      <xdr:col>20</xdr:col>
      <xdr:colOff>2160</xdr:colOff>
      <xdr:row>126</xdr:row>
      <xdr:rowOff>178200</xdr:rowOff>
    </xdr:to>
    <xdr:graphicFrame>
      <xdr:nvGraphicFramePr>
        <xdr:cNvPr id="8" name="Chart 9"/>
        <xdr:cNvGraphicFramePr/>
      </xdr:nvGraphicFramePr>
      <xdr:xfrm>
        <a:off x="8776440" y="22669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15</xdr:col>
      <xdr:colOff>0</xdr:colOff>
      <xdr:row>133</xdr:row>
      <xdr:rowOff>0</xdr:rowOff>
    </xdr:from>
    <xdr:to>
      <xdr:col>20</xdr:col>
      <xdr:colOff>2160</xdr:colOff>
      <xdr:row>140</xdr:row>
      <xdr:rowOff>178200</xdr:rowOff>
    </xdr:to>
    <xdr:graphicFrame>
      <xdr:nvGraphicFramePr>
        <xdr:cNvPr id="9" name="Chart 10"/>
        <xdr:cNvGraphicFramePr/>
      </xdr:nvGraphicFramePr>
      <xdr:xfrm>
        <a:off x="8776440" y="25336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15</xdr:col>
      <xdr:colOff>0</xdr:colOff>
      <xdr:row>147</xdr:row>
      <xdr:rowOff>0</xdr:rowOff>
    </xdr:from>
    <xdr:to>
      <xdr:col>20</xdr:col>
      <xdr:colOff>2160</xdr:colOff>
      <xdr:row>154</xdr:row>
      <xdr:rowOff>178200</xdr:rowOff>
    </xdr:to>
    <xdr:graphicFrame>
      <xdr:nvGraphicFramePr>
        <xdr:cNvPr id="10" name="Chart 11"/>
        <xdr:cNvGraphicFramePr/>
      </xdr:nvGraphicFramePr>
      <xdr:xfrm>
        <a:off x="8776440" y="28003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0</xdr:colOff>
      <xdr:row>161</xdr:row>
      <xdr:rowOff>0</xdr:rowOff>
    </xdr:from>
    <xdr:to>
      <xdr:col>20</xdr:col>
      <xdr:colOff>2160</xdr:colOff>
      <xdr:row>168</xdr:row>
      <xdr:rowOff>178200</xdr:rowOff>
    </xdr:to>
    <xdr:graphicFrame>
      <xdr:nvGraphicFramePr>
        <xdr:cNvPr id="11" name="Chart 12"/>
        <xdr:cNvGraphicFramePr/>
      </xdr:nvGraphicFramePr>
      <xdr:xfrm>
        <a:off x="8776440" y="30670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15</xdr:col>
      <xdr:colOff>0</xdr:colOff>
      <xdr:row>175</xdr:row>
      <xdr:rowOff>0</xdr:rowOff>
    </xdr:from>
    <xdr:to>
      <xdr:col>20</xdr:col>
      <xdr:colOff>2160</xdr:colOff>
      <xdr:row>182</xdr:row>
      <xdr:rowOff>178200</xdr:rowOff>
    </xdr:to>
    <xdr:graphicFrame>
      <xdr:nvGraphicFramePr>
        <xdr:cNvPr id="12" name="Chart 13"/>
        <xdr:cNvGraphicFramePr/>
      </xdr:nvGraphicFramePr>
      <xdr:xfrm>
        <a:off x="8776440" y="33337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15</xdr:col>
      <xdr:colOff>0</xdr:colOff>
      <xdr:row>189</xdr:row>
      <xdr:rowOff>0</xdr:rowOff>
    </xdr:from>
    <xdr:to>
      <xdr:col>20</xdr:col>
      <xdr:colOff>2160</xdr:colOff>
      <xdr:row>196</xdr:row>
      <xdr:rowOff>178200</xdr:rowOff>
    </xdr:to>
    <xdr:graphicFrame>
      <xdr:nvGraphicFramePr>
        <xdr:cNvPr id="13" name="Chart 14"/>
        <xdr:cNvGraphicFramePr/>
      </xdr:nvGraphicFramePr>
      <xdr:xfrm>
        <a:off x="8776440" y="36004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15</xdr:col>
      <xdr:colOff>0</xdr:colOff>
      <xdr:row>203</xdr:row>
      <xdr:rowOff>0</xdr:rowOff>
    </xdr:from>
    <xdr:to>
      <xdr:col>20</xdr:col>
      <xdr:colOff>2160</xdr:colOff>
      <xdr:row>210</xdr:row>
      <xdr:rowOff>178200</xdr:rowOff>
    </xdr:to>
    <xdr:graphicFrame>
      <xdr:nvGraphicFramePr>
        <xdr:cNvPr id="14" name="Chart 15"/>
        <xdr:cNvGraphicFramePr/>
      </xdr:nvGraphicFramePr>
      <xdr:xfrm>
        <a:off x="8776440" y="38671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15</xdr:col>
      <xdr:colOff>0</xdr:colOff>
      <xdr:row>222</xdr:row>
      <xdr:rowOff>0</xdr:rowOff>
    </xdr:from>
    <xdr:to>
      <xdr:col>20</xdr:col>
      <xdr:colOff>2160</xdr:colOff>
      <xdr:row>229</xdr:row>
      <xdr:rowOff>178200</xdr:rowOff>
    </xdr:to>
    <xdr:graphicFrame>
      <xdr:nvGraphicFramePr>
        <xdr:cNvPr id="15" name="Chart 16"/>
        <xdr:cNvGraphicFramePr/>
      </xdr:nvGraphicFramePr>
      <xdr:xfrm>
        <a:off x="8776440" y="4229100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15</xdr:col>
      <xdr:colOff>0</xdr:colOff>
      <xdr:row>236</xdr:row>
      <xdr:rowOff>0</xdr:rowOff>
    </xdr:from>
    <xdr:to>
      <xdr:col>20</xdr:col>
      <xdr:colOff>2160</xdr:colOff>
      <xdr:row>243</xdr:row>
      <xdr:rowOff>177840</xdr:rowOff>
    </xdr:to>
    <xdr:graphicFrame>
      <xdr:nvGraphicFramePr>
        <xdr:cNvPr id="16" name="Chart 17"/>
        <xdr:cNvGraphicFramePr/>
      </xdr:nvGraphicFramePr>
      <xdr:xfrm>
        <a:off x="8776440" y="449578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15</xdr:col>
      <xdr:colOff>0</xdr:colOff>
      <xdr:row>250</xdr:row>
      <xdr:rowOff>0</xdr:rowOff>
    </xdr:from>
    <xdr:to>
      <xdr:col>20</xdr:col>
      <xdr:colOff>2160</xdr:colOff>
      <xdr:row>257</xdr:row>
      <xdr:rowOff>178200</xdr:rowOff>
    </xdr:to>
    <xdr:graphicFrame>
      <xdr:nvGraphicFramePr>
        <xdr:cNvPr id="17" name="Chart 18"/>
        <xdr:cNvGraphicFramePr/>
      </xdr:nvGraphicFramePr>
      <xdr:xfrm>
        <a:off x="8776440" y="4762512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15</xdr:col>
      <xdr:colOff>0</xdr:colOff>
      <xdr:row>269</xdr:row>
      <xdr:rowOff>0</xdr:rowOff>
    </xdr:from>
    <xdr:to>
      <xdr:col>20</xdr:col>
      <xdr:colOff>2160</xdr:colOff>
      <xdr:row>276</xdr:row>
      <xdr:rowOff>178200</xdr:rowOff>
    </xdr:to>
    <xdr:graphicFrame>
      <xdr:nvGraphicFramePr>
        <xdr:cNvPr id="18" name="Chart 19"/>
        <xdr:cNvGraphicFramePr/>
      </xdr:nvGraphicFramePr>
      <xdr:xfrm>
        <a:off x="8776440" y="51244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15</xdr:col>
      <xdr:colOff>0</xdr:colOff>
      <xdr:row>288</xdr:row>
      <xdr:rowOff>0</xdr:rowOff>
    </xdr:from>
    <xdr:to>
      <xdr:col>20</xdr:col>
      <xdr:colOff>2160</xdr:colOff>
      <xdr:row>295</xdr:row>
      <xdr:rowOff>178200</xdr:rowOff>
    </xdr:to>
    <xdr:graphicFrame>
      <xdr:nvGraphicFramePr>
        <xdr:cNvPr id="19" name="Chart 20"/>
        <xdr:cNvGraphicFramePr/>
      </xdr:nvGraphicFramePr>
      <xdr:xfrm>
        <a:off x="8776440" y="5486400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15</xdr:col>
      <xdr:colOff>0</xdr:colOff>
      <xdr:row>307</xdr:row>
      <xdr:rowOff>0</xdr:rowOff>
    </xdr:from>
    <xdr:to>
      <xdr:col>20</xdr:col>
      <xdr:colOff>2160</xdr:colOff>
      <xdr:row>314</xdr:row>
      <xdr:rowOff>178200</xdr:rowOff>
    </xdr:to>
    <xdr:graphicFrame>
      <xdr:nvGraphicFramePr>
        <xdr:cNvPr id="20" name="Chart 21"/>
        <xdr:cNvGraphicFramePr/>
      </xdr:nvGraphicFramePr>
      <xdr:xfrm>
        <a:off x="8776440" y="58483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15</xdr:col>
      <xdr:colOff>0</xdr:colOff>
      <xdr:row>321</xdr:row>
      <xdr:rowOff>0</xdr:rowOff>
    </xdr:from>
    <xdr:to>
      <xdr:col>20</xdr:col>
      <xdr:colOff>2160</xdr:colOff>
      <xdr:row>328</xdr:row>
      <xdr:rowOff>178200</xdr:rowOff>
    </xdr:to>
    <xdr:graphicFrame>
      <xdr:nvGraphicFramePr>
        <xdr:cNvPr id="21" name="Chart 22"/>
        <xdr:cNvGraphicFramePr/>
      </xdr:nvGraphicFramePr>
      <xdr:xfrm>
        <a:off x="8776440" y="61150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15</xdr:col>
      <xdr:colOff>0</xdr:colOff>
      <xdr:row>340</xdr:row>
      <xdr:rowOff>0</xdr:rowOff>
    </xdr:from>
    <xdr:to>
      <xdr:col>20</xdr:col>
      <xdr:colOff>2160</xdr:colOff>
      <xdr:row>347</xdr:row>
      <xdr:rowOff>178200</xdr:rowOff>
    </xdr:to>
    <xdr:graphicFrame>
      <xdr:nvGraphicFramePr>
        <xdr:cNvPr id="22" name="Chart 23"/>
        <xdr:cNvGraphicFramePr/>
      </xdr:nvGraphicFramePr>
      <xdr:xfrm>
        <a:off x="8776440" y="6477012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15</xdr:col>
      <xdr:colOff>0</xdr:colOff>
      <xdr:row>359</xdr:row>
      <xdr:rowOff>0</xdr:rowOff>
    </xdr:from>
    <xdr:to>
      <xdr:col>20</xdr:col>
      <xdr:colOff>2160</xdr:colOff>
      <xdr:row>366</xdr:row>
      <xdr:rowOff>178200</xdr:rowOff>
    </xdr:to>
    <xdr:graphicFrame>
      <xdr:nvGraphicFramePr>
        <xdr:cNvPr id="23" name="Chart 24"/>
        <xdr:cNvGraphicFramePr/>
      </xdr:nvGraphicFramePr>
      <xdr:xfrm>
        <a:off x="8776440" y="68389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15</xdr:col>
      <xdr:colOff>0</xdr:colOff>
      <xdr:row>378</xdr:row>
      <xdr:rowOff>0</xdr:rowOff>
    </xdr:from>
    <xdr:to>
      <xdr:col>20</xdr:col>
      <xdr:colOff>2160</xdr:colOff>
      <xdr:row>385</xdr:row>
      <xdr:rowOff>178200</xdr:rowOff>
    </xdr:to>
    <xdr:graphicFrame>
      <xdr:nvGraphicFramePr>
        <xdr:cNvPr id="24" name="Chart 25"/>
        <xdr:cNvGraphicFramePr/>
      </xdr:nvGraphicFramePr>
      <xdr:xfrm>
        <a:off x="8776440" y="7200900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15</xdr:col>
      <xdr:colOff>0</xdr:colOff>
      <xdr:row>392</xdr:row>
      <xdr:rowOff>0</xdr:rowOff>
    </xdr:from>
    <xdr:to>
      <xdr:col>20</xdr:col>
      <xdr:colOff>2160</xdr:colOff>
      <xdr:row>399</xdr:row>
      <xdr:rowOff>177840</xdr:rowOff>
    </xdr:to>
    <xdr:graphicFrame>
      <xdr:nvGraphicFramePr>
        <xdr:cNvPr id="25" name="Chart 26"/>
        <xdr:cNvGraphicFramePr/>
      </xdr:nvGraphicFramePr>
      <xdr:xfrm>
        <a:off x="8776440" y="746758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15</xdr:col>
      <xdr:colOff>0</xdr:colOff>
      <xdr:row>411</xdr:row>
      <xdr:rowOff>0</xdr:rowOff>
    </xdr:from>
    <xdr:to>
      <xdr:col>20</xdr:col>
      <xdr:colOff>2160</xdr:colOff>
      <xdr:row>418</xdr:row>
      <xdr:rowOff>178200</xdr:rowOff>
    </xdr:to>
    <xdr:graphicFrame>
      <xdr:nvGraphicFramePr>
        <xdr:cNvPr id="26" name="Chart 27"/>
        <xdr:cNvGraphicFramePr/>
      </xdr:nvGraphicFramePr>
      <xdr:xfrm>
        <a:off x="8776440" y="78295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15</xdr:col>
      <xdr:colOff>0</xdr:colOff>
      <xdr:row>430</xdr:row>
      <xdr:rowOff>0</xdr:rowOff>
    </xdr:from>
    <xdr:to>
      <xdr:col>20</xdr:col>
      <xdr:colOff>2160</xdr:colOff>
      <xdr:row>437</xdr:row>
      <xdr:rowOff>178200</xdr:rowOff>
    </xdr:to>
    <xdr:graphicFrame>
      <xdr:nvGraphicFramePr>
        <xdr:cNvPr id="27" name="Chart 28"/>
        <xdr:cNvGraphicFramePr/>
      </xdr:nvGraphicFramePr>
      <xdr:xfrm>
        <a:off x="8776440" y="8191512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15</xdr:col>
      <xdr:colOff>0</xdr:colOff>
      <xdr:row>449</xdr:row>
      <xdr:rowOff>0</xdr:rowOff>
    </xdr:from>
    <xdr:to>
      <xdr:col>20</xdr:col>
      <xdr:colOff>2160</xdr:colOff>
      <xdr:row>456</xdr:row>
      <xdr:rowOff>178200</xdr:rowOff>
    </xdr:to>
    <xdr:graphicFrame>
      <xdr:nvGraphicFramePr>
        <xdr:cNvPr id="28" name="Chart 29"/>
        <xdr:cNvGraphicFramePr/>
      </xdr:nvGraphicFramePr>
      <xdr:xfrm>
        <a:off x="8776440" y="85534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15</xdr:col>
      <xdr:colOff>0</xdr:colOff>
      <xdr:row>468</xdr:row>
      <xdr:rowOff>0</xdr:rowOff>
    </xdr:from>
    <xdr:to>
      <xdr:col>20</xdr:col>
      <xdr:colOff>2160</xdr:colOff>
      <xdr:row>475</xdr:row>
      <xdr:rowOff>178200</xdr:rowOff>
    </xdr:to>
    <xdr:graphicFrame>
      <xdr:nvGraphicFramePr>
        <xdr:cNvPr id="29" name="Chart 30"/>
        <xdr:cNvGraphicFramePr/>
      </xdr:nvGraphicFramePr>
      <xdr:xfrm>
        <a:off x="8776440" y="8915400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15</xdr:col>
      <xdr:colOff>0</xdr:colOff>
      <xdr:row>487</xdr:row>
      <xdr:rowOff>0</xdr:rowOff>
    </xdr:from>
    <xdr:to>
      <xdr:col>20</xdr:col>
      <xdr:colOff>2160</xdr:colOff>
      <xdr:row>494</xdr:row>
      <xdr:rowOff>178200</xdr:rowOff>
    </xdr:to>
    <xdr:graphicFrame>
      <xdr:nvGraphicFramePr>
        <xdr:cNvPr id="30" name="Chart 31"/>
        <xdr:cNvGraphicFramePr/>
      </xdr:nvGraphicFramePr>
      <xdr:xfrm>
        <a:off x="8776440" y="92773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15</xdr:col>
      <xdr:colOff>0</xdr:colOff>
      <xdr:row>506</xdr:row>
      <xdr:rowOff>0</xdr:rowOff>
    </xdr:from>
    <xdr:to>
      <xdr:col>20</xdr:col>
      <xdr:colOff>2160</xdr:colOff>
      <xdr:row>513</xdr:row>
      <xdr:rowOff>177840</xdr:rowOff>
    </xdr:to>
    <xdr:graphicFrame>
      <xdr:nvGraphicFramePr>
        <xdr:cNvPr id="31" name="Chart 32"/>
        <xdr:cNvGraphicFramePr/>
      </xdr:nvGraphicFramePr>
      <xdr:xfrm>
        <a:off x="8776440" y="963928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15</xdr:col>
      <xdr:colOff>0</xdr:colOff>
      <xdr:row>525</xdr:row>
      <xdr:rowOff>0</xdr:rowOff>
    </xdr:from>
    <xdr:to>
      <xdr:col>20</xdr:col>
      <xdr:colOff>2160</xdr:colOff>
      <xdr:row>532</xdr:row>
      <xdr:rowOff>178200</xdr:rowOff>
    </xdr:to>
    <xdr:graphicFrame>
      <xdr:nvGraphicFramePr>
        <xdr:cNvPr id="32" name="Chart 33"/>
        <xdr:cNvGraphicFramePr/>
      </xdr:nvGraphicFramePr>
      <xdr:xfrm>
        <a:off x="8776440" y="100012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15</xdr:col>
      <xdr:colOff>0</xdr:colOff>
      <xdr:row>544</xdr:row>
      <xdr:rowOff>0</xdr:rowOff>
    </xdr:from>
    <xdr:to>
      <xdr:col>20</xdr:col>
      <xdr:colOff>2160</xdr:colOff>
      <xdr:row>551</xdr:row>
      <xdr:rowOff>178200</xdr:rowOff>
    </xdr:to>
    <xdr:graphicFrame>
      <xdr:nvGraphicFramePr>
        <xdr:cNvPr id="33" name="Chart 34"/>
        <xdr:cNvGraphicFramePr/>
      </xdr:nvGraphicFramePr>
      <xdr:xfrm>
        <a:off x="8776440" y="10363212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15</xdr:col>
      <xdr:colOff>0</xdr:colOff>
      <xdr:row>563</xdr:row>
      <xdr:rowOff>0</xdr:rowOff>
    </xdr:from>
    <xdr:to>
      <xdr:col>20</xdr:col>
      <xdr:colOff>2160</xdr:colOff>
      <xdr:row>570</xdr:row>
      <xdr:rowOff>178200</xdr:rowOff>
    </xdr:to>
    <xdr:graphicFrame>
      <xdr:nvGraphicFramePr>
        <xdr:cNvPr id="34" name="Chart 35"/>
        <xdr:cNvGraphicFramePr/>
      </xdr:nvGraphicFramePr>
      <xdr:xfrm>
        <a:off x="8776440" y="107251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15</xdr:col>
      <xdr:colOff>0</xdr:colOff>
      <xdr:row>582</xdr:row>
      <xdr:rowOff>0</xdr:rowOff>
    </xdr:from>
    <xdr:to>
      <xdr:col>20</xdr:col>
      <xdr:colOff>2160</xdr:colOff>
      <xdr:row>589</xdr:row>
      <xdr:rowOff>178200</xdr:rowOff>
    </xdr:to>
    <xdr:graphicFrame>
      <xdr:nvGraphicFramePr>
        <xdr:cNvPr id="35" name="Chart 36"/>
        <xdr:cNvGraphicFramePr/>
      </xdr:nvGraphicFramePr>
      <xdr:xfrm>
        <a:off x="8776440" y="11087100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15</xdr:col>
      <xdr:colOff>0</xdr:colOff>
      <xdr:row>596</xdr:row>
      <xdr:rowOff>0</xdr:rowOff>
    </xdr:from>
    <xdr:to>
      <xdr:col>20</xdr:col>
      <xdr:colOff>2160</xdr:colOff>
      <xdr:row>603</xdr:row>
      <xdr:rowOff>177840</xdr:rowOff>
    </xdr:to>
    <xdr:graphicFrame>
      <xdr:nvGraphicFramePr>
        <xdr:cNvPr id="36" name="Chart 37"/>
        <xdr:cNvGraphicFramePr/>
      </xdr:nvGraphicFramePr>
      <xdr:xfrm>
        <a:off x="8776440" y="1135378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15</xdr:col>
      <xdr:colOff>0</xdr:colOff>
      <xdr:row>615</xdr:row>
      <xdr:rowOff>0</xdr:rowOff>
    </xdr:from>
    <xdr:to>
      <xdr:col>20</xdr:col>
      <xdr:colOff>2160</xdr:colOff>
      <xdr:row>622</xdr:row>
      <xdr:rowOff>178200</xdr:rowOff>
    </xdr:to>
    <xdr:graphicFrame>
      <xdr:nvGraphicFramePr>
        <xdr:cNvPr id="37" name="Chart 38"/>
        <xdr:cNvGraphicFramePr/>
      </xdr:nvGraphicFramePr>
      <xdr:xfrm>
        <a:off x="8776440" y="117157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15</xdr:col>
      <xdr:colOff>0</xdr:colOff>
      <xdr:row>634</xdr:row>
      <xdr:rowOff>0</xdr:rowOff>
    </xdr:from>
    <xdr:to>
      <xdr:col>20</xdr:col>
      <xdr:colOff>2160</xdr:colOff>
      <xdr:row>641</xdr:row>
      <xdr:rowOff>178200</xdr:rowOff>
    </xdr:to>
    <xdr:graphicFrame>
      <xdr:nvGraphicFramePr>
        <xdr:cNvPr id="38" name="Chart 39"/>
        <xdr:cNvGraphicFramePr/>
      </xdr:nvGraphicFramePr>
      <xdr:xfrm>
        <a:off x="8776440" y="12077712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15</xdr:col>
      <xdr:colOff>0</xdr:colOff>
      <xdr:row>653</xdr:row>
      <xdr:rowOff>0</xdr:rowOff>
    </xdr:from>
    <xdr:to>
      <xdr:col>20</xdr:col>
      <xdr:colOff>2160</xdr:colOff>
      <xdr:row>660</xdr:row>
      <xdr:rowOff>178200</xdr:rowOff>
    </xdr:to>
    <xdr:graphicFrame>
      <xdr:nvGraphicFramePr>
        <xdr:cNvPr id="39" name="Chart 40"/>
        <xdr:cNvGraphicFramePr/>
      </xdr:nvGraphicFramePr>
      <xdr:xfrm>
        <a:off x="8776440" y="124396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15</xdr:col>
      <xdr:colOff>0</xdr:colOff>
      <xdr:row>672</xdr:row>
      <xdr:rowOff>0</xdr:rowOff>
    </xdr:from>
    <xdr:to>
      <xdr:col>20</xdr:col>
      <xdr:colOff>2160</xdr:colOff>
      <xdr:row>679</xdr:row>
      <xdr:rowOff>178200</xdr:rowOff>
    </xdr:to>
    <xdr:graphicFrame>
      <xdr:nvGraphicFramePr>
        <xdr:cNvPr id="40" name="Chart 41"/>
        <xdr:cNvGraphicFramePr/>
      </xdr:nvGraphicFramePr>
      <xdr:xfrm>
        <a:off x="8776440" y="12801600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15</xdr:col>
      <xdr:colOff>0</xdr:colOff>
      <xdr:row>691</xdr:row>
      <xdr:rowOff>0</xdr:rowOff>
    </xdr:from>
    <xdr:to>
      <xdr:col>20</xdr:col>
      <xdr:colOff>2160</xdr:colOff>
      <xdr:row>698</xdr:row>
      <xdr:rowOff>178200</xdr:rowOff>
    </xdr:to>
    <xdr:graphicFrame>
      <xdr:nvGraphicFramePr>
        <xdr:cNvPr id="41" name="Chart 42"/>
        <xdr:cNvGraphicFramePr/>
      </xdr:nvGraphicFramePr>
      <xdr:xfrm>
        <a:off x="8776440" y="131635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15</xdr:col>
      <xdr:colOff>0</xdr:colOff>
      <xdr:row>710</xdr:row>
      <xdr:rowOff>0</xdr:rowOff>
    </xdr:from>
    <xdr:to>
      <xdr:col>20</xdr:col>
      <xdr:colOff>2160</xdr:colOff>
      <xdr:row>717</xdr:row>
      <xdr:rowOff>177840</xdr:rowOff>
    </xdr:to>
    <xdr:graphicFrame>
      <xdr:nvGraphicFramePr>
        <xdr:cNvPr id="42" name="Chart 43"/>
        <xdr:cNvGraphicFramePr/>
      </xdr:nvGraphicFramePr>
      <xdr:xfrm>
        <a:off x="8776440" y="1352548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15</xdr:col>
      <xdr:colOff>0</xdr:colOff>
      <xdr:row>729</xdr:row>
      <xdr:rowOff>0</xdr:rowOff>
    </xdr:from>
    <xdr:to>
      <xdr:col>20</xdr:col>
      <xdr:colOff>2160</xdr:colOff>
      <xdr:row>736</xdr:row>
      <xdr:rowOff>178200</xdr:rowOff>
    </xdr:to>
    <xdr:graphicFrame>
      <xdr:nvGraphicFramePr>
        <xdr:cNvPr id="43" name="Chart 44"/>
        <xdr:cNvGraphicFramePr/>
      </xdr:nvGraphicFramePr>
      <xdr:xfrm>
        <a:off x="8776440" y="138874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15</xdr:col>
      <xdr:colOff>0</xdr:colOff>
      <xdr:row>748</xdr:row>
      <xdr:rowOff>0</xdr:rowOff>
    </xdr:from>
    <xdr:to>
      <xdr:col>20</xdr:col>
      <xdr:colOff>2160</xdr:colOff>
      <xdr:row>755</xdr:row>
      <xdr:rowOff>178200</xdr:rowOff>
    </xdr:to>
    <xdr:graphicFrame>
      <xdr:nvGraphicFramePr>
        <xdr:cNvPr id="44" name="Chart 45"/>
        <xdr:cNvGraphicFramePr/>
      </xdr:nvGraphicFramePr>
      <xdr:xfrm>
        <a:off x="8776440" y="14249412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15</xdr:col>
      <xdr:colOff>0</xdr:colOff>
      <xdr:row>767</xdr:row>
      <xdr:rowOff>0</xdr:rowOff>
    </xdr:from>
    <xdr:to>
      <xdr:col>20</xdr:col>
      <xdr:colOff>2160</xdr:colOff>
      <xdr:row>774</xdr:row>
      <xdr:rowOff>178200</xdr:rowOff>
    </xdr:to>
    <xdr:graphicFrame>
      <xdr:nvGraphicFramePr>
        <xdr:cNvPr id="45" name="Chart 46"/>
        <xdr:cNvGraphicFramePr/>
      </xdr:nvGraphicFramePr>
      <xdr:xfrm>
        <a:off x="8776440" y="146113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15</xdr:col>
      <xdr:colOff>0</xdr:colOff>
      <xdr:row>786</xdr:row>
      <xdr:rowOff>0</xdr:rowOff>
    </xdr:from>
    <xdr:to>
      <xdr:col>20</xdr:col>
      <xdr:colOff>2160</xdr:colOff>
      <xdr:row>793</xdr:row>
      <xdr:rowOff>178200</xdr:rowOff>
    </xdr:to>
    <xdr:graphicFrame>
      <xdr:nvGraphicFramePr>
        <xdr:cNvPr id="46" name="Chart 47"/>
        <xdr:cNvGraphicFramePr/>
      </xdr:nvGraphicFramePr>
      <xdr:xfrm>
        <a:off x="8776440" y="14973300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15</xdr:col>
      <xdr:colOff>0</xdr:colOff>
      <xdr:row>805</xdr:row>
      <xdr:rowOff>0</xdr:rowOff>
    </xdr:from>
    <xdr:to>
      <xdr:col>20</xdr:col>
      <xdr:colOff>2160</xdr:colOff>
      <xdr:row>812</xdr:row>
      <xdr:rowOff>178200</xdr:rowOff>
    </xdr:to>
    <xdr:graphicFrame>
      <xdr:nvGraphicFramePr>
        <xdr:cNvPr id="47" name="Chart 48"/>
        <xdr:cNvGraphicFramePr/>
      </xdr:nvGraphicFramePr>
      <xdr:xfrm>
        <a:off x="8776440" y="153352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15</xdr:col>
      <xdr:colOff>0</xdr:colOff>
      <xdr:row>824</xdr:row>
      <xdr:rowOff>0</xdr:rowOff>
    </xdr:from>
    <xdr:to>
      <xdr:col>20</xdr:col>
      <xdr:colOff>2160</xdr:colOff>
      <xdr:row>831</xdr:row>
      <xdr:rowOff>177840</xdr:rowOff>
    </xdr:to>
    <xdr:graphicFrame>
      <xdr:nvGraphicFramePr>
        <xdr:cNvPr id="48" name="Chart 49"/>
        <xdr:cNvGraphicFramePr/>
      </xdr:nvGraphicFramePr>
      <xdr:xfrm>
        <a:off x="8776440" y="1569718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15</xdr:col>
      <xdr:colOff>0</xdr:colOff>
      <xdr:row>843</xdr:row>
      <xdr:rowOff>0</xdr:rowOff>
    </xdr:from>
    <xdr:to>
      <xdr:col>20</xdr:col>
      <xdr:colOff>2160</xdr:colOff>
      <xdr:row>850</xdr:row>
      <xdr:rowOff>178200</xdr:rowOff>
    </xdr:to>
    <xdr:graphicFrame>
      <xdr:nvGraphicFramePr>
        <xdr:cNvPr id="49" name="Chart 50"/>
        <xdr:cNvGraphicFramePr/>
      </xdr:nvGraphicFramePr>
      <xdr:xfrm>
        <a:off x="8776440" y="160591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15</xdr:col>
      <xdr:colOff>0</xdr:colOff>
      <xdr:row>862</xdr:row>
      <xdr:rowOff>0</xdr:rowOff>
    </xdr:from>
    <xdr:to>
      <xdr:col>20</xdr:col>
      <xdr:colOff>2160</xdr:colOff>
      <xdr:row>869</xdr:row>
      <xdr:rowOff>178200</xdr:rowOff>
    </xdr:to>
    <xdr:graphicFrame>
      <xdr:nvGraphicFramePr>
        <xdr:cNvPr id="50" name="Chart 51"/>
        <xdr:cNvGraphicFramePr/>
      </xdr:nvGraphicFramePr>
      <xdr:xfrm>
        <a:off x="8776440" y="16421112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15</xdr:col>
      <xdr:colOff>0</xdr:colOff>
      <xdr:row>881</xdr:row>
      <xdr:rowOff>0</xdr:rowOff>
    </xdr:from>
    <xdr:to>
      <xdr:col>20</xdr:col>
      <xdr:colOff>2160</xdr:colOff>
      <xdr:row>888</xdr:row>
      <xdr:rowOff>178200</xdr:rowOff>
    </xdr:to>
    <xdr:graphicFrame>
      <xdr:nvGraphicFramePr>
        <xdr:cNvPr id="51" name="Chart 52"/>
        <xdr:cNvGraphicFramePr/>
      </xdr:nvGraphicFramePr>
      <xdr:xfrm>
        <a:off x="8776440" y="167830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15</xdr:col>
      <xdr:colOff>0</xdr:colOff>
      <xdr:row>895</xdr:row>
      <xdr:rowOff>0</xdr:rowOff>
    </xdr:from>
    <xdr:to>
      <xdr:col>20</xdr:col>
      <xdr:colOff>2160</xdr:colOff>
      <xdr:row>902</xdr:row>
      <xdr:rowOff>178200</xdr:rowOff>
    </xdr:to>
    <xdr:graphicFrame>
      <xdr:nvGraphicFramePr>
        <xdr:cNvPr id="52" name="Chart 53"/>
        <xdr:cNvGraphicFramePr/>
      </xdr:nvGraphicFramePr>
      <xdr:xfrm>
        <a:off x="8776440" y="170497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15</xdr:col>
      <xdr:colOff>0</xdr:colOff>
      <xdr:row>909</xdr:row>
      <xdr:rowOff>0</xdr:rowOff>
    </xdr:from>
    <xdr:to>
      <xdr:col>20</xdr:col>
      <xdr:colOff>2160</xdr:colOff>
      <xdr:row>916</xdr:row>
      <xdr:rowOff>178200</xdr:rowOff>
    </xdr:to>
    <xdr:graphicFrame>
      <xdr:nvGraphicFramePr>
        <xdr:cNvPr id="53" name="Chart 54"/>
        <xdr:cNvGraphicFramePr/>
      </xdr:nvGraphicFramePr>
      <xdr:xfrm>
        <a:off x="8776440" y="173164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15</xdr:col>
      <xdr:colOff>0</xdr:colOff>
      <xdr:row>928</xdr:row>
      <xdr:rowOff>0</xdr:rowOff>
    </xdr:from>
    <xdr:to>
      <xdr:col>20</xdr:col>
      <xdr:colOff>2160</xdr:colOff>
      <xdr:row>935</xdr:row>
      <xdr:rowOff>178200</xdr:rowOff>
    </xdr:to>
    <xdr:graphicFrame>
      <xdr:nvGraphicFramePr>
        <xdr:cNvPr id="54" name="Chart 55"/>
        <xdr:cNvGraphicFramePr/>
      </xdr:nvGraphicFramePr>
      <xdr:xfrm>
        <a:off x="8776440" y="17678412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15</xdr:col>
      <xdr:colOff>0</xdr:colOff>
      <xdr:row>947</xdr:row>
      <xdr:rowOff>0</xdr:rowOff>
    </xdr:from>
    <xdr:to>
      <xdr:col>20</xdr:col>
      <xdr:colOff>2160</xdr:colOff>
      <xdr:row>954</xdr:row>
      <xdr:rowOff>178200</xdr:rowOff>
    </xdr:to>
    <xdr:graphicFrame>
      <xdr:nvGraphicFramePr>
        <xdr:cNvPr id="55" name="Chart 56"/>
        <xdr:cNvGraphicFramePr/>
      </xdr:nvGraphicFramePr>
      <xdr:xfrm>
        <a:off x="8776440" y="180403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15</xdr:col>
      <xdr:colOff>0</xdr:colOff>
      <xdr:row>961</xdr:row>
      <xdr:rowOff>0</xdr:rowOff>
    </xdr:from>
    <xdr:to>
      <xdr:col>20</xdr:col>
      <xdr:colOff>2160</xdr:colOff>
      <xdr:row>968</xdr:row>
      <xdr:rowOff>178200</xdr:rowOff>
    </xdr:to>
    <xdr:graphicFrame>
      <xdr:nvGraphicFramePr>
        <xdr:cNvPr id="56" name="Chart 57"/>
        <xdr:cNvGraphicFramePr/>
      </xdr:nvGraphicFramePr>
      <xdr:xfrm>
        <a:off x="8776440" y="183070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15</xdr:col>
      <xdr:colOff>0</xdr:colOff>
      <xdr:row>980</xdr:row>
      <xdr:rowOff>0</xdr:rowOff>
    </xdr:from>
    <xdr:to>
      <xdr:col>20</xdr:col>
      <xdr:colOff>2160</xdr:colOff>
      <xdr:row>987</xdr:row>
      <xdr:rowOff>177840</xdr:rowOff>
    </xdr:to>
    <xdr:graphicFrame>
      <xdr:nvGraphicFramePr>
        <xdr:cNvPr id="57" name="Chart 58"/>
        <xdr:cNvGraphicFramePr/>
      </xdr:nvGraphicFramePr>
      <xdr:xfrm>
        <a:off x="8776440" y="1866898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15</xdr:col>
      <xdr:colOff>0</xdr:colOff>
      <xdr:row>994</xdr:row>
      <xdr:rowOff>0</xdr:rowOff>
    </xdr:from>
    <xdr:to>
      <xdr:col>20</xdr:col>
      <xdr:colOff>2160</xdr:colOff>
      <xdr:row>1001</xdr:row>
      <xdr:rowOff>178200</xdr:rowOff>
    </xdr:to>
    <xdr:graphicFrame>
      <xdr:nvGraphicFramePr>
        <xdr:cNvPr id="58" name="Chart 59"/>
        <xdr:cNvGraphicFramePr/>
      </xdr:nvGraphicFramePr>
      <xdr:xfrm>
        <a:off x="8776440" y="18935712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15</xdr:col>
      <xdr:colOff>0</xdr:colOff>
      <xdr:row>1008</xdr:row>
      <xdr:rowOff>0</xdr:rowOff>
    </xdr:from>
    <xdr:to>
      <xdr:col>20</xdr:col>
      <xdr:colOff>2160</xdr:colOff>
      <xdr:row>1015</xdr:row>
      <xdr:rowOff>178200</xdr:rowOff>
    </xdr:to>
    <xdr:graphicFrame>
      <xdr:nvGraphicFramePr>
        <xdr:cNvPr id="59" name="Chart 60"/>
        <xdr:cNvGraphicFramePr/>
      </xdr:nvGraphicFramePr>
      <xdr:xfrm>
        <a:off x="8776440" y="19202400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15</xdr:col>
      <xdr:colOff>0</xdr:colOff>
      <xdr:row>1027</xdr:row>
      <xdr:rowOff>0</xdr:rowOff>
    </xdr:from>
    <xdr:to>
      <xdr:col>20</xdr:col>
      <xdr:colOff>2160</xdr:colOff>
      <xdr:row>1034</xdr:row>
      <xdr:rowOff>178200</xdr:rowOff>
    </xdr:to>
    <xdr:graphicFrame>
      <xdr:nvGraphicFramePr>
        <xdr:cNvPr id="60" name="Chart 61"/>
        <xdr:cNvGraphicFramePr/>
      </xdr:nvGraphicFramePr>
      <xdr:xfrm>
        <a:off x="8776440" y="195643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15</xdr:col>
      <xdr:colOff>0</xdr:colOff>
      <xdr:row>1046</xdr:row>
      <xdr:rowOff>0</xdr:rowOff>
    </xdr:from>
    <xdr:to>
      <xdr:col>20</xdr:col>
      <xdr:colOff>2160</xdr:colOff>
      <xdr:row>1053</xdr:row>
      <xdr:rowOff>177840</xdr:rowOff>
    </xdr:to>
    <xdr:graphicFrame>
      <xdr:nvGraphicFramePr>
        <xdr:cNvPr id="61" name="Chart 62"/>
        <xdr:cNvGraphicFramePr/>
      </xdr:nvGraphicFramePr>
      <xdr:xfrm>
        <a:off x="8776440" y="1992628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15</xdr:col>
      <xdr:colOff>0</xdr:colOff>
      <xdr:row>1065</xdr:row>
      <xdr:rowOff>0</xdr:rowOff>
    </xdr:from>
    <xdr:to>
      <xdr:col>20</xdr:col>
      <xdr:colOff>2160</xdr:colOff>
      <xdr:row>1072</xdr:row>
      <xdr:rowOff>178200</xdr:rowOff>
    </xdr:to>
    <xdr:graphicFrame>
      <xdr:nvGraphicFramePr>
        <xdr:cNvPr id="62" name="Chart 63"/>
        <xdr:cNvGraphicFramePr/>
      </xdr:nvGraphicFramePr>
      <xdr:xfrm>
        <a:off x="8776440" y="202882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15</xdr:col>
      <xdr:colOff>0</xdr:colOff>
      <xdr:row>1079</xdr:row>
      <xdr:rowOff>0</xdr:rowOff>
    </xdr:from>
    <xdr:to>
      <xdr:col>20</xdr:col>
      <xdr:colOff>2160</xdr:colOff>
      <xdr:row>1086</xdr:row>
      <xdr:rowOff>178200</xdr:rowOff>
    </xdr:to>
    <xdr:graphicFrame>
      <xdr:nvGraphicFramePr>
        <xdr:cNvPr id="63" name="Chart 64"/>
        <xdr:cNvGraphicFramePr/>
      </xdr:nvGraphicFramePr>
      <xdr:xfrm>
        <a:off x="8776440" y="205549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15</xdr:col>
      <xdr:colOff>0</xdr:colOff>
      <xdr:row>1093</xdr:row>
      <xdr:rowOff>0</xdr:rowOff>
    </xdr:from>
    <xdr:to>
      <xdr:col>20</xdr:col>
      <xdr:colOff>2160</xdr:colOff>
      <xdr:row>1100</xdr:row>
      <xdr:rowOff>178200</xdr:rowOff>
    </xdr:to>
    <xdr:graphicFrame>
      <xdr:nvGraphicFramePr>
        <xdr:cNvPr id="64" name="Chart 65"/>
        <xdr:cNvGraphicFramePr/>
      </xdr:nvGraphicFramePr>
      <xdr:xfrm>
        <a:off x="8776440" y="208216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15</xdr:col>
      <xdr:colOff>0</xdr:colOff>
      <xdr:row>1107</xdr:row>
      <xdr:rowOff>0</xdr:rowOff>
    </xdr:from>
    <xdr:to>
      <xdr:col>20</xdr:col>
      <xdr:colOff>2160</xdr:colOff>
      <xdr:row>1114</xdr:row>
      <xdr:rowOff>178200</xdr:rowOff>
    </xdr:to>
    <xdr:graphicFrame>
      <xdr:nvGraphicFramePr>
        <xdr:cNvPr id="65" name="Chart 66"/>
        <xdr:cNvGraphicFramePr/>
      </xdr:nvGraphicFramePr>
      <xdr:xfrm>
        <a:off x="8776440" y="210883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15</xdr:col>
      <xdr:colOff>0</xdr:colOff>
      <xdr:row>1126</xdr:row>
      <xdr:rowOff>0</xdr:rowOff>
    </xdr:from>
    <xdr:to>
      <xdr:col>20</xdr:col>
      <xdr:colOff>2160</xdr:colOff>
      <xdr:row>1133</xdr:row>
      <xdr:rowOff>178200</xdr:rowOff>
    </xdr:to>
    <xdr:graphicFrame>
      <xdr:nvGraphicFramePr>
        <xdr:cNvPr id="66" name="Chart 67"/>
        <xdr:cNvGraphicFramePr/>
      </xdr:nvGraphicFramePr>
      <xdr:xfrm>
        <a:off x="8776440" y="21450312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15</xdr:col>
      <xdr:colOff>0</xdr:colOff>
      <xdr:row>1140</xdr:row>
      <xdr:rowOff>0</xdr:rowOff>
    </xdr:from>
    <xdr:to>
      <xdr:col>20</xdr:col>
      <xdr:colOff>2160</xdr:colOff>
      <xdr:row>1147</xdr:row>
      <xdr:rowOff>178200</xdr:rowOff>
    </xdr:to>
    <xdr:graphicFrame>
      <xdr:nvGraphicFramePr>
        <xdr:cNvPr id="67" name="Chart 68"/>
        <xdr:cNvGraphicFramePr/>
      </xdr:nvGraphicFramePr>
      <xdr:xfrm>
        <a:off x="8776440" y="21717000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15</xdr:col>
      <xdr:colOff>0</xdr:colOff>
      <xdr:row>1154</xdr:row>
      <xdr:rowOff>0</xdr:rowOff>
    </xdr:from>
    <xdr:to>
      <xdr:col>20</xdr:col>
      <xdr:colOff>2160</xdr:colOff>
      <xdr:row>1161</xdr:row>
      <xdr:rowOff>177840</xdr:rowOff>
    </xdr:to>
    <xdr:graphicFrame>
      <xdr:nvGraphicFramePr>
        <xdr:cNvPr id="68" name="Chart 69"/>
        <xdr:cNvGraphicFramePr/>
      </xdr:nvGraphicFramePr>
      <xdr:xfrm>
        <a:off x="8776440" y="2198368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15</xdr:col>
      <xdr:colOff>0</xdr:colOff>
      <xdr:row>1168</xdr:row>
      <xdr:rowOff>0</xdr:rowOff>
    </xdr:from>
    <xdr:to>
      <xdr:col>20</xdr:col>
      <xdr:colOff>2160</xdr:colOff>
      <xdr:row>1175</xdr:row>
      <xdr:rowOff>178200</xdr:rowOff>
    </xdr:to>
    <xdr:graphicFrame>
      <xdr:nvGraphicFramePr>
        <xdr:cNvPr id="69" name="Chart 70"/>
        <xdr:cNvGraphicFramePr/>
      </xdr:nvGraphicFramePr>
      <xdr:xfrm>
        <a:off x="8776440" y="22250412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15</xdr:col>
      <xdr:colOff>0</xdr:colOff>
      <xdr:row>1182</xdr:row>
      <xdr:rowOff>0</xdr:rowOff>
    </xdr:from>
    <xdr:to>
      <xdr:col>20</xdr:col>
      <xdr:colOff>2160</xdr:colOff>
      <xdr:row>1189</xdr:row>
      <xdr:rowOff>178200</xdr:rowOff>
    </xdr:to>
    <xdr:graphicFrame>
      <xdr:nvGraphicFramePr>
        <xdr:cNvPr id="70" name="Chart 71"/>
        <xdr:cNvGraphicFramePr/>
      </xdr:nvGraphicFramePr>
      <xdr:xfrm>
        <a:off x="8776440" y="22517100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15</xdr:col>
      <xdr:colOff>0</xdr:colOff>
      <xdr:row>1201</xdr:row>
      <xdr:rowOff>0</xdr:rowOff>
    </xdr:from>
    <xdr:to>
      <xdr:col>20</xdr:col>
      <xdr:colOff>2160</xdr:colOff>
      <xdr:row>1208</xdr:row>
      <xdr:rowOff>178200</xdr:rowOff>
    </xdr:to>
    <xdr:graphicFrame>
      <xdr:nvGraphicFramePr>
        <xdr:cNvPr id="71" name="Chart 72"/>
        <xdr:cNvGraphicFramePr/>
      </xdr:nvGraphicFramePr>
      <xdr:xfrm>
        <a:off x="8776440" y="228790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15</xdr:col>
      <xdr:colOff>0</xdr:colOff>
      <xdr:row>1215</xdr:row>
      <xdr:rowOff>0</xdr:rowOff>
    </xdr:from>
    <xdr:to>
      <xdr:col>20</xdr:col>
      <xdr:colOff>2160</xdr:colOff>
      <xdr:row>1222</xdr:row>
      <xdr:rowOff>178200</xdr:rowOff>
    </xdr:to>
    <xdr:graphicFrame>
      <xdr:nvGraphicFramePr>
        <xdr:cNvPr id="72" name="Chart 73"/>
        <xdr:cNvGraphicFramePr/>
      </xdr:nvGraphicFramePr>
      <xdr:xfrm>
        <a:off x="8776440" y="231457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15</xdr:col>
      <xdr:colOff>0</xdr:colOff>
      <xdr:row>1229</xdr:row>
      <xdr:rowOff>0</xdr:rowOff>
    </xdr:from>
    <xdr:to>
      <xdr:col>20</xdr:col>
      <xdr:colOff>2160</xdr:colOff>
      <xdr:row>1236</xdr:row>
      <xdr:rowOff>178200</xdr:rowOff>
    </xdr:to>
    <xdr:graphicFrame>
      <xdr:nvGraphicFramePr>
        <xdr:cNvPr id="73" name="Chart 74"/>
        <xdr:cNvGraphicFramePr/>
      </xdr:nvGraphicFramePr>
      <xdr:xfrm>
        <a:off x="8776440" y="234124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15</xdr:col>
      <xdr:colOff>0</xdr:colOff>
      <xdr:row>1243</xdr:row>
      <xdr:rowOff>0</xdr:rowOff>
    </xdr:from>
    <xdr:to>
      <xdr:col>20</xdr:col>
      <xdr:colOff>2160</xdr:colOff>
      <xdr:row>1250</xdr:row>
      <xdr:rowOff>178200</xdr:rowOff>
    </xdr:to>
    <xdr:graphicFrame>
      <xdr:nvGraphicFramePr>
        <xdr:cNvPr id="74" name="Chart 75"/>
        <xdr:cNvGraphicFramePr/>
      </xdr:nvGraphicFramePr>
      <xdr:xfrm>
        <a:off x="8776440" y="236791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15</xdr:col>
      <xdr:colOff>0</xdr:colOff>
      <xdr:row>1257</xdr:row>
      <xdr:rowOff>0</xdr:rowOff>
    </xdr:from>
    <xdr:to>
      <xdr:col>20</xdr:col>
      <xdr:colOff>2160</xdr:colOff>
      <xdr:row>1264</xdr:row>
      <xdr:rowOff>178200</xdr:rowOff>
    </xdr:to>
    <xdr:graphicFrame>
      <xdr:nvGraphicFramePr>
        <xdr:cNvPr id="75" name="Chart 76"/>
        <xdr:cNvGraphicFramePr/>
      </xdr:nvGraphicFramePr>
      <xdr:xfrm>
        <a:off x="8776440" y="239458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15</xdr:col>
      <xdr:colOff>0</xdr:colOff>
      <xdr:row>1271</xdr:row>
      <xdr:rowOff>0</xdr:rowOff>
    </xdr:from>
    <xdr:to>
      <xdr:col>20</xdr:col>
      <xdr:colOff>2160</xdr:colOff>
      <xdr:row>1278</xdr:row>
      <xdr:rowOff>178200</xdr:rowOff>
    </xdr:to>
    <xdr:graphicFrame>
      <xdr:nvGraphicFramePr>
        <xdr:cNvPr id="76" name="Chart 77"/>
        <xdr:cNvGraphicFramePr/>
      </xdr:nvGraphicFramePr>
      <xdr:xfrm>
        <a:off x="8776440" y="242125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15</xdr:col>
      <xdr:colOff>0</xdr:colOff>
      <xdr:row>1285</xdr:row>
      <xdr:rowOff>0</xdr:rowOff>
    </xdr:from>
    <xdr:to>
      <xdr:col>20</xdr:col>
      <xdr:colOff>2160</xdr:colOff>
      <xdr:row>1292</xdr:row>
      <xdr:rowOff>178200</xdr:rowOff>
    </xdr:to>
    <xdr:graphicFrame>
      <xdr:nvGraphicFramePr>
        <xdr:cNvPr id="77" name="Chart 78"/>
        <xdr:cNvGraphicFramePr/>
      </xdr:nvGraphicFramePr>
      <xdr:xfrm>
        <a:off x="8776440" y="244792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 editAs="oneCell">
    <xdr:from>
      <xdr:col>15</xdr:col>
      <xdr:colOff>0</xdr:colOff>
      <xdr:row>1299</xdr:row>
      <xdr:rowOff>0</xdr:rowOff>
    </xdr:from>
    <xdr:to>
      <xdr:col>20</xdr:col>
      <xdr:colOff>2160</xdr:colOff>
      <xdr:row>1306</xdr:row>
      <xdr:rowOff>178200</xdr:rowOff>
    </xdr:to>
    <xdr:graphicFrame>
      <xdr:nvGraphicFramePr>
        <xdr:cNvPr id="78" name="Chart 79"/>
        <xdr:cNvGraphicFramePr/>
      </xdr:nvGraphicFramePr>
      <xdr:xfrm>
        <a:off x="8776440" y="247459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 editAs="oneCell">
    <xdr:from>
      <xdr:col>15</xdr:col>
      <xdr:colOff>0</xdr:colOff>
      <xdr:row>1313</xdr:row>
      <xdr:rowOff>0</xdr:rowOff>
    </xdr:from>
    <xdr:to>
      <xdr:col>20</xdr:col>
      <xdr:colOff>2160</xdr:colOff>
      <xdr:row>1320</xdr:row>
      <xdr:rowOff>178200</xdr:rowOff>
    </xdr:to>
    <xdr:graphicFrame>
      <xdr:nvGraphicFramePr>
        <xdr:cNvPr id="79" name="Chart 80"/>
        <xdr:cNvGraphicFramePr/>
      </xdr:nvGraphicFramePr>
      <xdr:xfrm>
        <a:off x="8776440" y="250126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 editAs="oneCell">
    <xdr:from>
      <xdr:col>15</xdr:col>
      <xdr:colOff>0</xdr:colOff>
      <xdr:row>1327</xdr:row>
      <xdr:rowOff>0</xdr:rowOff>
    </xdr:from>
    <xdr:to>
      <xdr:col>20</xdr:col>
      <xdr:colOff>2160</xdr:colOff>
      <xdr:row>1334</xdr:row>
      <xdr:rowOff>178200</xdr:rowOff>
    </xdr:to>
    <xdr:graphicFrame>
      <xdr:nvGraphicFramePr>
        <xdr:cNvPr id="80" name="Chart 81"/>
        <xdr:cNvGraphicFramePr/>
      </xdr:nvGraphicFramePr>
      <xdr:xfrm>
        <a:off x="8776440" y="252793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 editAs="oneCell">
    <xdr:from>
      <xdr:col>15</xdr:col>
      <xdr:colOff>0</xdr:colOff>
      <xdr:row>1341</xdr:row>
      <xdr:rowOff>0</xdr:rowOff>
    </xdr:from>
    <xdr:to>
      <xdr:col>20</xdr:col>
      <xdr:colOff>2160</xdr:colOff>
      <xdr:row>1348</xdr:row>
      <xdr:rowOff>178200</xdr:rowOff>
    </xdr:to>
    <xdr:graphicFrame>
      <xdr:nvGraphicFramePr>
        <xdr:cNvPr id="81" name="Chart 82"/>
        <xdr:cNvGraphicFramePr/>
      </xdr:nvGraphicFramePr>
      <xdr:xfrm>
        <a:off x="8776440" y="255460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 editAs="oneCell">
    <xdr:from>
      <xdr:col>15</xdr:col>
      <xdr:colOff>0</xdr:colOff>
      <xdr:row>1355</xdr:row>
      <xdr:rowOff>0</xdr:rowOff>
    </xdr:from>
    <xdr:to>
      <xdr:col>20</xdr:col>
      <xdr:colOff>2160</xdr:colOff>
      <xdr:row>1362</xdr:row>
      <xdr:rowOff>178200</xdr:rowOff>
    </xdr:to>
    <xdr:graphicFrame>
      <xdr:nvGraphicFramePr>
        <xdr:cNvPr id="82" name="Chart 83"/>
        <xdr:cNvGraphicFramePr/>
      </xdr:nvGraphicFramePr>
      <xdr:xfrm>
        <a:off x="8776440" y="258127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 editAs="oneCell">
    <xdr:from>
      <xdr:col>15</xdr:col>
      <xdr:colOff>0</xdr:colOff>
      <xdr:row>1369</xdr:row>
      <xdr:rowOff>0</xdr:rowOff>
    </xdr:from>
    <xdr:to>
      <xdr:col>20</xdr:col>
      <xdr:colOff>2160</xdr:colOff>
      <xdr:row>1376</xdr:row>
      <xdr:rowOff>178200</xdr:rowOff>
    </xdr:to>
    <xdr:graphicFrame>
      <xdr:nvGraphicFramePr>
        <xdr:cNvPr id="83" name="Chart 84"/>
        <xdr:cNvGraphicFramePr/>
      </xdr:nvGraphicFramePr>
      <xdr:xfrm>
        <a:off x="8776440" y="260794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 editAs="oneCell">
    <xdr:from>
      <xdr:col>15</xdr:col>
      <xdr:colOff>0</xdr:colOff>
      <xdr:row>1383</xdr:row>
      <xdr:rowOff>0</xdr:rowOff>
    </xdr:from>
    <xdr:to>
      <xdr:col>20</xdr:col>
      <xdr:colOff>2160</xdr:colOff>
      <xdr:row>1390</xdr:row>
      <xdr:rowOff>178200</xdr:rowOff>
    </xdr:to>
    <xdr:graphicFrame>
      <xdr:nvGraphicFramePr>
        <xdr:cNvPr id="84" name="Chart 85"/>
        <xdr:cNvGraphicFramePr/>
      </xdr:nvGraphicFramePr>
      <xdr:xfrm>
        <a:off x="8776440" y="263461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 editAs="oneCell">
    <xdr:from>
      <xdr:col>15</xdr:col>
      <xdr:colOff>0</xdr:colOff>
      <xdr:row>1397</xdr:row>
      <xdr:rowOff>0</xdr:rowOff>
    </xdr:from>
    <xdr:to>
      <xdr:col>20</xdr:col>
      <xdr:colOff>2160</xdr:colOff>
      <xdr:row>1404</xdr:row>
      <xdr:rowOff>178200</xdr:rowOff>
    </xdr:to>
    <xdr:graphicFrame>
      <xdr:nvGraphicFramePr>
        <xdr:cNvPr id="85" name="Chart 86"/>
        <xdr:cNvGraphicFramePr/>
      </xdr:nvGraphicFramePr>
      <xdr:xfrm>
        <a:off x="8776440" y="266128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 editAs="oneCell">
    <xdr:from>
      <xdr:col>15</xdr:col>
      <xdr:colOff>0</xdr:colOff>
      <xdr:row>1411</xdr:row>
      <xdr:rowOff>0</xdr:rowOff>
    </xdr:from>
    <xdr:to>
      <xdr:col>20</xdr:col>
      <xdr:colOff>2160</xdr:colOff>
      <xdr:row>1418</xdr:row>
      <xdr:rowOff>178200</xdr:rowOff>
    </xdr:to>
    <xdr:graphicFrame>
      <xdr:nvGraphicFramePr>
        <xdr:cNvPr id="86" name="Chart 87"/>
        <xdr:cNvGraphicFramePr/>
      </xdr:nvGraphicFramePr>
      <xdr:xfrm>
        <a:off x="8776440" y="268795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 editAs="oneCell">
    <xdr:from>
      <xdr:col>15</xdr:col>
      <xdr:colOff>0</xdr:colOff>
      <xdr:row>1425</xdr:row>
      <xdr:rowOff>0</xdr:rowOff>
    </xdr:from>
    <xdr:to>
      <xdr:col>20</xdr:col>
      <xdr:colOff>2160</xdr:colOff>
      <xdr:row>1432</xdr:row>
      <xdr:rowOff>178200</xdr:rowOff>
    </xdr:to>
    <xdr:graphicFrame>
      <xdr:nvGraphicFramePr>
        <xdr:cNvPr id="87" name="Chart 88"/>
        <xdr:cNvGraphicFramePr/>
      </xdr:nvGraphicFramePr>
      <xdr:xfrm>
        <a:off x="8776440" y="271462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 editAs="oneCell">
    <xdr:from>
      <xdr:col>15</xdr:col>
      <xdr:colOff>0</xdr:colOff>
      <xdr:row>1439</xdr:row>
      <xdr:rowOff>0</xdr:rowOff>
    </xdr:from>
    <xdr:to>
      <xdr:col>20</xdr:col>
      <xdr:colOff>2160</xdr:colOff>
      <xdr:row>1446</xdr:row>
      <xdr:rowOff>178200</xdr:rowOff>
    </xdr:to>
    <xdr:graphicFrame>
      <xdr:nvGraphicFramePr>
        <xdr:cNvPr id="88" name="Chart 89"/>
        <xdr:cNvGraphicFramePr/>
      </xdr:nvGraphicFramePr>
      <xdr:xfrm>
        <a:off x="8776440" y="274129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 editAs="oneCell">
    <xdr:from>
      <xdr:col>15</xdr:col>
      <xdr:colOff>0</xdr:colOff>
      <xdr:row>1453</xdr:row>
      <xdr:rowOff>0</xdr:rowOff>
    </xdr:from>
    <xdr:to>
      <xdr:col>20</xdr:col>
      <xdr:colOff>2160</xdr:colOff>
      <xdr:row>1460</xdr:row>
      <xdr:rowOff>178200</xdr:rowOff>
    </xdr:to>
    <xdr:graphicFrame>
      <xdr:nvGraphicFramePr>
        <xdr:cNvPr id="89" name="Chart 90"/>
        <xdr:cNvGraphicFramePr/>
      </xdr:nvGraphicFramePr>
      <xdr:xfrm>
        <a:off x="8776440" y="276796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 editAs="oneCell">
    <xdr:from>
      <xdr:col>15</xdr:col>
      <xdr:colOff>0</xdr:colOff>
      <xdr:row>1467</xdr:row>
      <xdr:rowOff>0</xdr:rowOff>
    </xdr:from>
    <xdr:to>
      <xdr:col>20</xdr:col>
      <xdr:colOff>2160</xdr:colOff>
      <xdr:row>1474</xdr:row>
      <xdr:rowOff>178200</xdr:rowOff>
    </xdr:to>
    <xdr:graphicFrame>
      <xdr:nvGraphicFramePr>
        <xdr:cNvPr id="90" name="Chart 91"/>
        <xdr:cNvGraphicFramePr/>
      </xdr:nvGraphicFramePr>
      <xdr:xfrm>
        <a:off x="8776440" y="279463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 editAs="oneCell">
    <xdr:from>
      <xdr:col>15</xdr:col>
      <xdr:colOff>0</xdr:colOff>
      <xdr:row>1481</xdr:row>
      <xdr:rowOff>0</xdr:rowOff>
    </xdr:from>
    <xdr:to>
      <xdr:col>20</xdr:col>
      <xdr:colOff>2160</xdr:colOff>
      <xdr:row>1488</xdr:row>
      <xdr:rowOff>178200</xdr:rowOff>
    </xdr:to>
    <xdr:graphicFrame>
      <xdr:nvGraphicFramePr>
        <xdr:cNvPr id="91" name="Chart 92"/>
        <xdr:cNvGraphicFramePr/>
      </xdr:nvGraphicFramePr>
      <xdr:xfrm>
        <a:off x="8776440" y="282130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 editAs="oneCell">
    <xdr:from>
      <xdr:col>15</xdr:col>
      <xdr:colOff>0</xdr:colOff>
      <xdr:row>1495</xdr:row>
      <xdr:rowOff>0</xdr:rowOff>
    </xdr:from>
    <xdr:to>
      <xdr:col>20</xdr:col>
      <xdr:colOff>2160</xdr:colOff>
      <xdr:row>1502</xdr:row>
      <xdr:rowOff>178200</xdr:rowOff>
    </xdr:to>
    <xdr:graphicFrame>
      <xdr:nvGraphicFramePr>
        <xdr:cNvPr id="92" name="Chart 93"/>
        <xdr:cNvGraphicFramePr/>
      </xdr:nvGraphicFramePr>
      <xdr:xfrm>
        <a:off x="8776440" y="284797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 editAs="oneCell">
    <xdr:from>
      <xdr:col>15</xdr:col>
      <xdr:colOff>0</xdr:colOff>
      <xdr:row>1509</xdr:row>
      <xdr:rowOff>0</xdr:rowOff>
    </xdr:from>
    <xdr:to>
      <xdr:col>20</xdr:col>
      <xdr:colOff>2160</xdr:colOff>
      <xdr:row>1516</xdr:row>
      <xdr:rowOff>178200</xdr:rowOff>
    </xdr:to>
    <xdr:graphicFrame>
      <xdr:nvGraphicFramePr>
        <xdr:cNvPr id="93" name="Chart 94"/>
        <xdr:cNvGraphicFramePr/>
      </xdr:nvGraphicFramePr>
      <xdr:xfrm>
        <a:off x="8776440" y="287464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 editAs="oneCell">
    <xdr:from>
      <xdr:col>15</xdr:col>
      <xdr:colOff>0</xdr:colOff>
      <xdr:row>1523</xdr:row>
      <xdr:rowOff>0</xdr:rowOff>
    </xdr:from>
    <xdr:to>
      <xdr:col>20</xdr:col>
      <xdr:colOff>2160</xdr:colOff>
      <xdr:row>1530</xdr:row>
      <xdr:rowOff>178200</xdr:rowOff>
    </xdr:to>
    <xdr:graphicFrame>
      <xdr:nvGraphicFramePr>
        <xdr:cNvPr id="94" name="Chart 95"/>
        <xdr:cNvGraphicFramePr/>
      </xdr:nvGraphicFramePr>
      <xdr:xfrm>
        <a:off x="8776440" y="290131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 editAs="oneCell">
    <xdr:from>
      <xdr:col>15</xdr:col>
      <xdr:colOff>0</xdr:colOff>
      <xdr:row>1537</xdr:row>
      <xdr:rowOff>0</xdr:rowOff>
    </xdr:from>
    <xdr:to>
      <xdr:col>20</xdr:col>
      <xdr:colOff>2160</xdr:colOff>
      <xdr:row>1544</xdr:row>
      <xdr:rowOff>178200</xdr:rowOff>
    </xdr:to>
    <xdr:graphicFrame>
      <xdr:nvGraphicFramePr>
        <xdr:cNvPr id="95" name="Chart 96"/>
        <xdr:cNvGraphicFramePr/>
      </xdr:nvGraphicFramePr>
      <xdr:xfrm>
        <a:off x="8776440" y="292798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 editAs="oneCell">
    <xdr:from>
      <xdr:col>15</xdr:col>
      <xdr:colOff>0</xdr:colOff>
      <xdr:row>1551</xdr:row>
      <xdr:rowOff>0</xdr:rowOff>
    </xdr:from>
    <xdr:to>
      <xdr:col>20</xdr:col>
      <xdr:colOff>2160</xdr:colOff>
      <xdr:row>1558</xdr:row>
      <xdr:rowOff>178200</xdr:rowOff>
    </xdr:to>
    <xdr:graphicFrame>
      <xdr:nvGraphicFramePr>
        <xdr:cNvPr id="96" name="Chart 97"/>
        <xdr:cNvGraphicFramePr/>
      </xdr:nvGraphicFramePr>
      <xdr:xfrm>
        <a:off x="8776440" y="295465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 editAs="oneCell">
    <xdr:from>
      <xdr:col>15</xdr:col>
      <xdr:colOff>0</xdr:colOff>
      <xdr:row>1565</xdr:row>
      <xdr:rowOff>0</xdr:rowOff>
    </xdr:from>
    <xdr:to>
      <xdr:col>20</xdr:col>
      <xdr:colOff>2160</xdr:colOff>
      <xdr:row>1572</xdr:row>
      <xdr:rowOff>178200</xdr:rowOff>
    </xdr:to>
    <xdr:graphicFrame>
      <xdr:nvGraphicFramePr>
        <xdr:cNvPr id="97" name="Chart 98"/>
        <xdr:cNvGraphicFramePr/>
      </xdr:nvGraphicFramePr>
      <xdr:xfrm>
        <a:off x="8776440" y="298132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 editAs="oneCell">
    <xdr:from>
      <xdr:col>15</xdr:col>
      <xdr:colOff>0</xdr:colOff>
      <xdr:row>1579</xdr:row>
      <xdr:rowOff>0</xdr:rowOff>
    </xdr:from>
    <xdr:to>
      <xdr:col>20</xdr:col>
      <xdr:colOff>2160</xdr:colOff>
      <xdr:row>1586</xdr:row>
      <xdr:rowOff>178200</xdr:rowOff>
    </xdr:to>
    <xdr:graphicFrame>
      <xdr:nvGraphicFramePr>
        <xdr:cNvPr id="98" name="Chart 99"/>
        <xdr:cNvGraphicFramePr/>
      </xdr:nvGraphicFramePr>
      <xdr:xfrm>
        <a:off x="8776440" y="300799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 editAs="oneCell">
    <xdr:from>
      <xdr:col>15</xdr:col>
      <xdr:colOff>0</xdr:colOff>
      <xdr:row>1593</xdr:row>
      <xdr:rowOff>0</xdr:rowOff>
    </xdr:from>
    <xdr:to>
      <xdr:col>20</xdr:col>
      <xdr:colOff>2160</xdr:colOff>
      <xdr:row>1600</xdr:row>
      <xdr:rowOff>178200</xdr:rowOff>
    </xdr:to>
    <xdr:graphicFrame>
      <xdr:nvGraphicFramePr>
        <xdr:cNvPr id="99" name="Chart 100"/>
        <xdr:cNvGraphicFramePr/>
      </xdr:nvGraphicFramePr>
      <xdr:xfrm>
        <a:off x="8776440" y="303466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 editAs="oneCell">
    <xdr:from>
      <xdr:col>15</xdr:col>
      <xdr:colOff>0</xdr:colOff>
      <xdr:row>1607</xdr:row>
      <xdr:rowOff>0</xdr:rowOff>
    </xdr:from>
    <xdr:to>
      <xdr:col>20</xdr:col>
      <xdr:colOff>2160</xdr:colOff>
      <xdr:row>1614</xdr:row>
      <xdr:rowOff>178200</xdr:rowOff>
    </xdr:to>
    <xdr:graphicFrame>
      <xdr:nvGraphicFramePr>
        <xdr:cNvPr id="100" name="Chart 101"/>
        <xdr:cNvGraphicFramePr/>
      </xdr:nvGraphicFramePr>
      <xdr:xfrm>
        <a:off x="8776440" y="306133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 editAs="oneCell">
    <xdr:from>
      <xdr:col>15</xdr:col>
      <xdr:colOff>0</xdr:colOff>
      <xdr:row>1626</xdr:row>
      <xdr:rowOff>0</xdr:rowOff>
    </xdr:from>
    <xdr:to>
      <xdr:col>20</xdr:col>
      <xdr:colOff>2160</xdr:colOff>
      <xdr:row>1633</xdr:row>
      <xdr:rowOff>178200</xdr:rowOff>
    </xdr:to>
    <xdr:graphicFrame>
      <xdr:nvGraphicFramePr>
        <xdr:cNvPr id="101" name="Chart 102"/>
        <xdr:cNvGraphicFramePr/>
      </xdr:nvGraphicFramePr>
      <xdr:xfrm>
        <a:off x="8776440" y="30975300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 editAs="oneCell">
    <xdr:from>
      <xdr:col>15</xdr:col>
      <xdr:colOff>0</xdr:colOff>
      <xdr:row>1640</xdr:row>
      <xdr:rowOff>0</xdr:rowOff>
    </xdr:from>
    <xdr:to>
      <xdr:col>20</xdr:col>
      <xdr:colOff>2160</xdr:colOff>
      <xdr:row>1647</xdr:row>
      <xdr:rowOff>177840</xdr:rowOff>
    </xdr:to>
    <xdr:graphicFrame>
      <xdr:nvGraphicFramePr>
        <xdr:cNvPr id="102" name="Chart 103"/>
        <xdr:cNvGraphicFramePr/>
      </xdr:nvGraphicFramePr>
      <xdr:xfrm>
        <a:off x="8776440" y="3124198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 editAs="oneCell">
    <xdr:from>
      <xdr:col>15</xdr:col>
      <xdr:colOff>0</xdr:colOff>
      <xdr:row>1654</xdr:row>
      <xdr:rowOff>0</xdr:rowOff>
    </xdr:from>
    <xdr:to>
      <xdr:col>20</xdr:col>
      <xdr:colOff>2160</xdr:colOff>
      <xdr:row>1661</xdr:row>
      <xdr:rowOff>178200</xdr:rowOff>
    </xdr:to>
    <xdr:graphicFrame>
      <xdr:nvGraphicFramePr>
        <xdr:cNvPr id="103" name="Chart 104"/>
        <xdr:cNvGraphicFramePr/>
      </xdr:nvGraphicFramePr>
      <xdr:xfrm>
        <a:off x="8776440" y="31508712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 editAs="oneCell">
    <xdr:from>
      <xdr:col>15</xdr:col>
      <xdr:colOff>0</xdr:colOff>
      <xdr:row>1668</xdr:row>
      <xdr:rowOff>0</xdr:rowOff>
    </xdr:from>
    <xdr:to>
      <xdr:col>20</xdr:col>
      <xdr:colOff>2160</xdr:colOff>
      <xdr:row>1675</xdr:row>
      <xdr:rowOff>178200</xdr:rowOff>
    </xdr:to>
    <xdr:graphicFrame>
      <xdr:nvGraphicFramePr>
        <xdr:cNvPr id="104" name="Chart 105"/>
        <xdr:cNvGraphicFramePr/>
      </xdr:nvGraphicFramePr>
      <xdr:xfrm>
        <a:off x="8776440" y="31775400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 editAs="oneCell">
    <xdr:from>
      <xdr:col>15</xdr:col>
      <xdr:colOff>0</xdr:colOff>
      <xdr:row>1682</xdr:row>
      <xdr:rowOff>0</xdr:rowOff>
    </xdr:from>
    <xdr:to>
      <xdr:col>20</xdr:col>
      <xdr:colOff>2160</xdr:colOff>
      <xdr:row>1689</xdr:row>
      <xdr:rowOff>177840</xdr:rowOff>
    </xdr:to>
    <xdr:graphicFrame>
      <xdr:nvGraphicFramePr>
        <xdr:cNvPr id="105" name="Chart 106"/>
        <xdr:cNvGraphicFramePr/>
      </xdr:nvGraphicFramePr>
      <xdr:xfrm>
        <a:off x="8776440" y="3204208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 editAs="oneCell">
    <xdr:from>
      <xdr:col>15</xdr:col>
      <xdr:colOff>0</xdr:colOff>
      <xdr:row>1696</xdr:row>
      <xdr:rowOff>0</xdr:rowOff>
    </xdr:from>
    <xdr:to>
      <xdr:col>20</xdr:col>
      <xdr:colOff>2160</xdr:colOff>
      <xdr:row>1703</xdr:row>
      <xdr:rowOff>178200</xdr:rowOff>
    </xdr:to>
    <xdr:graphicFrame>
      <xdr:nvGraphicFramePr>
        <xdr:cNvPr id="106" name="Chart 107"/>
        <xdr:cNvGraphicFramePr/>
      </xdr:nvGraphicFramePr>
      <xdr:xfrm>
        <a:off x="8776440" y="32308812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 editAs="oneCell">
    <xdr:from>
      <xdr:col>15</xdr:col>
      <xdr:colOff>0</xdr:colOff>
      <xdr:row>1710</xdr:row>
      <xdr:rowOff>0</xdr:rowOff>
    </xdr:from>
    <xdr:to>
      <xdr:col>20</xdr:col>
      <xdr:colOff>2160</xdr:colOff>
      <xdr:row>1717</xdr:row>
      <xdr:rowOff>178200</xdr:rowOff>
    </xdr:to>
    <xdr:graphicFrame>
      <xdr:nvGraphicFramePr>
        <xdr:cNvPr id="107" name="Chart 108"/>
        <xdr:cNvGraphicFramePr/>
      </xdr:nvGraphicFramePr>
      <xdr:xfrm>
        <a:off x="8776440" y="32575500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 editAs="oneCell">
    <xdr:from>
      <xdr:col>15</xdr:col>
      <xdr:colOff>0</xdr:colOff>
      <xdr:row>1724</xdr:row>
      <xdr:rowOff>0</xdr:rowOff>
    </xdr:from>
    <xdr:to>
      <xdr:col>20</xdr:col>
      <xdr:colOff>2160</xdr:colOff>
      <xdr:row>1731</xdr:row>
      <xdr:rowOff>177840</xdr:rowOff>
    </xdr:to>
    <xdr:graphicFrame>
      <xdr:nvGraphicFramePr>
        <xdr:cNvPr id="108" name="Chart 109"/>
        <xdr:cNvGraphicFramePr/>
      </xdr:nvGraphicFramePr>
      <xdr:xfrm>
        <a:off x="8776440" y="3284218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 editAs="oneCell">
    <xdr:from>
      <xdr:col>15</xdr:col>
      <xdr:colOff>0</xdr:colOff>
      <xdr:row>1743</xdr:row>
      <xdr:rowOff>0</xdr:rowOff>
    </xdr:from>
    <xdr:to>
      <xdr:col>20</xdr:col>
      <xdr:colOff>2160</xdr:colOff>
      <xdr:row>1750</xdr:row>
      <xdr:rowOff>178200</xdr:rowOff>
    </xdr:to>
    <xdr:graphicFrame>
      <xdr:nvGraphicFramePr>
        <xdr:cNvPr id="109" name="Chart 110"/>
        <xdr:cNvGraphicFramePr/>
      </xdr:nvGraphicFramePr>
      <xdr:xfrm>
        <a:off x="8776440" y="332041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 editAs="oneCell">
    <xdr:from>
      <xdr:col>15</xdr:col>
      <xdr:colOff>0</xdr:colOff>
      <xdr:row>1757</xdr:row>
      <xdr:rowOff>0</xdr:rowOff>
    </xdr:from>
    <xdr:to>
      <xdr:col>20</xdr:col>
      <xdr:colOff>2160</xdr:colOff>
      <xdr:row>1764</xdr:row>
      <xdr:rowOff>178200</xdr:rowOff>
    </xdr:to>
    <xdr:graphicFrame>
      <xdr:nvGraphicFramePr>
        <xdr:cNvPr id="110" name="Chart 111"/>
        <xdr:cNvGraphicFramePr/>
      </xdr:nvGraphicFramePr>
      <xdr:xfrm>
        <a:off x="8776440" y="334708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 editAs="oneCell">
    <xdr:from>
      <xdr:col>15</xdr:col>
      <xdr:colOff>0</xdr:colOff>
      <xdr:row>1771</xdr:row>
      <xdr:rowOff>0</xdr:rowOff>
    </xdr:from>
    <xdr:to>
      <xdr:col>20</xdr:col>
      <xdr:colOff>2160</xdr:colOff>
      <xdr:row>1778</xdr:row>
      <xdr:rowOff>178200</xdr:rowOff>
    </xdr:to>
    <xdr:graphicFrame>
      <xdr:nvGraphicFramePr>
        <xdr:cNvPr id="111" name="Chart 112"/>
        <xdr:cNvGraphicFramePr/>
      </xdr:nvGraphicFramePr>
      <xdr:xfrm>
        <a:off x="8776440" y="337375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 editAs="oneCell">
    <xdr:from>
      <xdr:col>15</xdr:col>
      <xdr:colOff>0</xdr:colOff>
      <xdr:row>1785</xdr:row>
      <xdr:rowOff>0</xdr:rowOff>
    </xdr:from>
    <xdr:to>
      <xdr:col>20</xdr:col>
      <xdr:colOff>2160</xdr:colOff>
      <xdr:row>1792</xdr:row>
      <xdr:rowOff>178200</xdr:rowOff>
    </xdr:to>
    <xdr:graphicFrame>
      <xdr:nvGraphicFramePr>
        <xdr:cNvPr id="112" name="Chart 113"/>
        <xdr:cNvGraphicFramePr/>
      </xdr:nvGraphicFramePr>
      <xdr:xfrm>
        <a:off x="8776440" y="340042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 editAs="oneCell">
    <xdr:from>
      <xdr:col>15</xdr:col>
      <xdr:colOff>0</xdr:colOff>
      <xdr:row>1799</xdr:row>
      <xdr:rowOff>0</xdr:rowOff>
    </xdr:from>
    <xdr:to>
      <xdr:col>20</xdr:col>
      <xdr:colOff>2160</xdr:colOff>
      <xdr:row>1806</xdr:row>
      <xdr:rowOff>178200</xdr:rowOff>
    </xdr:to>
    <xdr:graphicFrame>
      <xdr:nvGraphicFramePr>
        <xdr:cNvPr id="113" name="Chart 114"/>
        <xdr:cNvGraphicFramePr/>
      </xdr:nvGraphicFramePr>
      <xdr:xfrm>
        <a:off x="8776440" y="342709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 editAs="oneCell">
    <xdr:from>
      <xdr:col>15</xdr:col>
      <xdr:colOff>0</xdr:colOff>
      <xdr:row>1813</xdr:row>
      <xdr:rowOff>0</xdr:rowOff>
    </xdr:from>
    <xdr:to>
      <xdr:col>20</xdr:col>
      <xdr:colOff>2160</xdr:colOff>
      <xdr:row>1820</xdr:row>
      <xdr:rowOff>178200</xdr:rowOff>
    </xdr:to>
    <xdr:graphicFrame>
      <xdr:nvGraphicFramePr>
        <xdr:cNvPr id="114" name="Chart 115"/>
        <xdr:cNvGraphicFramePr/>
      </xdr:nvGraphicFramePr>
      <xdr:xfrm>
        <a:off x="8776440" y="345376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 editAs="oneCell">
    <xdr:from>
      <xdr:col>15</xdr:col>
      <xdr:colOff>0</xdr:colOff>
      <xdr:row>1827</xdr:row>
      <xdr:rowOff>0</xdr:rowOff>
    </xdr:from>
    <xdr:to>
      <xdr:col>20</xdr:col>
      <xdr:colOff>2160</xdr:colOff>
      <xdr:row>1834</xdr:row>
      <xdr:rowOff>178200</xdr:rowOff>
    </xdr:to>
    <xdr:graphicFrame>
      <xdr:nvGraphicFramePr>
        <xdr:cNvPr id="115" name="Chart 116"/>
        <xdr:cNvGraphicFramePr/>
      </xdr:nvGraphicFramePr>
      <xdr:xfrm>
        <a:off x="8776440" y="348043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twoCellAnchor editAs="oneCell">
    <xdr:from>
      <xdr:col>15</xdr:col>
      <xdr:colOff>0</xdr:colOff>
      <xdr:row>1841</xdr:row>
      <xdr:rowOff>0</xdr:rowOff>
    </xdr:from>
    <xdr:to>
      <xdr:col>20</xdr:col>
      <xdr:colOff>2160</xdr:colOff>
      <xdr:row>1848</xdr:row>
      <xdr:rowOff>178200</xdr:rowOff>
    </xdr:to>
    <xdr:graphicFrame>
      <xdr:nvGraphicFramePr>
        <xdr:cNvPr id="116" name="Chart 117"/>
        <xdr:cNvGraphicFramePr/>
      </xdr:nvGraphicFramePr>
      <xdr:xfrm>
        <a:off x="8776440" y="350710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twoCellAnchor editAs="oneCell">
    <xdr:from>
      <xdr:col>15</xdr:col>
      <xdr:colOff>0</xdr:colOff>
      <xdr:row>1855</xdr:row>
      <xdr:rowOff>0</xdr:rowOff>
    </xdr:from>
    <xdr:to>
      <xdr:col>20</xdr:col>
      <xdr:colOff>2160</xdr:colOff>
      <xdr:row>1862</xdr:row>
      <xdr:rowOff>178200</xdr:rowOff>
    </xdr:to>
    <xdr:graphicFrame>
      <xdr:nvGraphicFramePr>
        <xdr:cNvPr id="117" name="Chart 118"/>
        <xdr:cNvGraphicFramePr/>
      </xdr:nvGraphicFramePr>
      <xdr:xfrm>
        <a:off x="8776440" y="353377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twoCellAnchor>
  <xdr:twoCellAnchor editAs="oneCell">
    <xdr:from>
      <xdr:col>15</xdr:col>
      <xdr:colOff>0</xdr:colOff>
      <xdr:row>1869</xdr:row>
      <xdr:rowOff>0</xdr:rowOff>
    </xdr:from>
    <xdr:to>
      <xdr:col>20</xdr:col>
      <xdr:colOff>2160</xdr:colOff>
      <xdr:row>1876</xdr:row>
      <xdr:rowOff>178200</xdr:rowOff>
    </xdr:to>
    <xdr:graphicFrame>
      <xdr:nvGraphicFramePr>
        <xdr:cNvPr id="118" name="Chart 119"/>
        <xdr:cNvGraphicFramePr/>
      </xdr:nvGraphicFramePr>
      <xdr:xfrm>
        <a:off x="8776440" y="356044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twoCellAnchor editAs="oneCell">
    <xdr:from>
      <xdr:col>15</xdr:col>
      <xdr:colOff>0</xdr:colOff>
      <xdr:row>1883</xdr:row>
      <xdr:rowOff>0</xdr:rowOff>
    </xdr:from>
    <xdr:to>
      <xdr:col>20</xdr:col>
      <xdr:colOff>2160</xdr:colOff>
      <xdr:row>1890</xdr:row>
      <xdr:rowOff>178200</xdr:rowOff>
    </xdr:to>
    <xdr:graphicFrame>
      <xdr:nvGraphicFramePr>
        <xdr:cNvPr id="119" name="Chart 120"/>
        <xdr:cNvGraphicFramePr/>
      </xdr:nvGraphicFramePr>
      <xdr:xfrm>
        <a:off x="8776440" y="358711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  <xdr:twoCellAnchor editAs="oneCell">
    <xdr:from>
      <xdr:col>15</xdr:col>
      <xdr:colOff>0</xdr:colOff>
      <xdr:row>1897</xdr:row>
      <xdr:rowOff>0</xdr:rowOff>
    </xdr:from>
    <xdr:to>
      <xdr:col>20</xdr:col>
      <xdr:colOff>2160</xdr:colOff>
      <xdr:row>1904</xdr:row>
      <xdr:rowOff>178200</xdr:rowOff>
    </xdr:to>
    <xdr:graphicFrame>
      <xdr:nvGraphicFramePr>
        <xdr:cNvPr id="120" name="Chart 121"/>
        <xdr:cNvGraphicFramePr/>
      </xdr:nvGraphicFramePr>
      <xdr:xfrm>
        <a:off x="8776440" y="361378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xdr:graphicFrame>
    <xdr:clientData/>
  </xdr:twoCellAnchor>
  <xdr:twoCellAnchor editAs="oneCell">
    <xdr:from>
      <xdr:col>15</xdr:col>
      <xdr:colOff>0</xdr:colOff>
      <xdr:row>1911</xdr:row>
      <xdr:rowOff>0</xdr:rowOff>
    </xdr:from>
    <xdr:to>
      <xdr:col>20</xdr:col>
      <xdr:colOff>2160</xdr:colOff>
      <xdr:row>1918</xdr:row>
      <xdr:rowOff>178200</xdr:rowOff>
    </xdr:to>
    <xdr:graphicFrame>
      <xdr:nvGraphicFramePr>
        <xdr:cNvPr id="121" name="Chart 122"/>
        <xdr:cNvGraphicFramePr/>
      </xdr:nvGraphicFramePr>
      <xdr:xfrm>
        <a:off x="8776440" y="364045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twoCellAnchor editAs="oneCell">
    <xdr:from>
      <xdr:col>15</xdr:col>
      <xdr:colOff>0</xdr:colOff>
      <xdr:row>1925</xdr:row>
      <xdr:rowOff>0</xdr:rowOff>
    </xdr:from>
    <xdr:to>
      <xdr:col>20</xdr:col>
      <xdr:colOff>2160</xdr:colOff>
      <xdr:row>1932</xdr:row>
      <xdr:rowOff>178200</xdr:rowOff>
    </xdr:to>
    <xdr:graphicFrame>
      <xdr:nvGraphicFramePr>
        <xdr:cNvPr id="122" name="Chart 123"/>
        <xdr:cNvGraphicFramePr/>
      </xdr:nvGraphicFramePr>
      <xdr:xfrm>
        <a:off x="8776440" y="366712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twoCellAnchor editAs="oneCell">
    <xdr:from>
      <xdr:col>15</xdr:col>
      <xdr:colOff>0</xdr:colOff>
      <xdr:row>1939</xdr:row>
      <xdr:rowOff>0</xdr:rowOff>
    </xdr:from>
    <xdr:to>
      <xdr:col>20</xdr:col>
      <xdr:colOff>2160</xdr:colOff>
      <xdr:row>1946</xdr:row>
      <xdr:rowOff>178200</xdr:rowOff>
    </xdr:to>
    <xdr:graphicFrame>
      <xdr:nvGraphicFramePr>
        <xdr:cNvPr id="123" name="Chart 124"/>
        <xdr:cNvGraphicFramePr/>
      </xdr:nvGraphicFramePr>
      <xdr:xfrm>
        <a:off x="8776440" y="369379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twoCellAnchor>
  <xdr:twoCellAnchor editAs="oneCell">
    <xdr:from>
      <xdr:col>15</xdr:col>
      <xdr:colOff>0</xdr:colOff>
      <xdr:row>1953</xdr:row>
      <xdr:rowOff>0</xdr:rowOff>
    </xdr:from>
    <xdr:to>
      <xdr:col>20</xdr:col>
      <xdr:colOff>2160</xdr:colOff>
      <xdr:row>1960</xdr:row>
      <xdr:rowOff>178200</xdr:rowOff>
    </xdr:to>
    <xdr:graphicFrame>
      <xdr:nvGraphicFramePr>
        <xdr:cNvPr id="124" name="Chart 125"/>
        <xdr:cNvGraphicFramePr/>
      </xdr:nvGraphicFramePr>
      <xdr:xfrm>
        <a:off x="8776440" y="372046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xdr:graphicFrame>
    <xdr:clientData/>
  </xdr:twoCellAnchor>
  <xdr:twoCellAnchor editAs="oneCell">
    <xdr:from>
      <xdr:col>15</xdr:col>
      <xdr:colOff>0</xdr:colOff>
      <xdr:row>1967</xdr:row>
      <xdr:rowOff>0</xdr:rowOff>
    </xdr:from>
    <xdr:to>
      <xdr:col>20</xdr:col>
      <xdr:colOff>2160</xdr:colOff>
      <xdr:row>1974</xdr:row>
      <xdr:rowOff>178200</xdr:rowOff>
    </xdr:to>
    <xdr:graphicFrame>
      <xdr:nvGraphicFramePr>
        <xdr:cNvPr id="125" name="Chart 126"/>
        <xdr:cNvGraphicFramePr/>
      </xdr:nvGraphicFramePr>
      <xdr:xfrm>
        <a:off x="8776440" y="374713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xdr:graphicFrame>
    <xdr:clientData/>
  </xdr:twoCellAnchor>
  <xdr:twoCellAnchor editAs="oneCell">
    <xdr:from>
      <xdr:col>15</xdr:col>
      <xdr:colOff>0</xdr:colOff>
      <xdr:row>1981</xdr:row>
      <xdr:rowOff>0</xdr:rowOff>
    </xdr:from>
    <xdr:to>
      <xdr:col>20</xdr:col>
      <xdr:colOff>2160</xdr:colOff>
      <xdr:row>1988</xdr:row>
      <xdr:rowOff>178200</xdr:rowOff>
    </xdr:to>
    <xdr:graphicFrame>
      <xdr:nvGraphicFramePr>
        <xdr:cNvPr id="126" name="Chart 127"/>
        <xdr:cNvGraphicFramePr/>
      </xdr:nvGraphicFramePr>
      <xdr:xfrm>
        <a:off x="8776440" y="377380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xdr:graphicFrame>
    <xdr:clientData/>
  </xdr:twoCellAnchor>
  <xdr:twoCellAnchor editAs="oneCell">
    <xdr:from>
      <xdr:col>15</xdr:col>
      <xdr:colOff>0</xdr:colOff>
      <xdr:row>1995</xdr:row>
      <xdr:rowOff>0</xdr:rowOff>
    </xdr:from>
    <xdr:to>
      <xdr:col>20</xdr:col>
      <xdr:colOff>2160</xdr:colOff>
      <xdr:row>2002</xdr:row>
      <xdr:rowOff>178200</xdr:rowOff>
    </xdr:to>
    <xdr:graphicFrame>
      <xdr:nvGraphicFramePr>
        <xdr:cNvPr id="127" name="Chart 128"/>
        <xdr:cNvGraphicFramePr/>
      </xdr:nvGraphicFramePr>
      <xdr:xfrm>
        <a:off x="8776440" y="380047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xdr:graphicFrame>
    <xdr:clientData/>
  </xdr:twoCellAnchor>
  <xdr:twoCellAnchor editAs="oneCell">
    <xdr:from>
      <xdr:col>15</xdr:col>
      <xdr:colOff>0</xdr:colOff>
      <xdr:row>2009</xdr:row>
      <xdr:rowOff>0</xdr:rowOff>
    </xdr:from>
    <xdr:to>
      <xdr:col>20</xdr:col>
      <xdr:colOff>2160</xdr:colOff>
      <xdr:row>2016</xdr:row>
      <xdr:rowOff>178200</xdr:rowOff>
    </xdr:to>
    <xdr:graphicFrame>
      <xdr:nvGraphicFramePr>
        <xdr:cNvPr id="128" name="Chart 129"/>
        <xdr:cNvGraphicFramePr/>
      </xdr:nvGraphicFramePr>
      <xdr:xfrm>
        <a:off x="8776440" y="382714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xdr:graphicFrame>
    <xdr:clientData/>
  </xdr:twoCellAnchor>
  <xdr:twoCellAnchor editAs="oneCell">
    <xdr:from>
      <xdr:col>15</xdr:col>
      <xdr:colOff>0</xdr:colOff>
      <xdr:row>2023</xdr:row>
      <xdr:rowOff>0</xdr:rowOff>
    </xdr:from>
    <xdr:to>
      <xdr:col>20</xdr:col>
      <xdr:colOff>2160</xdr:colOff>
      <xdr:row>2030</xdr:row>
      <xdr:rowOff>178200</xdr:rowOff>
    </xdr:to>
    <xdr:graphicFrame>
      <xdr:nvGraphicFramePr>
        <xdr:cNvPr id="129" name="Chart 130"/>
        <xdr:cNvGraphicFramePr/>
      </xdr:nvGraphicFramePr>
      <xdr:xfrm>
        <a:off x="8776440" y="385381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xdr:graphicFrame>
    <xdr:clientData/>
  </xdr:twoCellAnchor>
  <xdr:twoCellAnchor editAs="oneCell">
    <xdr:from>
      <xdr:col>15</xdr:col>
      <xdr:colOff>0</xdr:colOff>
      <xdr:row>2037</xdr:row>
      <xdr:rowOff>0</xdr:rowOff>
    </xdr:from>
    <xdr:to>
      <xdr:col>20</xdr:col>
      <xdr:colOff>2160</xdr:colOff>
      <xdr:row>2044</xdr:row>
      <xdr:rowOff>178200</xdr:rowOff>
    </xdr:to>
    <xdr:graphicFrame>
      <xdr:nvGraphicFramePr>
        <xdr:cNvPr id="130" name="Chart 131"/>
        <xdr:cNvGraphicFramePr/>
      </xdr:nvGraphicFramePr>
      <xdr:xfrm>
        <a:off x="8776440" y="388048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xdr:graphicFrame>
    <xdr:clientData/>
  </xdr:twoCellAnchor>
  <xdr:twoCellAnchor editAs="oneCell">
    <xdr:from>
      <xdr:col>15</xdr:col>
      <xdr:colOff>0</xdr:colOff>
      <xdr:row>2051</xdr:row>
      <xdr:rowOff>0</xdr:rowOff>
    </xdr:from>
    <xdr:to>
      <xdr:col>20</xdr:col>
      <xdr:colOff>2160</xdr:colOff>
      <xdr:row>2058</xdr:row>
      <xdr:rowOff>178200</xdr:rowOff>
    </xdr:to>
    <xdr:graphicFrame>
      <xdr:nvGraphicFramePr>
        <xdr:cNvPr id="131" name="Chart 132"/>
        <xdr:cNvGraphicFramePr/>
      </xdr:nvGraphicFramePr>
      <xdr:xfrm>
        <a:off x="8776440" y="390715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xdr:graphicFrame>
    <xdr:clientData/>
  </xdr:twoCellAnchor>
  <xdr:twoCellAnchor editAs="oneCell">
    <xdr:from>
      <xdr:col>15</xdr:col>
      <xdr:colOff>0</xdr:colOff>
      <xdr:row>2065</xdr:row>
      <xdr:rowOff>0</xdr:rowOff>
    </xdr:from>
    <xdr:to>
      <xdr:col>20</xdr:col>
      <xdr:colOff>2160</xdr:colOff>
      <xdr:row>2072</xdr:row>
      <xdr:rowOff>178200</xdr:rowOff>
    </xdr:to>
    <xdr:graphicFrame>
      <xdr:nvGraphicFramePr>
        <xdr:cNvPr id="132" name="Chart 133"/>
        <xdr:cNvGraphicFramePr/>
      </xdr:nvGraphicFramePr>
      <xdr:xfrm>
        <a:off x="8776440" y="393382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xdr:graphicFrame>
    <xdr:clientData/>
  </xdr:twoCellAnchor>
  <xdr:twoCellAnchor editAs="oneCell">
    <xdr:from>
      <xdr:col>15</xdr:col>
      <xdr:colOff>0</xdr:colOff>
      <xdr:row>2079</xdr:row>
      <xdr:rowOff>0</xdr:rowOff>
    </xdr:from>
    <xdr:to>
      <xdr:col>20</xdr:col>
      <xdr:colOff>2160</xdr:colOff>
      <xdr:row>2086</xdr:row>
      <xdr:rowOff>178200</xdr:rowOff>
    </xdr:to>
    <xdr:graphicFrame>
      <xdr:nvGraphicFramePr>
        <xdr:cNvPr id="133" name="Chart 134"/>
        <xdr:cNvGraphicFramePr/>
      </xdr:nvGraphicFramePr>
      <xdr:xfrm>
        <a:off x="8776440" y="39604968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xdr:graphicFrame>
    <xdr:clientData/>
  </xdr:twoCellAnchor>
  <xdr:twoCellAnchor editAs="oneCell">
    <xdr:from>
      <xdr:col>15</xdr:col>
      <xdr:colOff>0</xdr:colOff>
      <xdr:row>2093</xdr:row>
      <xdr:rowOff>0</xdr:rowOff>
    </xdr:from>
    <xdr:to>
      <xdr:col>20</xdr:col>
      <xdr:colOff>2160</xdr:colOff>
      <xdr:row>2100</xdr:row>
      <xdr:rowOff>178200</xdr:rowOff>
    </xdr:to>
    <xdr:graphicFrame>
      <xdr:nvGraphicFramePr>
        <xdr:cNvPr id="134" name="Chart 135"/>
        <xdr:cNvGraphicFramePr/>
      </xdr:nvGraphicFramePr>
      <xdr:xfrm>
        <a:off x="8776440" y="39871656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xdr:graphicFrame>
    <xdr:clientData/>
  </xdr:twoCellAnchor>
  <xdr:twoCellAnchor editAs="oneCell">
    <xdr:from>
      <xdr:col>15</xdr:col>
      <xdr:colOff>0</xdr:colOff>
      <xdr:row>2107</xdr:row>
      <xdr:rowOff>0</xdr:rowOff>
    </xdr:from>
    <xdr:to>
      <xdr:col>20</xdr:col>
      <xdr:colOff>2160</xdr:colOff>
      <xdr:row>2114</xdr:row>
      <xdr:rowOff>178200</xdr:rowOff>
    </xdr:to>
    <xdr:graphicFrame>
      <xdr:nvGraphicFramePr>
        <xdr:cNvPr id="135" name="Chart 136"/>
        <xdr:cNvGraphicFramePr/>
      </xdr:nvGraphicFramePr>
      <xdr:xfrm>
        <a:off x="8776440" y="401383440"/>
        <a:ext cx="4139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8550</v>
      </c>
      <c r="B5" s="4" t="s">
        <v>11</v>
      </c>
      <c r="C5" s="5" t="s">
        <v>12</v>
      </c>
      <c r="D5" s="4" t="s">
        <v>13</v>
      </c>
      <c r="E5" s="6" t="n">
        <f aca="false">Detalle!B15</f>
        <v>0.329065354776358</v>
      </c>
      <c r="F5" s="7" t="str">
        <f aca="false">Detalle!D15</f>
        <v>APROBAR</v>
      </c>
      <c r="G5" s="8" t="n">
        <v>0.2802</v>
      </c>
      <c r="H5" s="9" t="n">
        <v>2435.51</v>
      </c>
      <c r="I5" s="10" t="str">
        <f aca="false">IF(Detalle!B15="","Falta PC real",IF(Detalle!B15&gt;=Detalle!$G$1,"OK · registrar",IF(Detalle!B15&gt;=0.2,"Revisar margen","Revisar PC/PV")))</f>
        <v>OK · registrar</v>
      </c>
    </row>
    <row r="6" customFormat="false" ht="15" hidden="false" customHeight="false" outlineLevel="0" collapsed="false">
      <c r="A6" s="4" t="n">
        <v>8551</v>
      </c>
      <c r="B6" s="4" t="s">
        <v>14</v>
      </c>
      <c r="C6" s="5" t="s">
        <v>12</v>
      </c>
      <c r="D6" s="4" t="s">
        <v>13</v>
      </c>
      <c r="E6" s="6" t="n">
        <f aca="false">Detalle!B29</f>
        <v>0.327914542063266</v>
      </c>
      <c r="F6" s="7" t="str">
        <f aca="false">Detalle!D29</f>
        <v>APROBAR</v>
      </c>
      <c r="G6" s="8" t="n">
        <v>0.2374</v>
      </c>
      <c r="H6" s="9" t="n">
        <v>2120.45</v>
      </c>
      <c r="I6" s="10" t="str">
        <f aca="false">IF(Detalle!B29="","Falta PC real",IF(Detalle!B29&gt;=Detalle!$G$1,"OK · registrar",IF(Detalle!B29&gt;=0.2,"Revisar margen","Revisar PC/PV")))</f>
        <v>OK · registrar</v>
      </c>
    </row>
    <row r="7" customFormat="false" ht="15" hidden="false" customHeight="false" outlineLevel="0" collapsed="false">
      <c r="A7" s="4" t="n">
        <v>8552</v>
      </c>
      <c r="B7" s="4" t="s">
        <v>15</v>
      </c>
      <c r="C7" s="5" t="s">
        <v>12</v>
      </c>
      <c r="D7" s="4" t="s">
        <v>13</v>
      </c>
      <c r="E7" s="6" t="n">
        <f aca="false">Detalle!B43</f>
        <v>0.337766147717455</v>
      </c>
      <c r="F7" s="7" t="str">
        <f aca="false">Detalle!D43</f>
        <v>APROBAR</v>
      </c>
      <c r="G7" s="8" t="n">
        <v>0.3004</v>
      </c>
      <c r="H7" s="9" t="n">
        <v>3194.42</v>
      </c>
      <c r="I7" s="10" t="str">
        <f aca="false">IF(Detalle!B43="","Falta PC real",IF(Detalle!B43&gt;=Detalle!$G$1,"OK · registrar",IF(Detalle!B43&gt;=0.2,"Revisar margen","Revisar PC/PV")))</f>
        <v>OK · registrar</v>
      </c>
    </row>
    <row r="8" customFormat="false" ht="15" hidden="false" customHeight="false" outlineLevel="0" collapsed="false">
      <c r="A8" s="4" t="n">
        <v>8553</v>
      </c>
      <c r="B8" s="4" t="s">
        <v>16</v>
      </c>
      <c r="C8" s="5" t="s">
        <v>12</v>
      </c>
      <c r="D8" s="4" t="s">
        <v>13</v>
      </c>
      <c r="E8" s="6" t="n">
        <f aca="false">Detalle!B57</f>
        <v>0.186520252837403</v>
      </c>
      <c r="F8" s="7" t="str">
        <f aca="false">Detalle!D57</f>
        <v>RECHAZAR</v>
      </c>
      <c r="G8" s="8" t="n">
        <v>0.2933</v>
      </c>
      <c r="H8" s="9" t="n">
        <v>2606.28</v>
      </c>
      <c r="I8" s="10" t="str">
        <f aca="false">IF(Detalle!B57="","Falta PC real",IF(Detalle!B57&gt;=Detalle!$G$1,"OK · registrar",IF(Detalle!B57&gt;=0.2,"Revisar margen","Revisar PC/PV")))</f>
        <v>Revisar PC/PV</v>
      </c>
    </row>
    <row r="9" customFormat="false" ht="15" hidden="false" customHeight="false" outlineLevel="0" collapsed="false">
      <c r="A9" s="4" t="n">
        <v>8554</v>
      </c>
      <c r="B9" s="4" t="s">
        <v>17</v>
      </c>
      <c r="C9" s="5" t="s">
        <v>12</v>
      </c>
      <c r="D9" s="4" t="s">
        <v>13</v>
      </c>
      <c r="E9" s="6" t="n">
        <f aca="false">Detalle!B71</f>
        <v>0.338841935061628</v>
      </c>
      <c r="F9" s="7" t="str">
        <f aca="false">Detalle!D71</f>
        <v>APROBAR</v>
      </c>
      <c r="G9" s="8" t="n">
        <v>0.3099</v>
      </c>
      <c r="H9" s="9" t="n">
        <v>5248.88</v>
      </c>
      <c r="I9" s="10" t="str">
        <f aca="false">IF(Detalle!B71="","Falta PC real",IF(Detalle!B71&gt;=Detalle!$G$1,"OK · registrar",IF(Detalle!B71&gt;=0.2,"Revisar margen","Revisar PC/PV")))</f>
        <v>OK · registrar</v>
      </c>
    </row>
    <row r="10" customFormat="false" ht="15" hidden="false" customHeight="false" outlineLevel="0" collapsed="false">
      <c r="A10" s="4" t="n">
        <v>8555</v>
      </c>
      <c r="B10" s="4" t="s">
        <v>18</v>
      </c>
      <c r="C10" s="5" t="s">
        <v>12</v>
      </c>
      <c r="D10" s="4" t="s">
        <v>13</v>
      </c>
      <c r="E10" s="6" t="n">
        <f aca="false">Detalle!B85</f>
        <v>0.336048930694543</v>
      </c>
      <c r="F10" s="7" t="str">
        <f aca="false">Detalle!D85</f>
        <v>APROBAR</v>
      </c>
      <c r="G10" s="8" t="n">
        <v>0.3022</v>
      </c>
      <c r="H10" s="9" t="n">
        <v>1841.6</v>
      </c>
      <c r="I10" s="10" t="str">
        <f aca="false">IF(Detalle!B85="","Falta PC real",IF(Detalle!B85&gt;=Detalle!$G$1,"OK · registrar",IF(Detalle!B85&gt;=0.2,"Revisar margen","Revisar PC/PV")))</f>
        <v>OK · registrar</v>
      </c>
    </row>
    <row r="11" customFormat="false" ht="15" hidden="false" customHeight="false" outlineLevel="0" collapsed="false">
      <c r="A11" s="4" t="n">
        <v>8556</v>
      </c>
      <c r="B11" s="4" t="s">
        <v>19</v>
      </c>
      <c r="C11" s="5" t="s">
        <v>12</v>
      </c>
      <c r="D11" s="4" t="s">
        <v>13</v>
      </c>
      <c r="E11" s="6" t="n">
        <f aca="false">Detalle!B99</f>
        <v>0.338923364300858</v>
      </c>
      <c r="F11" s="7" t="str">
        <f aca="false">Detalle!D99</f>
        <v>APROBAR</v>
      </c>
      <c r="G11" s="8" t="n">
        <v>0.2895</v>
      </c>
      <c r="H11" s="9" t="n">
        <v>2954.17</v>
      </c>
      <c r="I11" s="10" t="str">
        <f aca="false">IF(Detalle!B99="","Falta PC real",IF(Detalle!B99&gt;=Detalle!$G$1,"OK · registrar",IF(Detalle!B99&gt;=0.2,"Revisar margen","Revisar PC/PV")))</f>
        <v>OK · registrar</v>
      </c>
    </row>
    <row r="12" customFormat="false" ht="15" hidden="false" customHeight="false" outlineLevel="0" collapsed="false">
      <c r="A12" s="4" t="n">
        <v>8557</v>
      </c>
      <c r="B12" s="4" t="s">
        <v>20</v>
      </c>
      <c r="C12" s="5" t="s">
        <v>12</v>
      </c>
      <c r="D12" s="4" t="s">
        <v>13</v>
      </c>
      <c r="E12" s="6" t="n">
        <f aca="false">Detalle!B113</f>
        <v>0.332461014726158</v>
      </c>
      <c r="F12" s="7" t="str">
        <f aca="false">Detalle!D113</f>
        <v>APROBAR</v>
      </c>
      <c r="G12" s="5"/>
      <c r="H12" s="5"/>
      <c r="I12" s="10" t="str">
        <f aca="false">IF(Detalle!B113="","Falta PC real",IF(Detalle!B113&gt;=Detalle!$G$1,"OK · registrar",IF(Detalle!B113&gt;=0.2,"Revisar margen","Revisar PC/PV")))</f>
        <v>OK · registrar</v>
      </c>
    </row>
    <row r="13" customFormat="false" ht="15" hidden="false" customHeight="false" outlineLevel="0" collapsed="false">
      <c r="A13" s="4" t="n">
        <v>8558</v>
      </c>
      <c r="B13" s="4" t="s">
        <v>21</v>
      </c>
      <c r="C13" s="5" t="s">
        <v>12</v>
      </c>
      <c r="D13" s="4" t="s">
        <v>13</v>
      </c>
      <c r="E13" s="6" t="n">
        <f aca="false">Detalle!B127</f>
        <v>0.335609702525054</v>
      </c>
      <c r="F13" s="7" t="str">
        <f aca="false">Detalle!D127</f>
        <v>APROBAR</v>
      </c>
      <c r="G13" s="8" t="n">
        <v>0.293</v>
      </c>
      <c r="H13" s="9" t="n">
        <v>3233.11</v>
      </c>
      <c r="I13" s="10" t="str">
        <f aca="false">IF(Detalle!B127="","Falta PC real",IF(Detalle!B127&gt;=Detalle!$G$1,"OK · registrar",IF(Detalle!B127&gt;=0.2,"Revisar margen","Revisar PC/PV")))</f>
        <v>OK · registrar</v>
      </c>
    </row>
    <row r="14" customFormat="false" ht="15" hidden="false" customHeight="false" outlineLevel="0" collapsed="false">
      <c r="A14" s="4" t="n">
        <v>8559</v>
      </c>
      <c r="B14" s="4" t="s">
        <v>22</v>
      </c>
      <c r="C14" s="5" t="s">
        <v>12</v>
      </c>
      <c r="D14" s="4" t="s">
        <v>13</v>
      </c>
      <c r="E14" s="6" t="n">
        <f aca="false">Detalle!B141</f>
        <v>0.321777018724825</v>
      </c>
      <c r="F14" s="7" t="str">
        <f aca="false">Detalle!D141</f>
        <v>APROBAR</v>
      </c>
      <c r="G14" s="8" t="n">
        <v>0.3314</v>
      </c>
      <c r="H14" s="9" t="n">
        <v>989.5</v>
      </c>
      <c r="I14" s="10" t="str">
        <f aca="false">IF(Detalle!B141="","Falta PC real",IF(Detalle!B141&gt;=Detalle!$G$1,"OK · registrar",IF(Detalle!B141&gt;=0.2,"Revisar margen","Revisar PC/PV")))</f>
        <v>OK · registrar</v>
      </c>
    </row>
    <row r="15" customFormat="false" ht="15" hidden="false" customHeight="false" outlineLevel="0" collapsed="false">
      <c r="A15" s="4" t="n">
        <v>8560</v>
      </c>
      <c r="B15" s="4" t="s">
        <v>23</v>
      </c>
      <c r="C15" s="5" t="s">
        <v>12</v>
      </c>
      <c r="D15" s="4" t="s">
        <v>13</v>
      </c>
      <c r="E15" s="6" t="n">
        <f aca="false">Detalle!B155</f>
        <v>0.326544549875862</v>
      </c>
      <c r="F15" s="7" t="str">
        <f aca="false">Detalle!D155</f>
        <v>APROBAR</v>
      </c>
      <c r="G15" s="8" t="n">
        <v>0.2482</v>
      </c>
      <c r="H15" s="9" t="n">
        <v>837.32</v>
      </c>
      <c r="I15" s="10" t="str">
        <f aca="false">IF(Detalle!B155="","Falta PC real",IF(Detalle!B155&gt;=Detalle!$G$1,"OK · registrar",IF(Detalle!B155&gt;=0.2,"Revisar margen","Revisar PC/PV")))</f>
        <v>OK · registrar</v>
      </c>
    </row>
    <row r="16" customFormat="false" ht="15" hidden="false" customHeight="false" outlineLevel="0" collapsed="false">
      <c r="A16" s="4" t="n">
        <v>8561</v>
      </c>
      <c r="B16" s="4" t="s">
        <v>24</v>
      </c>
      <c r="C16" s="5" t="s">
        <v>12</v>
      </c>
      <c r="D16" s="4" t="s">
        <v>13</v>
      </c>
      <c r="E16" s="6" t="n">
        <f aca="false">Detalle!B169</f>
        <v>0.337098530941534</v>
      </c>
      <c r="F16" s="7" t="str">
        <f aca="false">Detalle!D169</f>
        <v>APROBAR</v>
      </c>
      <c r="G16" s="8" t="n">
        <v>0.2981</v>
      </c>
      <c r="H16" s="9" t="n">
        <v>3102.69</v>
      </c>
      <c r="I16" s="10" t="str">
        <f aca="false">IF(Detalle!B169="","Falta PC real",IF(Detalle!B169&gt;=Detalle!$G$1,"OK · registrar",IF(Detalle!B169&gt;=0.2,"Revisar margen","Revisar PC/PV")))</f>
        <v>OK · registrar</v>
      </c>
    </row>
    <row r="17" customFormat="false" ht="15" hidden="false" customHeight="false" outlineLevel="0" collapsed="false">
      <c r="A17" s="4" t="n">
        <v>8562</v>
      </c>
      <c r="B17" s="4" t="s">
        <v>25</v>
      </c>
      <c r="C17" s="5" t="s">
        <v>12</v>
      </c>
      <c r="D17" s="4" t="s">
        <v>13</v>
      </c>
      <c r="E17" s="6" t="n">
        <f aca="false">Detalle!B183</f>
        <v>0.331034299076433</v>
      </c>
      <c r="F17" s="7" t="str">
        <f aca="false">Detalle!D183</f>
        <v>APROBAR</v>
      </c>
      <c r="G17" s="8" t="n">
        <v>0.295</v>
      </c>
      <c r="H17" s="9" t="n">
        <v>2842.61</v>
      </c>
      <c r="I17" s="10" t="str">
        <f aca="false">IF(Detalle!B183="","Falta PC real",IF(Detalle!B183&gt;=Detalle!$G$1,"OK · registrar",IF(Detalle!B183&gt;=0.2,"Revisar margen","Revisar PC/PV")))</f>
        <v>OK · registrar</v>
      </c>
    </row>
    <row r="18" customFormat="false" ht="15" hidden="false" customHeight="false" outlineLevel="0" collapsed="false">
      <c r="A18" s="4" t="n">
        <v>8563</v>
      </c>
      <c r="B18" s="4" t="s">
        <v>26</v>
      </c>
      <c r="C18" s="5" t="s">
        <v>12</v>
      </c>
      <c r="D18" s="4" t="s">
        <v>13</v>
      </c>
      <c r="E18" s="6" t="n">
        <f aca="false">Detalle!B197</f>
        <v>0.333065862546633</v>
      </c>
      <c r="F18" s="7" t="str">
        <f aca="false">Detalle!D197</f>
        <v>APROBAR</v>
      </c>
      <c r="G18" s="8" t="n">
        <v>0.3206</v>
      </c>
      <c r="H18" s="9" t="n">
        <v>3731.12</v>
      </c>
      <c r="I18" s="10" t="str">
        <f aca="false">IF(Detalle!B197="","Falta PC real",IF(Detalle!B197&gt;=Detalle!$G$1,"OK · registrar",IF(Detalle!B197&gt;=0.2,"Revisar margen","Revisar PC/PV")))</f>
        <v>OK · registrar</v>
      </c>
    </row>
    <row r="19" customFormat="false" ht="15" hidden="false" customHeight="false" outlineLevel="0" collapsed="false">
      <c r="A19" s="4" t="n">
        <v>8568</v>
      </c>
      <c r="B19" s="4" t="s">
        <v>27</v>
      </c>
      <c r="C19" s="5" t="s">
        <v>28</v>
      </c>
      <c r="D19" s="4" t="s">
        <v>13</v>
      </c>
      <c r="E19" s="6" t="n">
        <f aca="false">Detalle!B211</f>
        <v>0.242606592736269</v>
      </c>
      <c r="F19" s="7" t="str">
        <f aca="false">Detalle!D211</f>
        <v>REVISAR</v>
      </c>
      <c r="G19" s="8" t="n">
        <v>0.3031</v>
      </c>
      <c r="H19" s="9" t="n">
        <v>2280.53</v>
      </c>
      <c r="I19" s="10" t="str">
        <f aca="false">IF(Detalle!B211="","Falta PC real",IF(Detalle!B211&gt;=Detalle!$G$1,"OK · registrar",IF(Detalle!B211&gt;=0.2,"Revisar margen","Revisar PC/PV")))</f>
        <v>Revisar margen</v>
      </c>
    </row>
    <row r="20" customFormat="false" ht="15" hidden="false" customHeight="false" outlineLevel="0" collapsed="false">
      <c r="A20" s="4" t="n">
        <v>8569</v>
      </c>
      <c r="B20" s="4" t="s">
        <v>29</v>
      </c>
      <c r="C20" s="5" t="s">
        <v>30</v>
      </c>
      <c r="D20" s="4" t="s">
        <v>13</v>
      </c>
      <c r="E20" s="6" t="n">
        <f aca="false">Detalle!B230</f>
        <v>0.136279773993096</v>
      </c>
      <c r="F20" s="7" t="str">
        <f aca="false">Detalle!D230</f>
        <v>RECHAZAR</v>
      </c>
      <c r="G20" s="8" t="n">
        <v>0.354</v>
      </c>
      <c r="H20" s="9" t="n">
        <v>452.94</v>
      </c>
      <c r="I20" s="10" t="str">
        <f aca="false">IF(Detalle!B230="","Falta PC real",IF(Detalle!B230&gt;=Detalle!$G$1,"OK · registrar",IF(Detalle!B230&gt;=0.2,"Revisar margen","Revisar PC/PV")))</f>
        <v>Revisar PC/PV</v>
      </c>
    </row>
    <row r="21" customFormat="false" ht="15" hidden="false" customHeight="false" outlineLevel="0" collapsed="false">
      <c r="A21" s="4" t="n">
        <v>8570</v>
      </c>
      <c r="B21" s="4" t="s">
        <v>31</v>
      </c>
      <c r="C21" s="5" t="s">
        <v>32</v>
      </c>
      <c r="D21" s="4" t="s">
        <v>13</v>
      </c>
      <c r="E21" s="6" t="n">
        <f aca="false">Detalle!B244</f>
        <v>0.158524325928208</v>
      </c>
      <c r="F21" s="7" t="str">
        <f aca="false">Detalle!D244</f>
        <v>RECHAZAR</v>
      </c>
      <c r="G21" s="8" t="n">
        <v>1</v>
      </c>
      <c r="H21" s="9" t="n">
        <v>2.65</v>
      </c>
      <c r="I21" s="10" t="str">
        <f aca="false">IF(Detalle!B244="","Falta PC real",IF(Detalle!B244&gt;=Detalle!$G$1,"OK · registrar",IF(Detalle!B244&gt;=0.2,"Revisar margen","Revisar PC/PV")))</f>
        <v>Revisar PC/PV</v>
      </c>
    </row>
    <row r="22" customFormat="false" ht="15" hidden="false" customHeight="false" outlineLevel="0" collapsed="false">
      <c r="A22" s="4" t="n">
        <v>8571</v>
      </c>
      <c r="B22" s="4" t="s">
        <v>33</v>
      </c>
      <c r="C22" s="5" t="s">
        <v>34</v>
      </c>
      <c r="D22" s="4" t="s">
        <v>13</v>
      </c>
      <c r="E22" s="6" t="n">
        <f aca="false">Detalle!B258</f>
        <v>0.227176953546713</v>
      </c>
      <c r="F22" s="7" t="str">
        <f aca="false">Detalle!D258</f>
        <v>REVISAR</v>
      </c>
      <c r="G22" s="8" t="n">
        <v>0.1991</v>
      </c>
      <c r="H22" s="9" t="n">
        <v>1674.46</v>
      </c>
      <c r="I22" s="10" t="str">
        <f aca="false">IF(Detalle!B258="","Falta PC real",IF(Detalle!B258&gt;=Detalle!$G$1,"OK · registrar",IF(Detalle!B258&gt;=0.2,"Revisar margen","Revisar PC/PV")))</f>
        <v>Revisar margen</v>
      </c>
    </row>
    <row r="23" customFormat="false" ht="15" hidden="false" customHeight="false" outlineLevel="0" collapsed="false">
      <c r="A23" s="4" t="n">
        <v>8572</v>
      </c>
      <c r="B23" s="4" t="s">
        <v>35</v>
      </c>
      <c r="C23" s="5" t="s">
        <v>36</v>
      </c>
      <c r="D23" s="4" t="s">
        <v>13</v>
      </c>
      <c r="E23" s="6" t="n">
        <f aca="false">Detalle!B277</f>
        <v>0.217128804139054</v>
      </c>
      <c r="F23" s="7" t="str">
        <f aca="false">Detalle!D277</f>
        <v>REVISAR</v>
      </c>
      <c r="G23" s="8" t="n">
        <v>0.3077</v>
      </c>
      <c r="H23" s="9" t="n">
        <v>2373.43</v>
      </c>
      <c r="I23" s="10" t="str">
        <f aca="false">IF(Detalle!B277="","Falta PC real",IF(Detalle!B277&gt;=Detalle!$G$1,"OK · registrar",IF(Detalle!B277&gt;=0.2,"Revisar margen","Revisar PC/PV")))</f>
        <v>Revisar margen</v>
      </c>
    </row>
    <row r="24" customFormat="false" ht="15" hidden="false" customHeight="false" outlineLevel="0" collapsed="false">
      <c r="A24" s="4" t="n">
        <v>8573</v>
      </c>
      <c r="B24" s="4" t="s">
        <v>37</v>
      </c>
      <c r="C24" s="5" t="s">
        <v>38</v>
      </c>
      <c r="D24" s="4" t="s">
        <v>13</v>
      </c>
      <c r="E24" s="6" t="n">
        <f aca="false">Detalle!B296</f>
        <v>0.267331945138563</v>
      </c>
      <c r="F24" s="7" t="str">
        <f aca="false">Detalle!D296</f>
        <v>REVISAR</v>
      </c>
      <c r="G24" s="8" t="n">
        <v>0.0538</v>
      </c>
      <c r="H24" s="9" t="n">
        <v>609.46</v>
      </c>
      <c r="I24" s="10" t="str">
        <f aca="false">IF(Detalle!B296="","Falta PC real",IF(Detalle!B296&gt;=Detalle!$G$1,"OK · registrar",IF(Detalle!B296&gt;=0.2,"Revisar margen","Revisar PC/PV")))</f>
        <v>Revisar margen</v>
      </c>
    </row>
    <row r="25" customFormat="false" ht="15" hidden="false" customHeight="false" outlineLevel="0" collapsed="false">
      <c r="A25" s="4" t="n">
        <v>8574</v>
      </c>
      <c r="B25" s="4" t="s">
        <v>39</v>
      </c>
      <c r="C25" s="5" t="s">
        <v>40</v>
      </c>
      <c r="D25" s="4" t="s">
        <v>13</v>
      </c>
      <c r="E25" s="6" t="n">
        <f aca="false">Detalle!B315</f>
        <v>0.0984627675844805</v>
      </c>
      <c r="F25" s="7" t="str">
        <f aca="false">Detalle!D315</f>
        <v>RECHAZAR</v>
      </c>
      <c r="G25" s="8" t="n">
        <v>1</v>
      </c>
      <c r="H25" s="9" t="n">
        <v>0.86</v>
      </c>
      <c r="I25" s="10" t="str">
        <f aca="false">IF(Detalle!B315="","Falta PC real",IF(Detalle!B315&gt;=Detalle!$G$1,"OK · registrar",IF(Detalle!B315&gt;=0.2,"Revisar margen","Revisar PC/PV")))</f>
        <v>Revisar PC/PV</v>
      </c>
    </row>
    <row r="26" customFormat="false" ht="15" hidden="false" customHeight="false" outlineLevel="0" collapsed="false">
      <c r="A26" s="4" t="n">
        <v>8575</v>
      </c>
      <c r="B26" s="4" t="s">
        <v>41</v>
      </c>
      <c r="C26" s="5" t="s">
        <v>42</v>
      </c>
      <c r="D26" s="4" t="s">
        <v>13</v>
      </c>
      <c r="E26" s="6" t="n">
        <f aca="false">Detalle!B329</f>
        <v>0.14690105256082</v>
      </c>
      <c r="F26" s="7" t="str">
        <f aca="false">Detalle!D329</f>
        <v>RECHAZAR</v>
      </c>
      <c r="G26" s="8" t="n">
        <v>0.2556</v>
      </c>
      <c r="H26" s="9" t="n">
        <v>1316.57</v>
      </c>
      <c r="I26" s="10" t="str">
        <f aca="false">IF(Detalle!B329="","Falta PC real",IF(Detalle!B329&gt;=Detalle!$G$1,"OK · registrar",IF(Detalle!B329&gt;=0.2,"Revisar margen","Revisar PC/PV")))</f>
        <v>Revisar PC/PV</v>
      </c>
    </row>
    <row r="27" customFormat="false" ht="15" hidden="false" customHeight="false" outlineLevel="0" collapsed="false">
      <c r="A27" s="4" t="n">
        <v>8579</v>
      </c>
      <c r="B27" s="4" t="s">
        <v>43</v>
      </c>
      <c r="C27" s="5" t="s">
        <v>44</v>
      </c>
      <c r="D27" s="4" t="s">
        <v>13</v>
      </c>
      <c r="E27" s="6" t="n">
        <f aca="false">Detalle!B348</f>
        <v>0.133977635813084</v>
      </c>
      <c r="F27" s="7" t="str">
        <f aca="false">Detalle!D348</f>
        <v>RECHAZAR</v>
      </c>
      <c r="G27" s="8" t="n">
        <v>0.0004</v>
      </c>
      <c r="H27" s="9" t="n">
        <v>638.64</v>
      </c>
      <c r="I27" s="10" t="str">
        <f aca="false">IF(Detalle!B348="","Falta PC real",IF(Detalle!B348&gt;=Detalle!$G$1,"OK · registrar",IF(Detalle!B348&gt;=0.2,"Revisar margen","Revisar PC/PV")))</f>
        <v>Revisar PC/PV</v>
      </c>
    </row>
    <row r="28" customFormat="false" ht="15" hidden="false" customHeight="false" outlineLevel="0" collapsed="false">
      <c r="A28" s="4" t="n">
        <v>8580</v>
      </c>
      <c r="B28" s="4" t="s">
        <v>45</v>
      </c>
      <c r="C28" s="5" t="s">
        <v>46</v>
      </c>
      <c r="D28" s="4" t="s">
        <v>13</v>
      </c>
      <c r="E28" s="6" t="n">
        <f aca="false">Detalle!B367</f>
        <v>0.227712782761054</v>
      </c>
      <c r="F28" s="7" t="str">
        <f aca="false">Detalle!D367</f>
        <v>REVISAR</v>
      </c>
      <c r="G28" s="8" t="n">
        <v>0.4727</v>
      </c>
      <c r="H28" s="9" t="n">
        <v>1556.34</v>
      </c>
      <c r="I28" s="10" t="str">
        <f aca="false">IF(Detalle!B367="","Falta PC real",IF(Detalle!B367&gt;=Detalle!$G$1,"OK · registrar",IF(Detalle!B367&gt;=0.2,"Revisar margen","Revisar PC/PV")))</f>
        <v>Revisar margen</v>
      </c>
    </row>
    <row r="29" customFormat="false" ht="15" hidden="false" customHeight="false" outlineLevel="0" collapsed="false">
      <c r="A29" s="4" t="n">
        <v>8581</v>
      </c>
      <c r="B29" s="4"/>
      <c r="C29" s="5" t="s">
        <v>47</v>
      </c>
      <c r="D29" s="4" t="s">
        <v>13</v>
      </c>
      <c r="E29" s="6" t="n">
        <f aca="false">Detalle!B386</f>
        <v>0.090771272214854</v>
      </c>
      <c r="F29" s="7" t="str">
        <f aca="false">Detalle!D386</f>
        <v>RECHAZAR</v>
      </c>
      <c r="G29" s="8" t="n">
        <v>0.178</v>
      </c>
      <c r="H29" s="9" t="n">
        <v>3463.21</v>
      </c>
      <c r="I29" s="10" t="str">
        <f aca="false">IF(Detalle!B386="","Falta PC real",IF(Detalle!B386&gt;=Detalle!$G$1,"OK · registrar",IF(Detalle!B386&gt;=0.2,"Revisar margen","Revisar PC/PV")))</f>
        <v>Revisar PC/PV</v>
      </c>
    </row>
    <row r="30" customFormat="false" ht="15" hidden="false" customHeight="false" outlineLevel="0" collapsed="false">
      <c r="A30" s="4" t="n">
        <v>8584</v>
      </c>
      <c r="B30" s="4" t="s">
        <v>48</v>
      </c>
      <c r="C30" s="5" t="s">
        <v>49</v>
      </c>
      <c r="D30" s="4" t="s">
        <v>13</v>
      </c>
      <c r="E30" s="6" t="n">
        <f aca="false">Detalle!B400</f>
        <v>0.213798965379494</v>
      </c>
      <c r="F30" s="7" t="str">
        <f aca="false">Detalle!D400</f>
        <v>REVISAR</v>
      </c>
      <c r="G30" s="8" t="n">
        <v>0.3577</v>
      </c>
      <c r="H30" s="9" t="n">
        <v>10840.8</v>
      </c>
      <c r="I30" s="10" t="str">
        <f aca="false">IF(Detalle!B400="","Falta PC real",IF(Detalle!B400&gt;=Detalle!$G$1,"OK · registrar",IF(Detalle!B400&gt;=0.2,"Revisar margen","Revisar PC/PV")))</f>
        <v>Revisar margen</v>
      </c>
    </row>
    <row r="31" customFormat="false" ht="15" hidden="false" customHeight="false" outlineLevel="0" collapsed="false">
      <c r="A31" s="4" t="n">
        <v>8585</v>
      </c>
      <c r="B31" s="4" t="s">
        <v>50</v>
      </c>
      <c r="C31" s="5" t="s">
        <v>51</v>
      </c>
      <c r="D31" s="4" t="s">
        <v>13</v>
      </c>
      <c r="E31" s="6" t="n">
        <f aca="false">Detalle!B419</f>
        <v>0.185112305335716</v>
      </c>
      <c r="F31" s="7" t="str">
        <f aca="false">Detalle!D419</f>
        <v>RECHAZAR</v>
      </c>
      <c r="G31" s="8" t="n">
        <v>0.301</v>
      </c>
      <c r="H31" s="9" t="n">
        <v>5330.72</v>
      </c>
      <c r="I31" s="10" t="str">
        <f aca="false">IF(Detalle!B419="","Falta PC real",IF(Detalle!B419&gt;=Detalle!$G$1,"OK · registrar",IF(Detalle!B419&gt;=0.2,"Revisar margen","Revisar PC/PV")))</f>
        <v>Revisar PC/PV</v>
      </c>
    </row>
    <row r="32" customFormat="false" ht="15" hidden="false" customHeight="false" outlineLevel="0" collapsed="false">
      <c r="A32" s="4" t="n">
        <v>8586</v>
      </c>
      <c r="B32" s="4" t="s">
        <v>45</v>
      </c>
      <c r="C32" s="5" t="s">
        <v>46</v>
      </c>
      <c r="D32" s="4" t="s">
        <v>13</v>
      </c>
      <c r="E32" s="6" t="n">
        <f aca="false">Detalle!B438</f>
        <v>0.227712782761054</v>
      </c>
      <c r="F32" s="7" t="str">
        <f aca="false">Detalle!D438</f>
        <v>REVISAR</v>
      </c>
      <c r="G32" s="8" t="n">
        <v>0.4727</v>
      </c>
      <c r="H32" s="9" t="n">
        <v>1556.34</v>
      </c>
      <c r="I32" s="10" t="str">
        <f aca="false">IF(Detalle!B438="","Falta PC real",IF(Detalle!B438&gt;=Detalle!$G$1,"OK · registrar",IF(Detalle!B438&gt;=0.2,"Revisar margen","Revisar PC/PV")))</f>
        <v>Revisar margen</v>
      </c>
    </row>
    <row r="33" customFormat="false" ht="15" hidden="false" customHeight="false" outlineLevel="0" collapsed="false">
      <c r="A33" s="4" t="n">
        <v>8588</v>
      </c>
      <c r="B33" s="4" t="s">
        <v>52</v>
      </c>
      <c r="C33" s="5" t="s">
        <v>53</v>
      </c>
      <c r="D33" s="4" t="s">
        <v>13</v>
      </c>
      <c r="E33" s="6" t="n">
        <f aca="false">Detalle!B457</f>
        <v>0.371566347704793</v>
      </c>
      <c r="F33" s="7" t="str">
        <f aca="false">Detalle!D457</f>
        <v>APROBAR</v>
      </c>
      <c r="G33" s="8" t="n">
        <v>0.4676</v>
      </c>
      <c r="H33" s="9" t="n">
        <v>1874.26</v>
      </c>
      <c r="I33" s="10" t="str">
        <f aca="false">IF(Detalle!B457="","Falta PC real",IF(Detalle!B457&gt;=Detalle!$G$1,"OK · registrar",IF(Detalle!B457&gt;=0.2,"Revisar margen","Revisar PC/PV")))</f>
        <v>OK · registrar</v>
      </c>
    </row>
    <row r="34" customFormat="false" ht="15" hidden="false" customHeight="false" outlineLevel="0" collapsed="false">
      <c r="A34" s="4" t="n">
        <v>8589</v>
      </c>
      <c r="B34" s="4" t="s">
        <v>54</v>
      </c>
      <c r="C34" s="5" t="s">
        <v>55</v>
      </c>
      <c r="D34" s="4" t="s">
        <v>13</v>
      </c>
      <c r="E34" s="6" t="n">
        <f aca="false">Detalle!B476</f>
        <v>0.321050905113531</v>
      </c>
      <c r="F34" s="7" t="str">
        <f aca="false">Detalle!D476</f>
        <v>APROBAR</v>
      </c>
      <c r="G34" s="8" t="n">
        <v>0.3197</v>
      </c>
      <c r="H34" s="9" t="n">
        <v>3583.48</v>
      </c>
      <c r="I34" s="10" t="str">
        <f aca="false">IF(Detalle!B476="","Falta PC real",IF(Detalle!B476&gt;=Detalle!$G$1,"OK · registrar",IF(Detalle!B476&gt;=0.2,"Revisar margen","Revisar PC/PV")))</f>
        <v>OK · registrar</v>
      </c>
    </row>
    <row r="35" customFormat="false" ht="15" hidden="false" customHeight="false" outlineLevel="0" collapsed="false">
      <c r="A35" s="4" t="n">
        <v>8590</v>
      </c>
      <c r="B35" s="4" t="s">
        <v>56</v>
      </c>
      <c r="C35" s="5" t="s">
        <v>57</v>
      </c>
      <c r="D35" s="4" t="s">
        <v>13</v>
      </c>
      <c r="E35" s="6" t="n">
        <f aca="false">Detalle!B495</f>
        <v>0.232063584594393</v>
      </c>
      <c r="F35" s="7" t="str">
        <f aca="false">Detalle!D495</f>
        <v>REVISAR</v>
      </c>
      <c r="G35" s="8" t="n">
        <v>0.4296</v>
      </c>
      <c r="H35" s="9" t="n">
        <v>3448.6</v>
      </c>
      <c r="I35" s="10" t="str">
        <f aca="false">IF(Detalle!B495="","Falta PC real",IF(Detalle!B495&gt;=Detalle!$G$1,"OK · registrar",IF(Detalle!B495&gt;=0.2,"Revisar margen","Revisar PC/PV")))</f>
        <v>Revisar margen</v>
      </c>
    </row>
    <row r="36" customFormat="false" ht="15" hidden="false" customHeight="false" outlineLevel="0" collapsed="false">
      <c r="A36" s="4" t="n">
        <v>8593</v>
      </c>
      <c r="B36" s="4" t="s">
        <v>58</v>
      </c>
      <c r="C36" s="5" t="s">
        <v>59</v>
      </c>
      <c r="D36" s="4" t="s">
        <v>13</v>
      </c>
      <c r="E36" s="6" t="n">
        <f aca="false">Detalle!B514</f>
        <v>0.167577744220881</v>
      </c>
      <c r="F36" s="7" t="str">
        <f aca="false">Detalle!D514</f>
        <v>RECHAZAR</v>
      </c>
      <c r="G36" s="8" t="n">
        <v>0.46</v>
      </c>
      <c r="H36" s="9" t="n">
        <v>4468.12</v>
      </c>
      <c r="I36" s="10" t="str">
        <f aca="false">IF(Detalle!B514="","Falta PC real",IF(Detalle!B514&gt;=Detalle!$G$1,"OK · registrar",IF(Detalle!B514&gt;=0.2,"Revisar margen","Revisar PC/PV")))</f>
        <v>Revisar PC/PV</v>
      </c>
    </row>
    <row r="37" customFormat="false" ht="15" hidden="false" customHeight="false" outlineLevel="0" collapsed="false">
      <c r="A37" s="4" t="n">
        <v>8594</v>
      </c>
      <c r="B37" s="4" t="s">
        <v>60</v>
      </c>
      <c r="C37" s="5" t="s">
        <v>61</v>
      </c>
      <c r="D37" s="4" t="s">
        <v>13</v>
      </c>
      <c r="E37" s="6" t="n">
        <f aca="false">Detalle!B533</f>
        <v>0.122669696225854</v>
      </c>
      <c r="F37" s="7" t="str">
        <f aca="false">Detalle!D533</f>
        <v>RECHAZAR</v>
      </c>
      <c r="G37" s="8" t="n">
        <v>0.5097</v>
      </c>
      <c r="H37" s="9" t="n">
        <v>1087.08</v>
      </c>
      <c r="I37" s="10" t="str">
        <f aca="false">IF(Detalle!B533="","Falta PC real",IF(Detalle!B533&gt;=Detalle!$G$1,"OK · registrar",IF(Detalle!B533&gt;=0.2,"Revisar margen","Revisar PC/PV")))</f>
        <v>Revisar PC/PV</v>
      </c>
    </row>
    <row r="38" customFormat="false" ht="15" hidden="false" customHeight="false" outlineLevel="0" collapsed="false">
      <c r="A38" s="4" t="n">
        <v>8597</v>
      </c>
      <c r="B38" s="4" t="s">
        <v>62</v>
      </c>
      <c r="C38" s="5" t="s">
        <v>63</v>
      </c>
      <c r="D38" s="4" t="s">
        <v>13</v>
      </c>
      <c r="E38" s="6" t="n">
        <f aca="false">Detalle!B552</f>
        <v>0.171872719421065</v>
      </c>
      <c r="F38" s="7" t="str">
        <f aca="false">Detalle!D552</f>
        <v>RECHAZAR</v>
      </c>
      <c r="G38" s="8" t="n">
        <v>0.3904</v>
      </c>
      <c r="H38" s="9" t="n">
        <v>3173.99</v>
      </c>
      <c r="I38" s="10" t="str">
        <f aca="false">IF(Detalle!B552="","Falta PC real",IF(Detalle!B552&gt;=Detalle!$G$1,"OK · registrar",IF(Detalle!B552&gt;=0.2,"Revisar margen","Revisar PC/PV")))</f>
        <v>Revisar PC/PV</v>
      </c>
    </row>
    <row r="39" customFormat="false" ht="15" hidden="false" customHeight="false" outlineLevel="0" collapsed="false">
      <c r="A39" s="4" t="n">
        <v>8599</v>
      </c>
      <c r="B39" s="4" t="s">
        <v>64</v>
      </c>
      <c r="C39" s="5" t="s">
        <v>65</v>
      </c>
      <c r="D39" s="4" t="s">
        <v>13</v>
      </c>
      <c r="E39" s="6" t="n">
        <f aca="false">Detalle!B571</f>
        <v>0.159099250666244</v>
      </c>
      <c r="F39" s="7" t="str">
        <f aca="false">Detalle!D571</f>
        <v>RECHAZAR</v>
      </c>
      <c r="G39" s="8" t="n">
        <v>0.2884</v>
      </c>
      <c r="H39" s="9" t="n">
        <v>910.46</v>
      </c>
      <c r="I39" s="10" t="str">
        <f aca="false">IF(Detalle!B571="","Falta PC real",IF(Detalle!B571&gt;=Detalle!$G$1,"OK · registrar",IF(Detalle!B571&gt;=0.2,"Revisar margen","Revisar PC/PV")))</f>
        <v>Revisar PC/PV</v>
      </c>
    </row>
    <row r="40" customFormat="false" ht="15" hidden="false" customHeight="false" outlineLevel="0" collapsed="false">
      <c r="A40" s="4" t="n">
        <v>8600</v>
      </c>
      <c r="B40" s="4" t="s">
        <v>66</v>
      </c>
      <c r="C40" s="5" t="s">
        <v>67</v>
      </c>
      <c r="D40" s="4" t="s">
        <v>13</v>
      </c>
      <c r="E40" s="6" t="n">
        <f aca="false">Detalle!B590</f>
        <v>0.1895594727781</v>
      </c>
      <c r="F40" s="7" t="str">
        <f aca="false">Detalle!D590</f>
        <v>RECHAZAR</v>
      </c>
      <c r="G40" s="8" t="n">
        <v>0.4352</v>
      </c>
      <c r="H40" s="9" t="n">
        <v>5027.47</v>
      </c>
      <c r="I40" s="10" t="str">
        <f aca="false">IF(Detalle!B590="","Falta PC real",IF(Detalle!B590&gt;=Detalle!$G$1,"OK · registrar",IF(Detalle!B590&gt;=0.2,"Revisar margen","Revisar PC/PV")))</f>
        <v>Revisar PC/PV</v>
      </c>
    </row>
    <row r="41" customFormat="false" ht="15" hidden="false" customHeight="false" outlineLevel="0" collapsed="false">
      <c r="A41" s="4" t="n">
        <v>8601</v>
      </c>
      <c r="B41" s="4" t="s">
        <v>33</v>
      </c>
      <c r="C41" s="5" t="s">
        <v>34</v>
      </c>
      <c r="D41" s="4" t="s">
        <v>13</v>
      </c>
      <c r="E41" s="6" t="n">
        <f aca="false">Detalle!B604</f>
        <v>0.227176953546713</v>
      </c>
      <c r="F41" s="7" t="str">
        <f aca="false">Detalle!D604</f>
        <v>REVISAR</v>
      </c>
      <c r="G41" s="8" t="n">
        <v>0.1991</v>
      </c>
      <c r="H41" s="9" t="n">
        <v>1674.46</v>
      </c>
      <c r="I41" s="10" t="str">
        <f aca="false">IF(Detalle!B604="","Falta PC real",IF(Detalle!B604&gt;=Detalle!$G$1,"OK · registrar",IF(Detalle!B604&gt;=0.2,"Revisar margen","Revisar PC/PV")))</f>
        <v>Revisar margen</v>
      </c>
    </row>
    <row r="42" customFormat="false" ht="15" hidden="false" customHeight="false" outlineLevel="0" collapsed="false">
      <c r="A42" s="4" t="n">
        <v>8604</v>
      </c>
      <c r="B42" s="4" t="s">
        <v>68</v>
      </c>
      <c r="C42" s="5" t="s">
        <v>69</v>
      </c>
      <c r="D42" s="4" t="s">
        <v>13</v>
      </c>
      <c r="E42" s="6" t="n">
        <f aca="false">Detalle!B623</f>
        <v>0.185784712511374</v>
      </c>
      <c r="F42" s="7" t="str">
        <f aca="false">Detalle!D623</f>
        <v>RECHAZAR</v>
      </c>
      <c r="G42" s="8" t="n">
        <v>0.0918</v>
      </c>
      <c r="H42" s="9" t="n">
        <v>1103.81</v>
      </c>
      <c r="I42" s="10" t="str">
        <f aca="false">IF(Detalle!B623="","Falta PC real",IF(Detalle!B623&gt;=Detalle!$G$1,"OK · registrar",IF(Detalle!B623&gt;=0.2,"Revisar margen","Revisar PC/PV")))</f>
        <v>Revisar PC/PV</v>
      </c>
    </row>
    <row r="43" customFormat="false" ht="15" hidden="false" customHeight="false" outlineLevel="0" collapsed="false">
      <c r="A43" s="4" t="n">
        <v>8605</v>
      </c>
      <c r="B43" s="4" t="s">
        <v>70</v>
      </c>
      <c r="C43" s="5" t="s">
        <v>71</v>
      </c>
      <c r="D43" s="4" t="s">
        <v>13</v>
      </c>
      <c r="E43" s="6" t="n">
        <f aca="false">Detalle!B642</f>
        <v>0.158905089676599</v>
      </c>
      <c r="F43" s="7" t="str">
        <f aca="false">Detalle!D642</f>
        <v>RECHAZAR</v>
      </c>
      <c r="G43" s="8" t="n">
        <v>0.3695</v>
      </c>
      <c r="H43" s="9" t="n">
        <v>1904.3</v>
      </c>
      <c r="I43" s="10" t="str">
        <f aca="false">IF(Detalle!B642="","Falta PC real",IF(Detalle!B642&gt;=Detalle!$G$1,"OK · registrar",IF(Detalle!B642&gt;=0.2,"Revisar margen","Revisar PC/PV")))</f>
        <v>Revisar PC/PV</v>
      </c>
    </row>
    <row r="44" customFormat="false" ht="15" hidden="false" customHeight="false" outlineLevel="0" collapsed="false">
      <c r="A44" s="4" t="n">
        <v>8606</v>
      </c>
      <c r="B44" s="4" t="s">
        <v>72</v>
      </c>
      <c r="C44" s="5" t="s">
        <v>73</v>
      </c>
      <c r="D44" s="4" t="s">
        <v>13</v>
      </c>
      <c r="E44" s="6" t="n">
        <f aca="false">Detalle!B661</f>
        <v>0.313911340334361</v>
      </c>
      <c r="F44" s="7" t="str">
        <f aca="false">Detalle!D661</f>
        <v>APROBAR</v>
      </c>
      <c r="G44" s="8" t="n">
        <v>0.4652</v>
      </c>
      <c r="H44" s="9" t="n">
        <v>1466.53</v>
      </c>
      <c r="I44" s="10" t="str">
        <f aca="false">IF(Detalle!B661="","Falta PC real",IF(Detalle!B661&gt;=Detalle!$G$1,"OK · registrar",IF(Detalle!B661&gt;=0.2,"Revisar margen","Revisar PC/PV")))</f>
        <v>OK · registrar</v>
      </c>
    </row>
    <row r="45" customFormat="false" ht="15" hidden="false" customHeight="false" outlineLevel="0" collapsed="false">
      <c r="A45" s="4" t="n">
        <v>8607</v>
      </c>
      <c r="B45" s="4" t="s">
        <v>74</v>
      </c>
      <c r="C45" s="5" t="s">
        <v>75</v>
      </c>
      <c r="D45" s="4" t="s">
        <v>13</v>
      </c>
      <c r="E45" s="6" t="n">
        <f aca="false">Detalle!B680</f>
        <v>0.230211897019669</v>
      </c>
      <c r="F45" s="7" t="str">
        <f aca="false">Detalle!D680</f>
        <v>REVISAR</v>
      </c>
      <c r="G45" s="8" t="n">
        <v>0.4936</v>
      </c>
      <c r="H45" s="9" t="n">
        <v>2318.26</v>
      </c>
      <c r="I45" s="10" t="str">
        <f aca="false">IF(Detalle!B680="","Falta PC real",IF(Detalle!B680&gt;=Detalle!$G$1,"OK · registrar",IF(Detalle!B680&gt;=0.2,"Revisar margen","Revisar PC/PV")))</f>
        <v>Revisar margen</v>
      </c>
    </row>
    <row r="46" customFormat="false" ht="15" hidden="false" customHeight="false" outlineLevel="0" collapsed="false">
      <c r="A46" s="4" t="n">
        <v>8611</v>
      </c>
      <c r="B46" s="4" t="s">
        <v>41</v>
      </c>
      <c r="C46" s="5" t="s">
        <v>42</v>
      </c>
      <c r="D46" s="4" t="s">
        <v>13</v>
      </c>
      <c r="E46" s="6" t="n">
        <f aca="false">Detalle!B699</f>
        <v>0.14690105256082</v>
      </c>
      <c r="F46" s="7" t="str">
        <f aca="false">Detalle!D699</f>
        <v>RECHAZAR</v>
      </c>
      <c r="G46" s="8" t="n">
        <v>0.2556</v>
      </c>
      <c r="H46" s="9" t="n">
        <v>1316.57</v>
      </c>
      <c r="I46" s="10" t="str">
        <f aca="false">IF(Detalle!B699="","Falta PC real",IF(Detalle!B699&gt;=Detalle!$G$1,"OK · registrar",IF(Detalle!B699&gt;=0.2,"Revisar margen","Revisar PC/PV")))</f>
        <v>Revisar PC/PV</v>
      </c>
    </row>
    <row r="47" customFormat="false" ht="15" hidden="false" customHeight="false" outlineLevel="0" collapsed="false">
      <c r="A47" s="4" t="n">
        <v>8612</v>
      </c>
      <c r="B47" s="4" t="s">
        <v>76</v>
      </c>
      <c r="C47" s="5" t="s">
        <v>77</v>
      </c>
      <c r="D47" s="4" t="s">
        <v>13</v>
      </c>
      <c r="E47" s="6" t="n">
        <f aca="false">Detalle!B718</f>
        <v>0.177009507142857</v>
      </c>
      <c r="F47" s="7" t="str">
        <f aca="false">Detalle!D718</f>
        <v>RECHAZAR</v>
      </c>
      <c r="G47" s="8" t="n">
        <v>0.3724</v>
      </c>
      <c r="H47" s="9" t="n">
        <v>2947.02</v>
      </c>
      <c r="I47" s="10" t="str">
        <f aca="false">IF(Detalle!B718="","Falta PC real",IF(Detalle!B718&gt;=Detalle!$G$1,"OK · registrar",IF(Detalle!B718&gt;=0.2,"Revisar margen","Revisar PC/PV")))</f>
        <v>Revisar PC/PV</v>
      </c>
    </row>
    <row r="48" customFormat="false" ht="15" hidden="false" customHeight="false" outlineLevel="0" collapsed="false">
      <c r="A48" s="4" t="n">
        <v>8613</v>
      </c>
      <c r="B48" s="4" t="s">
        <v>78</v>
      </c>
      <c r="C48" s="5" t="s">
        <v>79</v>
      </c>
      <c r="D48" s="4" t="s">
        <v>13</v>
      </c>
      <c r="E48" s="6" t="n">
        <f aca="false">Detalle!B737</f>
        <v>0.143597523518164</v>
      </c>
      <c r="F48" s="7" t="str">
        <f aca="false">Detalle!D737</f>
        <v>RECHAZAR</v>
      </c>
      <c r="G48" s="8" t="n">
        <v>0.4239</v>
      </c>
      <c r="H48" s="9" t="n">
        <v>3342.92</v>
      </c>
      <c r="I48" s="10" t="str">
        <f aca="false">IF(Detalle!B737="","Falta PC real",IF(Detalle!B737&gt;=Detalle!$G$1,"OK · registrar",IF(Detalle!B737&gt;=0.2,"Revisar margen","Revisar PC/PV")))</f>
        <v>Revisar PC/PV</v>
      </c>
    </row>
    <row r="49" customFormat="false" ht="15" hidden="false" customHeight="false" outlineLevel="0" collapsed="false">
      <c r="A49" s="4" t="n">
        <v>8614</v>
      </c>
      <c r="B49" s="4" t="s">
        <v>80</v>
      </c>
      <c r="C49" s="5" t="s">
        <v>81</v>
      </c>
      <c r="D49" s="4" t="s">
        <v>13</v>
      </c>
      <c r="E49" s="6" t="n">
        <f aca="false">Detalle!B756</f>
        <v>0.201680610684211</v>
      </c>
      <c r="F49" s="7" t="str">
        <f aca="false">Detalle!D756</f>
        <v>REVISAR</v>
      </c>
      <c r="G49" s="8" t="n">
        <v>0.323</v>
      </c>
      <c r="H49" s="9" t="n">
        <v>755.04</v>
      </c>
      <c r="I49" s="10" t="str">
        <f aca="false">IF(Detalle!B756="","Falta PC real",IF(Detalle!B756&gt;=Detalle!$G$1,"OK · registrar",IF(Detalle!B756&gt;=0.2,"Revisar margen","Revisar PC/PV")))</f>
        <v>Revisar margen</v>
      </c>
    </row>
    <row r="50" customFormat="false" ht="15" hidden="false" customHeight="false" outlineLevel="0" collapsed="false">
      <c r="A50" s="4" t="n">
        <v>8617</v>
      </c>
      <c r="B50" s="4" t="s">
        <v>82</v>
      </c>
      <c r="C50" s="5" t="s">
        <v>83</v>
      </c>
      <c r="D50" s="4" t="s">
        <v>13</v>
      </c>
      <c r="E50" s="6" t="n">
        <f aca="false">Detalle!B775</f>
        <v>0.14238296377551</v>
      </c>
      <c r="F50" s="7" t="str">
        <f aca="false">Detalle!D775</f>
        <v>RECHAZAR</v>
      </c>
      <c r="G50" s="8" t="n">
        <v>0.3445</v>
      </c>
      <c r="H50" s="9" t="n">
        <v>840.98</v>
      </c>
      <c r="I50" s="10" t="str">
        <f aca="false">IF(Detalle!B775="","Falta PC real",IF(Detalle!B775&gt;=Detalle!$G$1,"OK · registrar",IF(Detalle!B775&gt;=0.2,"Revisar margen","Revisar PC/PV")))</f>
        <v>Revisar PC/PV</v>
      </c>
    </row>
    <row r="51" customFormat="false" ht="15" hidden="false" customHeight="false" outlineLevel="0" collapsed="false">
      <c r="A51" s="4" t="n">
        <v>8618</v>
      </c>
      <c r="B51" s="4" t="s">
        <v>35</v>
      </c>
      <c r="C51" s="5" t="s">
        <v>36</v>
      </c>
      <c r="D51" s="4" t="s">
        <v>13</v>
      </c>
      <c r="E51" s="6" t="n">
        <f aca="false">Detalle!B794</f>
        <v>0.217128804139054</v>
      </c>
      <c r="F51" s="7" t="str">
        <f aca="false">Detalle!D794</f>
        <v>REVISAR</v>
      </c>
      <c r="G51" s="8" t="n">
        <v>0.3077</v>
      </c>
      <c r="H51" s="9" t="n">
        <v>2373.43</v>
      </c>
      <c r="I51" s="10" t="str">
        <f aca="false">IF(Detalle!B794="","Falta PC real",IF(Detalle!B794&gt;=Detalle!$G$1,"OK · registrar",IF(Detalle!B794&gt;=0.2,"Revisar margen","Revisar PC/PV")))</f>
        <v>Revisar margen</v>
      </c>
    </row>
    <row r="52" customFormat="false" ht="15" hidden="false" customHeight="false" outlineLevel="0" collapsed="false">
      <c r="A52" s="4" t="n">
        <v>8620</v>
      </c>
      <c r="B52" s="4" t="s">
        <v>84</v>
      </c>
      <c r="C52" s="5" t="s">
        <v>85</v>
      </c>
      <c r="D52" s="4" t="s">
        <v>13</v>
      </c>
      <c r="E52" s="6" t="n">
        <f aca="false">Detalle!B813</f>
        <v>0.212339619367418</v>
      </c>
      <c r="F52" s="7" t="str">
        <f aca="false">Detalle!D813</f>
        <v>REVISAR</v>
      </c>
      <c r="G52" s="8" t="n">
        <v>0.3424</v>
      </c>
      <c r="H52" s="9" t="n">
        <v>1175.92</v>
      </c>
      <c r="I52" s="10" t="str">
        <f aca="false">IF(Detalle!B813="","Falta PC real",IF(Detalle!B813&gt;=Detalle!$G$1,"OK · registrar",IF(Detalle!B813&gt;=0.2,"Revisar margen","Revisar PC/PV")))</f>
        <v>Revisar margen</v>
      </c>
    </row>
    <row r="53" customFormat="false" ht="15" hidden="false" customHeight="false" outlineLevel="0" collapsed="false">
      <c r="A53" s="4" t="n">
        <v>8621</v>
      </c>
      <c r="B53" s="4" t="s">
        <v>43</v>
      </c>
      <c r="C53" s="5" t="s">
        <v>44</v>
      </c>
      <c r="D53" s="4" t="s">
        <v>13</v>
      </c>
      <c r="E53" s="6" t="n">
        <f aca="false">Detalle!B832</f>
        <v>0.133977635813084</v>
      </c>
      <c r="F53" s="7" t="str">
        <f aca="false">Detalle!D832</f>
        <v>RECHAZAR</v>
      </c>
      <c r="G53" s="8" t="n">
        <v>0.0004</v>
      </c>
      <c r="H53" s="9" t="n">
        <v>638.64</v>
      </c>
      <c r="I53" s="10" t="str">
        <f aca="false">IF(Detalle!B832="","Falta PC real",IF(Detalle!B832&gt;=Detalle!$G$1,"OK · registrar",IF(Detalle!B832&gt;=0.2,"Revisar margen","Revisar PC/PV")))</f>
        <v>Revisar PC/PV</v>
      </c>
    </row>
    <row r="54" customFormat="false" ht="15" hidden="false" customHeight="false" outlineLevel="0" collapsed="false">
      <c r="A54" s="4" t="n">
        <v>8622</v>
      </c>
      <c r="B54" s="4" t="s">
        <v>86</v>
      </c>
      <c r="C54" s="5" t="s">
        <v>87</v>
      </c>
      <c r="D54" s="4" t="s">
        <v>13</v>
      </c>
      <c r="E54" s="6" t="n">
        <f aca="false">Detalle!B851</f>
        <v>0.364280907780117</v>
      </c>
      <c r="F54" s="7" t="str">
        <f aca="false">Detalle!D851</f>
        <v>APROBAR</v>
      </c>
      <c r="G54" s="8" t="n">
        <v>0.3128</v>
      </c>
      <c r="H54" s="9" t="n">
        <v>4238.97</v>
      </c>
      <c r="I54" s="10" t="str">
        <f aca="false">IF(Detalle!B851="","Falta PC real",IF(Detalle!B851&gt;=Detalle!$G$1,"OK · registrar",IF(Detalle!B851&gt;=0.2,"Revisar margen","Revisar PC/PV")))</f>
        <v>OK · registrar</v>
      </c>
    </row>
    <row r="55" customFormat="false" ht="15" hidden="false" customHeight="false" outlineLevel="0" collapsed="false">
      <c r="A55" s="4" t="n">
        <v>8623</v>
      </c>
      <c r="B55" s="4" t="s">
        <v>27</v>
      </c>
      <c r="C55" s="5" t="s">
        <v>28</v>
      </c>
      <c r="D55" s="4" t="s">
        <v>13</v>
      </c>
      <c r="E55" s="6" t="n">
        <f aca="false">Detalle!B870</f>
        <v>0.242606592736269</v>
      </c>
      <c r="F55" s="7" t="str">
        <f aca="false">Detalle!D870</f>
        <v>REVISAR</v>
      </c>
      <c r="G55" s="8" t="n">
        <v>0.3031</v>
      </c>
      <c r="H55" s="9" t="n">
        <v>2280.53</v>
      </c>
      <c r="I55" s="10" t="str">
        <f aca="false">IF(Detalle!B870="","Falta PC real",IF(Detalle!B870&gt;=Detalle!$G$1,"OK · registrar",IF(Detalle!B870&gt;=0.2,"Revisar margen","Revisar PC/PV")))</f>
        <v>Revisar margen</v>
      </c>
    </row>
    <row r="56" customFormat="false" ht="15" hidden="false" customHeight="false" outlineLevel="0" collapsed="false">
      <c r="A56" s="4" t="n">
        <v>8624</v>
      </c>
      <c r="B56" s="4" t="s">
        <v>88</v>
      </c>
      <c r="C56" s="5" t="s">
        <v>89</v>
      </c>
      <c r="D56" s="4" t="s">
        <v>13</v>
      </c>
      <c r="E56" s="6" t="n">
        <f aca="false">Detalle!B889</f>
        <v>0.109579418225039</v>
      </c>
      <c r="F56" s="7" t="str">
        <f aca="false">Detalle!D889</f>
        <v>RECHAZAR</v>
      </c>
      <c r="G56" s="8" t="n">
        <v>0.271</v>
      </c>
      <c r="H56" s="9" t="n">
        <v>3219.58</v>
      </c>
      <c r="I56" s="10" t="str">
        <f aca="false">IF(Detalle!B889="","Falta PC real",IF(Detalle!B889&gt;=Detalle!$G$1,"OK · registrar",IF(Detalle!B889&gt;=0.2,"Revisar margen","Revisar PC/PV")))</f>
        <v>Revisar PC/PV</v>
      </c>
    </row>
    <row r="57" customFormat="false" ht="15" hidden="false" customHeight="false" outlineLevel="0" collapsed="false">
      <c r="A57" s="4" t="n">
        <v>8625</v>
      </c>
      <c r="B57" s="4" t="s">
        <v>90</v>
      </c>
      <c r="C57" s="5" t="s">
        <v>91</v>
      </c>
      <c r="D57" s="4" t="s">
        <v>13</v>
      </c>
      <c r="E57" s="6" t="n">
        <f aca="false">Detalle!B903</f>
        <v>0.115084150370005</v>
      </c>
      <c r="F57" s="7" t="str">
        <f aca="false">Detalle!D903</f>
        <v>RECHAZAR</v>
      </c>
      <c r="G57" s="8" t="n">
        <v>0.2944</v>
      </c>
      <c r="H57" s="9" t="n">
        <v>1840.65</v>
      </c>
      <c r="I57" s="10" t="str">
        <f aca="false">IF(Detalle!B903="","Falta PC real",IF(Detalle!B903&gt;=Detalle!$G$1,"OK · registrar",IF(Detalle!B903&gt;=0.2,"Revisar margen","Revisar PC/PV")))</f>
        <v>Revisar PC/PV</v>
      </c>
    </row>
    <row r="58" customFormat="false" ht="15" hidden="false" customHeight="false" outlineLevel="0" collapsed="false">
      <c r="A58" s="4" t="n">
        <v>8626</v>
      </c>
      <c r="B58" s="4" t="s">
        <v>92</v>
      </c>
      <c r="C58" s="5" t="s">
        <v>93</v>
      </c>
      <c r="D58" s="4" t="s">
        <v>13</v>
      </c>
      <c r="E58" s="6" t="n">
        <f aca="false">Detalle!B917</f>
        <v>0.125979427242768</v>
      </c>
      <c r="F58" s="7" t="str">
        <f aca="false">Detalle!D917</f>
        <v>RECHAZAR</v>
      </c>
      <c r="G58" s="8" t="n">
        <v>0.0856</v>
      </c>
      <c r="H58" s="9" t="n">
        <v>936.83</v>
      </c>
      <c r="I58" s="10" t="str">
        <f aca="false">IF(Detalle!B917="","Falta PC real",IF(Detalle!B917&gt;=Detalle!$G$1,"OK · registrar",IF(Detalle!B917&gt;=0.2,"Revisar margen","Revisar PC/PV")))</f>
        <v>Revisar PC/PV</v>
      </c>
    </row>
    <row r="59" customFormat="false" ht="15" hidden="false" customHeight="false" outlineLevel="0" collapsed="false">
      <c r="A59" s="4" t="n">
        <v>8627</v>
      </c>
      <c r="B59" s="4" t="s">
        <v>94</v>
      </c>
      <c r="C59" s="5" t="s">
        <v>95</v>
      </c>
      <c r="D59" s="4" t="s">
        <v>13</v>
      </c>
      <c r="E59" s="6" t="n">
        <f aca="false">Detalle!B936</f>
        <v>0.160259769889186</v>
      </c>
      <c r="F59" s="7" t="str">
        <f aca="false">Detalle!D936</f>
        <v>RECHAZAR</v>
      </c>
      <c r="G59" s="8" t="n">
        <v>0.3038</v>
      </c>
      <c r="H59" s="9" t="n">
        <v>1173.88</v>
      </c>
      <c r="I59" s="10" t="str">
        <f aca="false">IF(Detalle!B936="","Falta PC real",IF(Detalle!B936&gt;=Detalle!$G$1,"OK · registrar",IF(Detalle!B936&gt;=0.2,"Revisar margen","Revisar PC/PV")))</f>
        <v>Revisar PC/PV</v>
      </c>
    </row>
    <row r="60" customFormat="false" ht="15" hidden="false" customHeight="false" outlineLevel="0" collapsed="false">
      <c r="A60" s="4" t="n">
        <v>8628</v>
      </c>
      <c r="B60" s="4" t="s">
        <v>96</v>
      </c>
      <c r="C60" s="5" t="s">
        <v>97</v>
      </c>
      <c r="D60" s="4" t="s">
        <v>13</v>
      </c>
      <c r="E60" s="6" t="n">
        <f aca="false">Detalle!B955</f>
        <v>0.142618133297673</v>
      </c>
      <c r="F60" s="7" t="str">
        <f aca="false">Detalle!D955</f>
        <v>RECHAZAR</v>
      </c>
      <c r="G60" s="8" t="n">
        <v>0.2292</v>
      </c>
      <c r="H60" s="9" t="n">
        <v>3231.67</v>
      </c>
      <c r="I60" s="10" t="str">
        <f aca="false">IF(Detalle!B955="","Falta PC real",IF(Detalle!B955&gt;=Detalle!$G$1,"OK · registrar",IF(Detalle!B955&gt;=0.2,"Revisar margen","Revisar PC/PV")))</f>
        <v>Revisar PC/PV</v>
      </c>
    </row>
    <row r="61" customFormat="false" ht="15" hidden="false" customHeight="false" outlineLevel="0" collapsed="false">
      <c r="A61" s="4" t="n">
        <v>8630</v>
      </c>
      <c r="B61" s="4" t="s">
        <v>98</v>
      </c>
      <c r="C61" s="5" t="s">
        <v>99</v>
      </c>
      <c r="D61" s="4" t="s">
        <v>13</v>
      </c>
      <c r="E61" s="6" t="n">
        <f aca="false">Detalle!B969</f>
        <v>0.232499332300526</v>
      </c>
      <c r="F61" s="7" t="str">
        <f aca="false">Detalle!D969</f>
        <v>REVISAR</v>
      </c>
      <c r="G61" s="8" t="n">
        <v>0.378</v>
      </c>
      <c r="H61" s="9" t="n">
        <v>2148.32</v>
      </c>
      <c r="I61" s="10" t="str">
        <f aca="false">IF(Detalle!B969="","Falta PC real",IF(Detalle!B969&gt;=Detalle!$G$1,"OK · registrar",IF(Detalle!B969&gt;=0.2,"Revisar margen","Revisar PC/PV")))</f>
        <v>Revisar margen</v>
      </c>
    </row>
    <row r="62" customFormat="false" ht="15" hidden="false" customHeight="false" outlineLevel="0" collapsed="false">
      <c r="A62" s="4" t="n">
        <v>8631</v>
      </c>
      <c r="B62" s="4" t="s">
        <v>100</v>
      </c>
      <c r="C62" s="5" t="s">
        <v>101</v>
      </c>
      <c r="D62" s="4" t="s">
        <v>13</v>
      </c>
      <c r="E62" s="6" t="n">
        <f aca="false">Detalle!B988</f>
        <v>0.00224380846871392</v>
      </c>
      <c r="F62" s="7" t="str">
        <f aca="false">Detalle!D988</f>
        <v>RECHAZAR</v>
      </c>
      <c r="G62" s="8" t="n">
        <v>0.3244</v>
      </c>
      <c r="H62" s="9" t="n">
        <v>13789.11</v>
      </c>
      <c r="I62" s="10" t="str">
        <f aca="false">IF(Detalle!B988="","Falta PC real",IF(Detalle!B988&gt;=Detalle!$G$1,"OK · registrar",IF(Detalle!B988&gt;=0.2,"Revisar margen","Revisar PC/PV")))</f>
        <v>Revisar PC/PV</v>
      </c>
    </row>
    <row r="63" customFormat="false" ht="15" hidden="false" customHeight="false" outlineLevel="0" collapsed="false">
      <c r="A63" s="4" t="n">
        <v>8632</v>
      </c>
      <c r="B63" s="4" t="s">
        <v>102</v>
      </c>
      <c r="C63" s="5" t="s">
        <v>103</v>
      </c>
      <c r="D63" s="4" t="s">
        <v>13</v>
      </c>
      <c r="E63" s="6" t="n">
        <f aca="false">Detalle!B1002</f>
        <v>0.193803887853881</v>
      </c>
      <c r="F63" s="7" t="str">
        <f aca="false">Detalle!D1002</f>
        <v>RECHAZAR</v>
      </c>
      <c r="G63" s="8" t="n">
        <v>0.368</v>
      </c>
      <c r="H63" s="9" t="n">
        <v>1850.34</v>
      </c>
      <c r="I63" s="10" t="str">
        <f aca="false">IF(Detalle!B1002="","Falta PC real",IF(Detalle!B1002&gt;=Detalle!$G$1,"OK · registrar",IF(Detalle!B1002&gt;=0.2,"Revisar margen","Revisar PC/PV")))</f>
        <v>Revisar PC/PV</v>
      </c>
    </row>
    <row r="64" customFormat="false" ht="15" hidden="false" customHeight="false" outlineLevel="0" collapsed="false">
      <c r="A64" s="4" t="n">
        <v>8633</v>
      </c>
      <c r="B64" s="4" t="s">
        <v>104</v>
      </c>
      <c r="C64" s="5" t="s">
        <v>105</v>
      </c>
      <c r="D64" s="4" t="s">
        <v>13</v>
      </c>
      <c r="E64" s="6" t="n">
        <f aca="false">Detalle!B1016</f>
        <v>0.204745880126349</v>
      </c>
      <c r="F64" s="7" t="str">
        <f aca="false">Detalle!D1016</f>
        <v>REVISAR</v>
      </c>
      <c r="G64" s="8" t="n">
        <v>0.2792</v>
      </c>
      <c r="H64" s="9" t="n">
        <v>2070.05</v>
      </c>
      <c r="I64" s="10" t="str">
        <f aca="false">IF(Detalle!B1016="","Falta PC real",IF(Detalle!B1016&gt;=Detalle!$G$1,"OK · registrar",IF(Detalle!B1016&gt;=0.2,"Revisar margen","Revisar PC/PV")))</f>
        <v>Revisar margen</v>
      </c>
    </row>
    <row r="65" customFormat="false" ht="15" hidden="false" customHeight="false" outlineLevel="0" collapsed="false">
      <c r="A65" s="4" t="n">
        <v>8634</v>
      </c>
      <c r="B65" s="4" t="s">
        <v>106</v>
      </c>
      <c r="C65" s="5" t="s">
        <v>107</v>
      </c>
      <c r="D65" s="4" t="s">
        <v>13</v>
      </c>
      <c r="E65" s="6" t="n">
        <f aca="false">Detalle!B1035</f>
        <v>0.207212503537285</v>
      </c>
      <c r="F65" s="7" t="str">
        <f aca="false">Detalle!D1035</f>
        <v>REVISAR</v>
      </c>
      <c r="G65" s="8" t="n">
        <v>-0.824</v>
      </c>
      <c r="H65" s="9" t="n">
        <v>282.36</v>
      </c>
      <c r="I65" s="10" t="str">
        <f aca="false">IF(Detalle!B1035="","Falta PC real",IF(Detalle!B1035&gt;=Detalle!$G$1,"OK · registrar",IF(Detalle!B1035&gt;=0.2,"Revisar margen","Revisar PC/PV")))</f>
        <v>Revisar margen</v>
      </c>
    </row>
    <row r="66" customFormat="false" ht="15" hidden="false" customHeight="false" outlineLevel="0" collapsed="false">
      <c r="A66" s="4" t="n">
        <v>8636</v>
      </c>
      <c r="B66" s="4" t="s">
        <v>108</v>
      </c>
      <c r="C66" s="5" t="s">
        <v>109</v>
      </c>
      <c r="D66" s="4" t="s">
        <v>13</v>
      </c>
      <c r="E66" s="6" t="n">
        <f aca="false">Detalle!B1054</f>
        <v>0.166645734048977</v>
      </c>
      <c r="F66" s="7" t="str">
        <f aca="false">Detalle!D1054</f>
        <v>RECHAZAR</v>
      </c>
      <c r="G66" s="8" t="n">
        <v>0.2775</v>
      </c>
      <c r="H66" s="9" t="n">
        <v>2326.68</v>
      </c>
      <c r="I66" s="10" t="str">
        <f aca="false">IF(Detalle!B1054="","Falta PC real",IF(Detalle!B1054&gt;=Detalle!$G$1,"OK · registrar",IF(Detalle!B1054&gt;=0.2,"Revisar margen","Revisar PC/PV")))</f>
        <v>Revisar PC/PV</v>
      </c>
    </row>
    <row r="67" customFormat="false" ht="15" hidden="false" customHeight="false" outlineLevel="0" collapsed="false">
      <c r="A67" s="4" t="n">
        <v>8637</v>
      </c>
      <c r="B67" s="4" t="s">
        <v>110</v>
      </c>
      <c r="C67" s="5" t="s">
        <v>111</v>
      </c>
      <c r="D67" s="4" t="s">
        <v>13</v>
      </c>
      <c r="E67" s="6" t="n">
        <f aca="false">Detalle!B1073</f>
        <v>0.233593952464084</v>
      </c>
      <c r="F67" s="7" t="str">
        <f aca="false">Detalle!D1073</f>
        <v>REVISAR</v>
      </c>
      <c r="G67" s="8" t="n">
        <v>0.3087</v>
      </c>
      <c r="H67" s="9" t="n">
        <v>5393.13</v>
      </c>
      <c r="I67" s="10" t="str">
        <f aca="false">IF(Detalle!B1073="","Falta PC real",IF(Detalle!B1073&gt;=Detalle!$G$1,"OK · registrar",IF(Detalle!B1073&gt;=0.2,"Revisar margen","Revisar PC/PV")))</f>
        <v>Revisar margen</v>
      </c>
    </row>
    <row r="68" customFormat="false" ht="15" hidden="false" customHeight="false" outlineLevel="0" collapsed="false">
      <c r="A68" s="4" t="n">
        <v>8639</v>
      </c>
      <c r="B68" s="4" t="s">
        <v>112</v>
      </c>
      <c r="C68" s="5" t="s">
        <v>113</v>
      </c>
      <c r="D68" s="4" t="s">
        <v>13</v>
      </c>
      <c r="E68" s="6" t="n">
        <f aca="false">Detalle!B1087</f>
        <v>0.140000074252305</v>
      </c>
      <c r="F68" s="7" t="str">
        <f aca="false">Detalle!D1087</f>
        <v>RECHAZAR</v>
      </c>
      <c r="G68" s="8" t="n">
        <v>0.336</v>
      </c>
      <c r="H68" s="9" t="n">
        <v>1989.67</v>
      </c>
      <c r="I68" s="10" t="str">
        <f aca="false">IF(Detalle!B1087="","Falta PC real",IF(Detalle!B1087&gt;=Detalle!$G$1,"OK · registrar",IF(Detalle!B1087&gt;=0.2,"Revisar margen","Revisar PC/PV")))</f>
        <v>Revisar PC/PV</v>
      </c>
    </row>
    <row r="69" customFormat="false" ht="15" hidden="false" customHeight="false" outlineLevel="0" collapsed="false">
      <c r="A69" s="4" t="n">
        <v>8640</v>
      </c>
      <c r="B69" s="4" t="s">
        <v>114</v>
      </c>
      <c r="C69" s="5" t="s">
        <v>115</v>
      </c>
      <c r="D69" s="4" t="s">
        <v>13</v>
      </c>
      <c r="E69" s="6" t="n">
        <f aca="false">Detalle!B1101</f>
        <v>0.174200792842046</v>
      </c>
      <c r="F69" s="7" t="str">
        <f aca="false">Detalle!D1101</f>
        <v>RECHAZAR</v>
      </c>
      <c r="G69" s="8" t="n">
        <v>0.3488</v>
      </c>
      <c r="H69" s="9" t="n">
        <v>7310.54</v>
      </c>
      <c r="I69" s="10" t="str">
        <f aca="false">IF(Detalle!B1101="","Falta PC real",IF(Detalle!B1101&gt;=Detalle!$G$1,"OK · registrar",IF(Detalle!B1101&gt;=0.2,"Revisar margen","Revisar PC/PV")))</f>
        <v>Revisar PC/PV</v>
      </c>
    </row>
    <row r="70" customFormat="false" ht="15" hidden="false" customHeight="false" outlineLevel="0" collapsed="false">
      <c r="A70" s="4" t="n">
        <v>8642</v>
      </c>
      <c r="B70" s="4" t="s">
        <v>116</v>
      </c>
      <c r="C70" s="5" t="s">
        <v>117</v>
      </c>
      <c r="D70" s="4" t="s">
        <v>13</v>
      </c>
      <c r="E70" s="6" t="n">
        <f aca="false">Detalle!B1115</f>
        <v>0.206386928132661</v>
      </c>
      <c r="F70" s="7" t="str">
        <f aca="false">Detalle!D1115</f>
        <v>REVISAR</v>
      </c>
      <c r="G70" s="8" t="n">
        <v>0.2251</v>
      </c>
      <c r="H70" s="9" t="n">
        <v>1291.58</v>
      </c>
      <c r="I70" s="10" t="str">
        <f aca="false">IF(Detalle!B1115="","Falta PC real",IF(Detalle!B1115&gt;=Detalle!$G$1,"OK · registrar",IF(Detalle!B1115&gt;=0.2,"Revisar margen","Revisar PC/PV")))</f>
        <v>Revisar margen</v>
      </c>
    </row>
    <row r="71" customFormat="false" ht="15" hidden="false" customHeight="false" outlineLevel="0" collapsed="false">
      <c r="A71" s="4" t="n">
        <v>8645</v>
      </c>
      <c r="B71" s="4" t="s">
        <v>118</v>
      </c>
      <c r="C71" s="5" t="s">
        <v>119</v>
      </c>
      <c r="D71" s="4" t="s">
        <v>13</v>
      </c>
      <c r="E71" s="6" t="n">
        <f aca="false">Detalle!B1134</f>
        <v>0.0850122676190477</v>
      </c>
      <c r="F71" s="7" t="str">
        <f aca="false">Detalle!D1134</f>
        <v>RECHAZAR</v>
      </c>
      <c r="G71" s="8" t="n">
        <v>0.2601</v>
      </c>
      <c r="H71" s="9" t="n">
        <v>669.11</v>
      </c>
      <c r="I71" s="10" t="str">
        <f aca="false">IF(Detalle!B1134="","Falta PC real",IF(Detalle!B1134&gt;=Detalle!$G$1,"OK · registrar",IF(Detalle!B1134&gt;=0.2,"Revisar margen","Revisar PC/PV")))</f>
        <v>Revisar PC/PV</v>
      </c>
    </row>
    <row r="72" customFormat="false" ht="15" hidden="false" customHeight="false" outlineLevel="0" collapsed="false">
      <c r="A72" s="4" t="n">
        <v>8646</v>
      </c>
      <c r="B72" s="4" t="s">
        <v>120</v>
      </c>
      <c r="C72" s="5" t="s">
        <v>119</v>
      </c>
      <c r="D72" s="4" t="s">
        <v>13</v>
      </c>
      <c r="E72" s="6" t="n">
        <f aca="false">Detalle!B1148</f>
        <v>0.162021296678344</v>
      </c>
      <c r="F72" s="7" t="str">
        <f aca="false">Detalle!D1148</f>
        <v>RECHAZAR</v>
      </c>
      <c r="G72" s="8" t="n">
        <v>0.1345</v>
      </c>
      <c r="H72" s="9" t="n">
        <v>3661.58</v>
      </c>
      <c r="I72" s="10" t="str">
        <f aca="false">IF(Detalle!B1148="","Falta PC real",IF(Detalle!B1148&gt;=Detalle!$G$1,"OK · registrar",IF(Detalle!B1148&gt;=0.2,"Revisar margen","Revisar PC/PV")))</f>
        <v>Revisar PC/PV</v>
      </c>
    </row>
    <row r="73" customFormat="false" ht="15" hidden="false" customHeight="false" outlineLevel="0" collapsed="false">
      <c r="A73" s="4" t="n">
        <v>8647</v>
      </c>
      <c r="B73" s="4" t="s">
        <v>121</v>
      </c>
      <c r="C73" s="5" t="s">
        <v>119</v>
      </c>
      <c r="D73" s="4" t="s">
        <v>13</v>
      </c>
      <c r="E73" s="6" t="n">
        <f aca="false">Detalle!B1162</f>
        <v>0.124824766467662</v>
      </c>
      <c r="F73" s="7" t="str">
        <f aca="false">Detalle!D1162</f>
        <v>RECHAZAR</v>
      </c>
      <c r="G73" s="8" t="n">
        <v>0.1953</v>
      </c>
      <c r="H73" s="9" t="n">
        <v>1401.63</v>
      </c>
      <c r="I73" s="10" t="str">
        <f aca="false">IF(Detalle!B1162="","Falta PC real",IF(Detalle!B1162&gt;=Detalle!$G$1,"OK · registrar",IF(Detalle!B1162&gt;=0.2,"Revisar margen","Revisar PC/PV")))</f>
        <v>Revisar PC/PV</v>
      </c>
    </row>
    <row r="74" customFormat="false" ht="15" hidden="false" customHeight="false" outlineLevel="0" collapsed="false">
      <c r="A74" s="4" t="n">
        <v>8648</v>
      </c>
      <c r="B74" s="4" t="s">
        <v>122</v>
      </c>
      <c r="C74" s="5" t="s">
        <v>123</v>
      </c>
      <c r="D74" s="4" t="s">
        <v>13</v>
      </c>
      <c r="E74" s="6" t="n">
        <f aca="false">Detalle!B1176</f>
        <v>0.17853694586606</v>
      </c>
      <c r="F74" s="7" t="str">
        <f aca="false">Detalle!D1176</f>
        <v>RECHAZAR</v>
      </c>
      <c r="G74" s="8" t="n">
        <v>0.2432</v>
      </c>
      <c r="H74" s="9" t="n">
        <v>1364.97</v>
      </c>
      <c r="I74" s="10" t="str">
        <f aca="false">IF(Detalle!B1176="","Falta PC real",IF(Detalle!B1176&gt;=Detalle!$G$1,"OK · registrar",IF(Detalle!B1176&gt;=0.2,"Revisar margen","Revisar PC/PV")))</f>
        <v>Revisar PC/PV</v>
      </c>
    </row>
    <row r="75" customFormat="false" ht="15" hidden="false" customHeight="false" outlineLevel="0" collapsed="false">
      <c r="A75" s="4" t="n">
        <v>8650</v>
      </c>
      <c r="B75" s="4" t="s">
        <v>37</v>
      </c>
      <c r="C75" s="5" t="s">
        <v>38</v>
      </c>
      <c r="D75" s="4" t="s">
        <v>13</v>
      </c>
      <c r="E75" s="6" t="n">
        <f aca="false">Detalle!B1190</f>
        <v>0.267331945138563</v>
      </c>
      <c r="F75" s="7" t="str">
        <f aca="false">Detalle!D1190</f>
        <v>REVISAR</v>
      </c>
      <c r="G75" s="8" t="n">
        <v>0.0538</v>
      </c>
      <c r="H75" s="9" t="n">
        <v>609.46</v>
      </c>
      <c r="I75" s="10" t="str">
        <f aca="false">IF(Detalle!B1190="","Falta PC real",IF(Detalle!B1190&gt;=Detalle!$G$1,"OK · registrar",IF(Detalle!B1190&gt;=0.2,"Revisar margen","Revisar PC/PV")))</f>
        <v>Revisar margen</v>
      </c>
    </row>
    <row r="76" customFormat="false" ht="15" hidden="false" customHeight="false" outlineLevel="0" collapsed="false">
      <c r="A76" s="4" t="n">
        <v>8651</v>
      </c>
      <c r="B76" s="4" t="s">
        <v>124</v>
      </c>
      <c r="C76" s="5" t="s">
        <v>125</v>
      </c>
      <c r="D76" s="4" t="s">
        <v>13</v>
      </c>
      <c r="E76" s="6" t="n">
        <f aca="false">Detalle!B1209</f>
        <v>0.152266393831353</v>
      </c>
      <c r="F76" s="7" t="str">
        <f aca="false">Detalle!D1209</f>
        <v>RECHAZAR</v>
      </c>
      <c r="G76" s="8" t="n">
        <v>0.3125</v>
      </c>
      <c r="H76" s="9" t="n">
        <v>2035.12</v>
      </c>
      <c r="I76" s="10" t="str">
        <f aca="false">IF(Detalle!B1209="","Falta PC real",IF(Detalle!B1209&gt;=Detalle!$G$1,"OK · registrar",IF(Detalle!B1209&gt;=0.2,"Revisar margen","Revisar PC/PV")))</f>
        <v>Revisar PC/PV</v>
      </c>
    </row>
    <row r="77" customFormat="false" ht="15" hidden="false" customHeight="false" outlineLevel="0" collapsed="false">
      <c r="A77" s="4" t="n">
        <v>8653</v>
      </c>
      <c r="B77" s="4" t="s">
        <v>126</v>
      </c>
      <c r="C77" s="5" t="s">
        <v>127</v>
      </c>
      <c r="D77" s="4" t="s">
        <v>13</v>
      </c>
      <c r="E77" s="6" t="n">
        <f aca="false">Detalle!B1223</f>
        <v>0.0771951121682318</v>
      </c>
      <c r="F77" s="7" t="str">
        <f aca="false">Detalle!D1223</f>
        <v>RECHAZAR</v>
      </c>
      <c r="G77" s="8" t="n">
        <v>0.1189</v>
      </c>
      <c r="H77" s="9" t="n">
        <v>597.68</v>
      </c>
      <c r="I77" s="10" t="str">
        <f aca="false">IF(Detalle!B1223="","Falta PC real",IF(Detalle!B1223&gt;=Detalle!$G$1,"OK · registrar",IF(Detalle!B1223&gt;=0.2,"Revisar margen","Revisar PC/PV")))</f>
        <v>Revisar PC/PV</v>
      </c>
    </row>
    <row r="78" customFormat="false" ht="15" hidden="false" customHeight="false" outlineLevel="0" collapsed="false">
      <c r="A78" s="4" t="n">
        <v>8655</v>
      </c>
      <c r="B78" s="4" t="s">
        <v>128</v>
      </c>
      <c r="C78" s="5" t="s">
        <v>129</v>
      </c>
      <c r="D78" s="4" t="s">
        <v>13</v>
      </c>
      <c r="E78" s="6" t="n">
        <f aca="false">Detalle!B1237</f>
        <v>0.1593502994545</v>
      </c>
      <c r="F78" s="7" t="str">
        <f aca="false">Detalle!D1237</f>
        <v>RECHAZAR</v>
      </c>
      <c r="G78" s="8" t="n">
        <v>-0.1267</v>
      </c>
      <c r="H78" s="9" t="n">
        <v>194.94</v>
      </c>
      <c r="I78" s="10" t="str">
        <f aca="false">IF(Detalle!B1237="","Falta PC real",IF(Detalle!B1237&gt;=Detalle!$G$1,"OK · registrar",IF(Detalle!B1237&gt;=0.2,"Revisar margen","Revisar PC/PV")))</f>
        <v>Revisar PC/PV</v>
      </c>
    </row>
    <row r="79" customFormat="false" ht="15" hidden="false" customHeight="false" outlineLevel="0" collapsed="false">
      <c r="A79" s="4" t="n">
        <v>8656</v>
      </c>
      <c r="B79" s="4" t="s">
        <v>130</v>
      </c>
      <c r="C79" s="5" t="s">
        <v>131</v>
      </c>
      <c r="D79" s="4" t="s">
        <v>13</v>
      </c>
      <c r="E79" s="6" t="n">
        <f aca="false">Detalle!B1251</f>
        <v>0.109552831526741</v>
      </c>
      <c r="F79" s="7" t="str">
        <f aca="false">Detalle!D1251</f>
        <v>RECHAZAR</v>
      </c>
      <c r="G79" s="8" t="n">
        <v>-0.017</v>
      </c>
      <c r="H79" s="9" t="n">
        <v>1439.26</v>
      </c>
      <c r="I79" s="10" t="str">
        <f aca="false">IF(Detalle!B1251="","Falta PC real",IF(Detalle!B1251&gt;=Detalle!$G$1,"OK · registrar",IF(Detalle!B1251&gt;=0.2,"Revisar margen","Revisar PC/PV")))</f>
        <v>Revisar PC/PV</v>
      </c>
    </row>
    <row r="80" customFormat="false" ht="15" hidden="false" customHeight="false" outlineLevel="0" collapsed="false">
      <c r="A80" s="4" t="n">
        <v>8657</v>
      </c>
      <c r="B80" s="4" t="s">
        <v>132</v>
      </c>
      <c r="C80" s="5" t="s">
        <v>133</v>
      </c>
      <c r="D80" s="4" t="s">
        <v>13</v>
      </c>
      <c r="E80" s="6" t="n">
        <f aca="false">Detalle!B1265</f>
        <v>0.132662744484376</v>
      </c>
      <c r="F80" s="7" t="str">
        <f aca="false">Detalle!D1265</f>
        <v>RECHAZAR</v>
      </c>
      <c r="G80" s="8" t="n">
        <v>0.0806</v>
      </c>
      <c r="H80" s="9" t="n">
        <v>4242.23</v>
      </c>
      <c r="I80" s="10" t="str">
        <f aca="false">IF(Detalle!B1265="","Falta PC real",IF(Detalle!B1265&gt;=Detalle!$G$1,"OK · registrar",IF(Detalle!B1265&gt;=0.2,"Revisar margen","Revisar PC/PV")))</f>
        <v>Revisar PC/PV</v>
      </c>
    </row>
    <row r="81" customFormat="false" ht="15" hidden="false" customHeight="false" outlineLevel="0" collapsed="false">
      <c r="A81" s="4" t="n">
        <v>8658</v>
      </c>
      <c r="B81" s="4" t="s">
        <v>134</v>
      </c>
      <c r="C81" s="5" t="s">
        <v>135</v>
      </c>
      <c r="D81" s="4" t="s">
        <v>13</v>
      </c>
      <c r="E81" s="6" t="n">
        <f aca="false">Detalle!B1279</f>
        <v>0.108585115596875</v>
      </c>
      <c r="F81" s="7" t="str">
        <f aca="false">Detalle!D1279</f>
        <v>RECHAZAR</v>
      </c>
      <c r="G81" s="8" t="n">
        <v>0.3502</v>
      </c>
      <c r="H81" s="9" t="n">
        <v>944.84</v>
      </c>
      <c r="I81" s="10" t="str">
        <f aca="false">IF(Detalle!B1279="","Falta PC real",IF(Detalle!B1279&gt;=Detalle!$G$1,"OK · registrar",IF(Detalle!B1279&gt;=0.2,"Revisar margen","Revisar PC/PV")))</f>
        <v>Revisar PC/PV</v>
      </c>
    </row>
    <row r="82" customFormat="false" ht="15" hidden="false" customHeight="false" outlineLevel="0" collapsed="false">
      <c r="A82" s="4" t="n">
        <v>8659</v>
      </c>
      <c r="B82" s="4" t="s">
        <v>136</v>
      </c>
      <c r="C82" s="5" t="s">
        <v>137</v>
      </c>
      <c r="D82" s="4" t="s">
        <v>13</v>
      </c>
      <c r="E82" s="6" t="n">
        <f aca="false">Detalle!B1293</f>
        <v>0.103250510723075</v>
      </c>
      <c r="F82" s="7" t="str">
        <f aca="false">Detalle!D1293</f>
        <v>RECHAZAR</v>
      </c>
      <c r="G82" s="8" t="n">
        <v>0.2926</v>
      </c>
      <c r="H82" s="9" t="n">
        <v>416.78</v>
      </c>
      <c r="I82" s="10" t="str">
        <f aca="false">IF(Detalle!B1293="","Falta PC real",IF(Detalle!B1293&gt;=Detalle!$G$1,"OK · registrar",IF(Detalle!B1293&gt;=0.2,"Revisar margen","Revisar PC/PV")))</f>
        <v>Revisar PC/PV</v>
      </c>
    </row>
    <row r="83" customFormat="false" ht="15" hidden="false" customHeight="false" outlineLevel="0" collapsed="false">
      <c r="A83" s="4" t="n">
        <v>8660</v>
      </c>
      <c r="B83" s="4" t="s">
        <v>138</v>
      </c>
      <c r="C83" s="5" t="s">
        <v>139</v>
      </c>
      <c r="D83" s="4" t="s">
        <v>13</v>
      </c>
      <c r="E83" s="6" t="n">
        <f aca="false">Detalle!B1307</f>
        <v>0.170848679825486</v>
      </c>
      <c r="F83" s="7" t="str">
        <f aca="false">Detalle!D1307</f>
        <v>RECHAZAR</v>
      </c>
      <c r="G83" s="8" t="n">
        <v>0.2427</v>
      </c>
      <c r="H83" s="9" t="n">
        <v>1451.67</v>
      </c>
      <c r="I83" s="10" t="str">
        <f aca="false">IF(Detalle!B1307="","Falta PC real",IF(Detalle!B1307&gt;=Detalle!$G$1,"OK · registrar",IF(Detalle!B1307&gt;=0.2,"Revisar margen","Revisar PC/PV")))</f>
        <v>Revisar PC/PV</v>
      </c>
    </row>
    <row r="84" customFormat="false" ht="15" hidden="false" customHeight="false" outlineLevel="0" collapsed="false">
      <c r="A84" s="4" t="n">
        <v>8662</v>
      </c>
      <c r="B84" s="4" t="s">
        <v>140</v>
      </c>
      <c r="C84" s="5" t="s">
        <v>141</v>
      </c>
      <c r="D84" s="4" t="s">
        <v>13</v>
      </c>
      <c r="E84" s="6" t="n">
        <f aca="false">Detalle!B1321</f>
        <v>0.158481454626203</v>
      </c>
      <c r="F84" s="7" t="str">
        <f aca="false">Detalle!D1321</f>
        <v>RECHAZAR</v>
      </c>
      <c r="G84" s="8" t="n">
        <v>0.2053</v>
      </c>
      <c r="H84" s="9" t="n">
        <v>338.33</v>
      </c>
      <c r="I84" s="10" t="str">
        <f aca="false">IF(Detalle!B1321="","Falta PC real",IF(Detalle!B1321&gt;=Detalle!$G$1,"OK · registrar",IF(Detalle!B1321&gt;=0.2,"Revisar margen","Revisar PC/PV")))</f>
        <v>Revisar PC/PV</v>
      </c>
    </row>
    <row r="85" customFormat="false" ht="15" hidden="false" customHeight="false" outlineLevel="0" collapsed="false">
      <c r="A85" s="4" t="n">
        <v>8663</v>
      </c>
      <c r="B85" s="4" t="s">
        <v>142</v>
      </c>
      <c r="C85" s="5" t="s">
        <v>143</v>
      </c>
      <c r="D85" s="4" t="s">
        <v>13</v>
      </c>
      <c r="E85" s="6" t="n">
        <f aca="false">Detalle!B1335</f>
        <v>0.085535830240821</v>
      </c>
      <c r="F85" s="7" t="str">
        <f aca="false">Detalle!D1335</f>
        <v>RECHAZAR</v>
      </c>
      <c r="G85" s="8" t="n">
        <v>0.1704</v>
      </c>
      <c r="H85" s="9" t="n">
        <v>233.61</v>
      </c>
      <c r="I85" s="10" t="str">
        <f aca="false">IF(Detalle!B1335="","Falta PC real",IF(Detalle!B1335&gt;=Detalle!$G$1,"OK · registrar",IF(Detalle!B1335&gt;=0.2,"Revisar margen","Revisar PC/PV")))</f>
        <v>Revisar PC/PV</v>
      </c>
    </row>
    <row r="86" customFormat="false" ht="15" hidden="false" customHeight="false" outlineLevel="0" collapsed="false">
      <c r="A86" s="4" t="n">
        <v>8665</v>
      </c>
      <c r="B86" s="4" t="s">
        <v>144</v>
      </c>
      <c r="C86" s="5" t="s">
        <v>145</v>
      </c>
      <c r="D86" s="4" t="s">
        <v>13</v>
      </c>
      <c r="E86" s="6" t="n">
        <f aca="false">Detalle!B1349</f>
        <v>0.0935125254260869</v>
      </c>
      <c r="F86" s="7" t="str">
        <f aca="false">Detalle!D1349</f>
        <v>RECHAZAR</v>
      </c>
      <c r="G86" s="8" t="n">
        <v>0.1939</v>
      </c>
      <c r="H86" s="9" t="n">
        <v>274.94</v>
      </c>
      <c r="I86" s="10" t="str">
        <f aca="false">IF(Detalle!B1349="","Falta PC real",IF(Detalle!B1349&gt;=Detalle!$G$1,"OK · registrar",IF(Detalle!B1349&gt;=0.2,"Revisar margen","Revisar PC/PV")))</f>
        <v>Revisar PC/PV</v>
      </c>
    </row>
    <row r="87" customFormat="false" ht="15" hidden="false" customHeight="false" outlineLevel="0" collapsed="false">
      <c r="A87" s="4" t="n">
        <v>8666</v>
      </c>
      <c r="B87" s="4" t="s">
        <v>146</v>
      </c>
      <c r="C87" s="5" t="s">
        <v>147</v>
      </c>
      <c r="D87" s="4" t="s">
        <v>13</v>
      </c>
      <c r="E87" s="6" t="n">
        <f aca="false">Detalle!B1363</f>
        <v>0.121677250097635</v>
      </c>
      <c r="F87" s="7" t="str">
        <f aca="false">Detalle!D1363</f>
        <v>RECHAZAR</v>
      </c>
      <c r="G87" s="8" t="n">
        <v>0.2397</v>
      </c>
      <c r="H87" s="9" t="n">
        <v>167.54</v>
      </c>
      <c r="I87" s="10" t="str">
        <f aca="false">IF(Detalle!B1363="","Falta PC real",IF(Detalle!B1363&gt;=Detalle!$G$1,"OK · registrar",IF(Detalle!B1363&gt;=0.2,"Revisar margen","Revisar PC/PV")))</f>
        <v>Revisar PC/PV</v>
      </c>
    </row>
    <row r="88" customFormat="false" ht="15" hidden="false" customHeight="false" outlineLevel="0" collapsed="false">
      <c r="A88" s="4" t="n">
        <v>8667</v>
      </c>
      <c r="B88" s="4" t="s">
        <v>29</v>
      </c>
      <c r="C88" s="5" t="s">
        <v>30</v>
      </c>
      <c r="D88" s="4" t="s">
        <v>13</v>
      </c>
      <c r="E88" s="6" t="n">
        <f aca="false">Detalle!B1377</f>
        <v>0.136279773993096</v>
      </c>
      <c r="F88" s="7" t="str">
        <f aca="false">Detalle!D1377</f>
        <v>RECHAZAR</v>
      </c>
      <c r="G88" s="8" t="n">
        <v>0.354</v>
      </c>
      <c r="H88" s="9" t="n">
        <v>452.94</v>
      </c>
      <c r="I88" s="10" t="str">
        <f aca="false">IF(Detalle!B1377="","Falta PC real",IF(Detalle!B1377&gt;=Detalle!$G$1,"OK · registrar",IF(Detalle!B1377&gt;=0.2,"Revisar margen","Revisar PC/PV")))</f>
        <v>Revisar PC/PV</v>
      </c>
    </row>
    <row r="89" customFormat="false" ht="15" hidden="false" customHeight="false" outlineLevel="0" collapsed="false">
      <c r="A89" s="4" t="n">
        <v>8670</v>
      </c>
      <c r="B89" s="4" t="s">
        <v>148</v>
      </c>
      <c r="C89" s="5" t="s">
        <v>149</v>
      </c>
      <c r="D89" s="4" t="s">
        <v>13</v>
      </c>
      <c r="E89" s="6" t="n">
        <f aca="false">Detalle!B1391</f>
        <v>0.148458998384728</v>
      </c>
      <c r="F89" s="7" t="str">
        <f aca="false">Detalle!D1391</f>
        <v>RECHAZAR</v>
      </c>
      <c r="G89" s="8" t="n">
        <v>0.28</v>
      </c>
      <c r="H89" s="9" t="n">
        <v>563.43</v>
      </c>
      <c r="I89" s="10" t="str">
        <f aca="false">IF(Detalle!B1391="","Falta PC real",IF(Detalle!B1391&gt;=Detalle!$G$1,"OK · registrar",IF(Detalle!B1391&gt;=0.2,"Revisar margen","Revisar PC/PV")))</f>
        <v>Revisar PC/PV</v>
      </c>
    </row>
    <row r="90" customFormat="false" ht="15" hidden="false" customHeight="false" outlineLevel="0" collapsed="false">
      <c r="A90" s="4" t="n">
        <v>8671</v>
      </c>
      <c r="B90" s="4" t="s">
        <v>150</v>
      </c>
      <c r="C90" s="5" t="s">
        <v>151</v>
      </c>
      <c r="D90" s="4" t="s">
        <v>13</v>
      </c>
      <c r="E90" s="6" t="n">
        <f aca="false">Detalle!B1405</f>
        <v>0.133285347760121</v>
      </c>
      <c r="F90" s="7" t="str">
        <f aca="false">Detalle!D1405</f>
        <v>RECHAZAR</v>
      </c>
      <c r="G90" s="8" t="n">
        <v>0.2041</v>
      </c>
      <c r="H90" s="9" t="n">
        <v>145.2</v>
      </c>
      <c r="I90" s="10" t="str">
        <f aca="false">IF(Detalle!B1405="","Falta PC real",IF(Detalle!B1405&gt;=Detalle!$G$1,"OK · registrar",IF(Detalle!B1405&gt;=0.2,"Revisar margen","Revisar PC/PV")))</f>
        <v>Revisar PC/PV</v>
      </c>
    </row>
    <row r="91" customFormat="false" ht="15" hidden="false" customHeight="false" outlineLevel="0" collapsed="false">
      <c r="A91" s="4" t="n">
        <v>8672</v>
      </c>
      <c r="B91" s="4" t="s">
        <v>152</v>
      </c>
      <c r="C91" s="5" t="s">
        <v>153</v>
      </c>
      <c r="D91" s="4" t="s">
        <v>13</v>
      </c>
      <c r="E91" s="6" t="n">
        <f aca="false">Detalle!B1419</f>
        <v>0.144306267365486</v>
      </c>
      <c r="F91" s="7" t="str">
        <f aca="false">Detalle!D1419</f>
        <v>RECHAZAR</v>
      </c>
      <c r="G91" s="5"/>
      <c r="H91" s="5"/>
      <c r="I91" s="10" t="str">
        <f aca="false">IF(Detalle!B1419="","Falta PC real",IF(Detalle!B1419&gt;=Detalle!$G$1,"OK · registrar",IF(Detalle!B1419&gt;=0.2,"Revisar margen","Revisar PC/PV")))</f>
        <v>Revisar PC/PV</v>
      </c>
    </row>
    <row r="92" customFormat="false" ht="15" hidden="false" customHeight="false" outlineLevel="0" collapsed="false">
      <c r="A92" s="4" t="n">
        <v>8674</v>
      </c>
      <c r="B92" s="4" t="s">
        <v>31</v>
      </c>
      <c r="C92" s="5" t="s">
        <v>32</v>
      </c>
      <c r="D92" s="4" t="s">
        <v>13</v>
      </c>
      <c r="E92" s="6" t="n">
        <f aca="false">Detalle!B1433</f>
        <v>0.158524325928208</v>
      </c>
      <c r="F92" s="7" t="str">
        <f aca="false">Detalle!D1433</f>
        <v>RECHAZAR</v>
      </c>
      <c r="G92" s="8" t="n">
        <v>1</v>
      </c>
      <c r="H92" s="9" t="n">
        <v>2.65</v>
      </c>
      <c r="I92" s="10" t="str">
        <f aca="false">IF(Detalle!B1433="","Falta PC real",IF(Detalle!B1433&gt;=Detalle!$G$1,"OK · registrar",IF(Detalle!B1433&gt;=0.2,"Revisar margen","Revisar PC/PV")))</f>
        <v>Revisar PC/PV</v>
      </c>
    </row>
    <row r="93" customFormat="false" ht="15" hidden="false" customHeight="false" outlineLevel="0" collapsed="false">
      <c r="A93" s="4" t="n">
        <v>8676</v>
      </c>
      <c r="B93" s="4" t="s">
        <v>154</v>
      </c>
      <c r="C93" s="5" t="s">
        <v>155</v>
      </c>
      <c r="D93" s="4" t="s">
        <v>13</v>
      </c>
      <c r="E93" s="6" t="n">
        <f aca="false">Detalle!B1447</f>
        <v>0.165257084333858</v>
      </c>
      <c r="F93" s="7" t="str">
        <f aca="false">Detalle!D1447</f>
        <v>RECHAZAR</v>
      </c>
      <c r="G93" s="8" t="n">
        <v>1</v>
      </c>
      <c r="H93" s="9" t="n">
        <v>3.77</v>
      </c>
      <c r="I93" s="10" t="str">
        <f aca="false">IF(Detalle!B1447="","Falta PC real",IF(Detalle!B1447&gt;=Detalle!$G$1,"OK · registrar",IF(Detalle!B1447&gt;=0.2,"Revisar margen","Revisar PC/PV")))</f>
        <v>Revisar PC/PV</v>
      </c>
    </row>
    <row r="94" customFormat="false" ht="15" hidden="false" customHeight="false" outlineLevel="0" collapsed="false">
      <c r="A94" s="4" t="n">
        <v>8677</v>
      </c>
      <c r="B94" s="4" t="s">
        <v>156</v>
      </c>
      <c r="C94" s="5" t="s">
        <v>157</v>
      </c>
      <c r="D94" s="4" t="s">
        <v>13</v>
      </c>
      <c r="E94" s="6" t="n">
        <f aca="false">Detalle!B1461</f>
        <v>0.205493929165018</v>
      </c>
      <c r="F94" s="7" t="str">
        <f aca="false">Detalle!D1461</f>
        <v>REVISAR</v>
      </c>
      <c r="G94" s="8" t="n">
        <v>1</v>
      </c>
      <c r="H94" s="9" t="n">
        <v>3.17</v>
      </c>
      <c r="I94" s="10" t="str">
        <f aca="false">IF(Detalle!B1461="","Falta PC real",IF(Detalle!B1461&gt;=Detalle!$G$1,"OK · registrar",IF(Detalle!B1461&gt;=0.2,"Revisar margen","Revisar PC/PV")))</f>
        <v>Revisar margen</v>
      </c>
    </row>
    <row r="95" customFormat="false" ht="15" hidden="false" customHeight="false" outlineLevel="0" collapsed="false">
      <c r="A95" s="4" t="n">
        <v>8678</v>
      </c>
      <c r="B95" s="4" t="s">
        <v>158</v>
      </c>
      <c r="C95" s="5" t="s">
        <v>159</v>
      </c>
      <c r="D95" s="4" t="s">
        <v>13</v>
      </c>
      <c r="E95" s="6" t="n">
        <f aca="false">Detalle!B1475</f>
        <v>0.195027105230609</v>
      </c>
      <c r="F95" s="7" t="str">
        <f aca="false">Detalle!D1475</f>
        <v>RECHAZAR</v>
      </c>
      <c r="G95" s="8" t="n">
        <v>1</v>
      </c>
      <c r="H95" s="9" t="n">
        <v>3.07</v>
      </c>
      <c r="I95" s="10" t="str">
        <f aca="false">IF(Detalle!B1475="","Falta PC real",IF(Detalle!B1475&gt;=Detalle!$G$1,"OK · registrar",IF(Detalle!B1475&gt;=0.2,"Revisar margen","Revisar PC/PV")))</f>
        <v>Revisar PC/PV</v>
      </c>
    </row>
    <row r="96" customFormat="false" ht="15" hidden="false" customHeight="false" outlineLevel="0" collapsed="false">
      <c r="A96" s="4" t="n">
        <v>8679</v>
      </c>
      <c r="B96" s="4" t="s">
        <v>160</v>
      </c>
      <c r="C96" s="5" t="s">
        <v>161</v>
      </c>
      <c r="D96" s="4" t="s">
        <v>13</v>
      </c>
      <c r="E96" s="6" t="n">
        <f aca="false">Detalle!B1489</f>
        <v>0.140129333469666</v>
      </c>
      <c r="F96" s="7" t="str">
        <f aca="false">Detalle!D1489</f>
        <v>RECHAZAR</v>
      </c>
      <c r="G96" s="8" t="n">
        <v>1</v>
      </c>
      <c r="H96" s="9" t="n">
        <v>3.15</v>
      </c>
      <c r="I96" s="10" t="str">
        <f aca="false">IF(Detalle!B1489="","Falta PC real",IF(Detalle!B1489&gt;=Detalle!$G$1,"OK · registrar",IF(Detalle!B1489&gt;=0.2,"Revisar margen","Revisar PC/PV")))</f>
        <v>Revisar PC/PV</v>
      </c>
    </row>
    <row r="97" customFormat="false" ht="15" hidden="false" customHeight="false" outlineLevel="0" collapsed="false">
      <c r="A97" s="4" t="n">
        <v>8680</v>
      </c>
      <c r="B97" s="4" t="s">
        <v>162</v>
      </c>
      <c r="C97" s="5" t="s">
        <v>163</v>
      </c>
      <c r="D97" s="4" t="s">
        <v>164</v>
      </c>
      <c r="E97" s="6" t="n">
        <f aca="false">Detalle!B1503</f>
        <v>-0.0444785080766907</v>
      </c>
      <c r="F97" s="7" t="str">
        <f aca="false">Detalle!D1503</f>
        <v>RECHAZAR</v>
      </c>
      <c r="G97" s="5"/>
      <c r="H97" s="5"/>
      <c r="I97" s="10" t="str">
        <f aca="false">IF(Detalle!B1503="","Falta PC real",IF(Detalle!B1503&gt;=Detalle!$G$1,"OK · registrar",IF(Detalle!B1503&gt;=0.2,"Revisar margen","Revisar PC/PV")))</f>
        <v>Revisar PC/PV</v>
      </c>
    </row>
    <row r="98" customFormat="false" ht="15" hidden="false" customHeight="false" outlineLevel="0" collapsed="false">
      <c r="A98" s="4" t="n">
        <v>8681</v>
      </c>
      <c r="B98" s="4" t="s">
        <v>165</v>
      </c>
      <c r="C98" s="5" t="s">
        <v>157</v>
      </c>
      <c r="D98" s="4" t="s">
        <v>164</v>
      </c>
      <c r="E98" s="6" t="n">
        <f aca="false">Detalle!B1517</f>
        <v>-0.0912323278764123</v>
      </c>
      <c r="F98" s="7" t="str">
        <f aca="false">Detalle!D1517</f>
        <v>RECHAZAR</v>
      </c>
      <c r="G98" s="8" t="n">
        <v>1</v>
      </c>
      <c r="H98" s="9" t="n">
        <v>1.22</v>
      </c>
      <c r="I98" s="10" t="str">
        <f aca="false">IF(Detalle!B1517="","Falta PC real",IF(Detalle!B1517&gt;=Detalle!$G$1,"OK · registrar",IF(Detalle!B1517&gt;=0.2,"Revisar margen","Revisar PC/PV")))</f>
        <v>Revisar PC/PV</v>
      </c>
    </row>
    <row r="99" customFormat="false" ht="15" hidden="false" customHeight="false" outlineLevel="0" collapsed="false">
      <c r="A99" s="4" t="n">
        <v>8682</v>
      </c>
      <c r="B99" s="4" t="s">
        <v>166</v>
      </c>
      <c r="C99" s="5" t="s">
        <v>91</v>
      </c>
      <c r="D99" s="4" t="s">
        <v>13</v>
      </c>
      <c r="E99" s="6" t="n">
        <f aca="false">Detalle!B1531</f>
        <v>0.192007756920762</v>
      </c>
      <c r="F99" s="7" t="str">
        <f aca="false">Detalle!D1531</f>
        <v>RECHAZAR</v>
      </c>
      <c r="G99" s="8" t="n">
        <v>1</v>
      </c>
      <c r="H99" s="9" t="n">
        <v>3.47</v>
      </c>
      <c r="I99" s="10" t="str">
        <f aca="false">IF(Detalle!B1531="","Falta PC real",IF(Detalle!B1531&gt;=Detalle!$G$1,"OK · registrar",IF(Detalle!B1531&gt;=0.2,"Revisar margen","Revisar PC/PV")))</f>
        <v>Revisar PC/PV</v>
      </c>
    </row>
    <row r="100" customFormat="false" ht="15" hidden="false" customHeight="false" outlineLevel="0" collapsed="false">
      <c r="A100" s="4" t="n">
        <v>8683</v>
      </c>
      <c r="B100" s="4" t="s">
        <v>167</v>
      </c>
      <c r="C100" s="5" t="s">
        <v>168</v>
      </c>
      <c r="D100" s="4" t="s">
        <v>13</v>
      </c>
      <c r="E100" s="6" t="n">
        <f aca="false">Detalle!B1545</f>
        <v>0.209811025467246</v>
      </c>
      <c r="F100" s="7" t="str">
        <f aca="false">Detalle!D1545</f>
        <v>REVISAR</v>
      </c>
      <c r="G100" s="8" t="n">
        <v>1</v>
      </c>
      <c r="H100" s="9" t="n">
        <v>3.75</v>
      </c>
      <c r="I100" s="10" t="str">
        <f aca="false">IF(Detalle!B1545="","Falta PC real",IF(Detalle!B1545&gt;=Detalle!$G$1,"OK · registrar",IF(Detalle!B1545&gt;=0.2,"Revisar margen","Revisar PC/PV")))</f>
        <v>Revisar margen</v>
      </c>
    </row>
    <row r="101" customFormat="false" ht="15" hidden="false" customHeight="false" outlineLevel="0" collapsed="false">
      <c r="A101" s="4" t="n">
        <v>8685</v>
      </c>
      <c r="B101" s="4" t="s">
        <v>169</v>
      </c>
      <c r="C101" s="5" t="s">
        <v>170</v>
      </c>
      <c r="D101" s="4" t="s">
        <v>13</v>
      </c>
      <c r="E101" s="6" t="n">
        <f aca="false">Detalle!B1559</f>
        <v>0.0937013902748413</v>
      </c>
      <c r="F101" s="7" t="str">
        <f aca="false">Detalle!D1559</f>
        <v>RECHAZAR</v>
      </c>
      <c r="G101" s="8" t="n">
        <v>1</v>
      </c>
      <c r="H101" s="9" t="n">
        <v>1.24</v>
      </c>
      <c r="I101" s="10" t="str">
        <f aca="false">IF(Detalle!B1559="","Falta PC real",IF(Detalle!B1559&gt;=Detalle!$G$1,"OK · registrar",IF(Detalle!B1559&gt;=0.2,"Revisar margen","Revisar PC/PV")))</f>
        <v>Revisar PC/PV</v>
      </c>
    </row>
    <row r="102" customFormat="false" ht="15" hidden="false" customHeight="false" outlineLevel="0" collapsed="false">
      <c r="A102" s="4" t="n">
        <v>8686</v>
      </c>
      <c r="B102" s="4" t="s">
        <v>171</v>
      </c>
      <c r="C102" s="5" t="s">
        <v>172</v>
      </c>
      <c r="D102" s="4" t="s">
        <v>13</v>
      </c>
      <c r="E102" s="6" t="n">
        <f aca="false">Detalle!B1573</f>
        <v>0.109408552021467</v>
      </c>
      <c r="F102" s="7" t="str">
        <f aca="false">Detalle!D1573</f>
        <v>RECHAZAR</v>
      </c>
      <c r="G102" s="8" t="n">
        <v>1</v>
      </c>
      <c r="H102" s="9" t="n">
        <v>2.17</v>
      </c>
      <c r="I102" s="10" t="str">
        <f aca="false">IF(Detalle!B1573="","Falta PC real",IF(Detalle!B1573&gt;=Detalle!$G$1,"OK · registrar",IF(Detalle!B1573&gt;=0.2,"Revisar margen","Revisar PC/PV")))</f>
        <v>Revisar PC/PV</v>
      </c>
    </row>
    <row r="103" customFormat="false" ht="15" hidden="false" customHeight="false" outlineLevel="0" collapsed="false">
      <c r="A103" s="4" t="n">
        <v>8687</v>
      </c>
      <c r="B103" s="4" t="s">
        <v>173</v>
      </c>
      <c r="C103" s="5" t="s">
        <v>174</v>
      </c>
      <c r="D103" s="4" t="s">
        <v>13</v>
      </c>
      <c r="E103" s="6" t="n">
        <f aca="false">Detalle!B1587</f>
        <v>0.187186275223214</v>
      </c>
      <c r="F103" s="7" t="str">
        <f aca="false">Detalle!D1587</f>
        <v>RECHAZAR</v>
      </c>
      <c r="G103" s="8" t="n">
        <v>1</v>
      </c>
      <c r="H103" s="9" t="n">
        <v>-2.42</v>
      </c>
      <c r="I103" s="10" t="str">
        <f aca="false">IF(Detalle!B1587="","Falta PC real",IF(Detalle!B1587&gt;=Detalle!$G$1,"OK · registrar",IF(Detalle!B1587&gt;=0.2,"Revisar margen","Revisar PC/PV")))</f>
        <v>Revisar PC/PV</v>
      </c>
    </row>
    <row r="104" customFormat="false" ht="15" hidden="false" customHeight="false" outlineLevel="0" collapsed="false">
      <c r="A104" s="4" t="n">
        <v>8688</v>
      </c>
      <c r="B104" s="4" t="s">
        <v>175</v>
      </c>
      <c r="C104" s="5" t="s">
        <v>176</v>
      </c>
      <c r="D104" s="4" t="s">
        <v>13</v>
      </c>
      <c r="E104" s="6" t="n">
        <f aca="false">Detalle!B1601</f>
        <v>0.0744185098381071</v>
      </c>
      <c r="F104" s="7" t="str">
        <f aca="false">Detalle!D1601</f>
        <v>RECHAZAR</v>
      </c>
      <c r="G104" s="8" t="n">
        <v>1</v>
      </c>
      <c r="H104" s="9" t="n">
        <v>2.19</v>
      </c>
      <c r="I104" s="10" t="str">
        <f aca="false">IF(Detalle!B1601="","Falta PC real",IF(Detalle!B1601&gt;=Detalle!$G$1,"OK · registrar",IF(Detalle!B1601&gt;=0.2,"Revisar margen","Revisar PC/PV")))</f>
        <v>Revisar PC/PV</v>
      </c>
    </row>
    <row r="105" customFormat="false" ht="15" hidden="false" customHeight="false" outlineLevel="0" collapsed="false">
      <c r="A105" s="4" t="n">
        <v>8689</v>
      </c>
      <c r="B105" s="4" t="s">
        <v>177</v>
      </c>
      <c r="C105" s="5" t="s">
        <v>178</v>
      </c>
      <c r="D105" s="4" t="s">
        <v>164</v>
      </c>
      <c r="E105" s="6" t="n">
        <f aca="false">Detalle!B1615</f>
        <v>0.0623899404148545</v>
      </c>
      <c r="F105" s="7" t="str">
        <f aca="false">Detalle!D1615</f>
        <v>RECHAZAR</v>
      </c>
      <c r="G105" s="8" t="n">
        <v>1</v>
      </c>
      <c r="H105" s="9" t="n">
        <v>-0.04</v>
      </c>
      <c r="I105" s="10" t="str">
        <f aca="false">IF(Detalle!B1615="","Falta PC real",IF(Detalle!B1615&gt;=Detalle!$G$1,"OK · registrar",IF(Detalle!B1615&gt;=0.2,"Revisar margen","Revisar PC/PV")))</f>
        <v>Revisar PC/PV</v>
      </c>
    </row>
    <row r="106" customFormat="false" ht="15" hidden="false" customHeight="false" outlineLevel="0" collapsed="false">
      <c r="A106" s="4" t="n">
        <v>8690</v>
      </c>
      <c r="B106" s="4" t="s">
        <v>179</v>
      </c>
      <c r="C106" s="5" t="s">
        <v>180</v>
      </c>
      <c r="D106" s="4" t="s">
        <v>13</v>
      </c>
      <c r="E106" s="6" t="n">
        <f aca="false">Detalle!B1634</f>
        <v>0.152944879655511</v>
      </c>
      <c r="F106" s="7" t="str">
        <f aca="false">Detalle!D1634</f>
        <v>RECHAZAR</v>
      </c>
      <c r="G106" s="8" t="n">
        <v>1</v>
      </c>
      <c r="H106" s="9" t="n">
        <v>1.71</v>
      </c>
      <c r="I106" s="10" t="str">
        <f aca="false">IF(Detalle!B1634="","Falta PC real",IF(Detalle!B1634&gt;=Detalle!$G$1,"OK · registrar",IF(Detalle!B1634&gt;=0.2,"Revisar margen","Revisar PC/PV")))</f>
        <v>Revisar PC/PV</v>
      </c>
    </row>
    <row r="107" customFormat="false" ht="15" hidden="false" customHeight="false" outlineLevel="0" collapsed="false">
      <c r="A107" s="4" t="n">
        <v>8692</v>
      </c>
      <c r="B107" s="4" t="s">
        <v>181</v>
      </c>
      <c r="C107" s="5" t="s">
        <v>182</v>
      </c>
      <c r="D107" s="4" t="s">
        <v>164</v>
      </c>
      <c r="E107" s="6" t="n">
        <f aca="false">Detalle!B1648</f>
        <v>0.116867320307988</v>
      </c>
      <c r="F107" s="7" t="str">
        <f aca="false">Detalle!D1648</f>
        <v>RECHAZAR</v>
      </c>
      <c r="G107" s="8" t="n">
        <v>1</v>
      </c>
      <c r="H107" s="9" t="n">
        <v>1.27</v>
      </c>
      <c r="I107" s="10" t="str">
        <f aca="false">IF(Detalle!B1648="","Falta PC real",IF(Detalle!B1648&gt;=Detalle!$G$1,"OK · registrar",IF(Detalle!B1648&gt;=0.2,"Revisar margen","Revisar PC/PV")))</f>
        <v>Revisar PC/PV</v>
      </c>
    </row>
    <row r="108" customFormat="false" ht="15" hidden="false" customHeight="false" outlineLevel="0" collapsed="false">
      <c r="A108" s="4" t="n">
        <v>8693</v>
      </c>
      <c r="B108" s="4" t="s">
        <v>183</v>
      </c>
      <c r="C108" s="5" t="s">
        <v>182</v>
      </c>
      <c r="D108" s="4" t="s">
        <v>13</v>
      </c>
      <c r="E108" s="6" t="n">
        <f aca="false">Detalle!B1662</f>
        <v>0.110227364940694</v>
      </c>
      <c r="F108" s="7" t="str">
        <f aca="false">Detalle!D1662</f>
        <v>RECHAZAR</v>
      </c>
      <c r="G108" s="8" t="n">
        <v>1</v>
      </c>
      <c r="H108" s="9" t="n">
        <v>1.2</v>
      </c>
      <c r="I108" s="10" t="str">
        <f aca="false">IF(Detalle!B1662="","Falta PC real",IF(Detalle!B1662&gt;=Detalle!$G$1,"OK · registrar",IF(Detalle!B1662&gt;=0.2,"Revisar margen","Revisar PC/PV")))</f>
        <v>Revisar PC/PV</v>
      </c>
    </row>
    <row r="109" customFormat="false" ht="15" hidden="false" customHeight="false" outlineLevel="0" collapsed="false">
      <c r="A109" s="4" t="n">
        <v>8694</v>
      </c>
      <c r="B109" s="4" t="s">
        <v>184</v>
      </c>
      <c r="C109" s="5" t="s">
        <v>185</v>
      </c>
      <c r="D109" s="4" t="s">
        <v>13</v>
      </c>
      <c r="E109" s="6" t="n">
        <f aca="false">Detalle!B1676</f>
        <v>0.159946768999177</v>
      </c>
      <c r="F109" s="7" t="str">
        <f aca="false">Detalle!D1676</f>
        <v>RECHAZAR</v>
      </c>
      <c r="G109" s="8" t="n">
        <v>1</v>
      </c>
      <c r="H109" s="9" t="n">
        <v>1.77</v>
      </c>
      <c r="I109" s="10" t="str">
        <f aca="false">IF(Detalle!B1676="","Falta PC real",IF(Detalle!B1676&gt;=Detalle!$G$1,"OK · registrar",IF(Detalle!B1676&gt;=0.2,"Revisar margen","Revisar PC/PV")))</f>
        <v>Revisar PC/PV</v>
      </c>
    </row>
    <row r="110" customFormat="false" ht="15" hidden="false" customHeight="false" outlineLevel="0" collapsed="false">
      <c r="A110" s="4" t="n">
        <v>8695</v>
      </c>
      <c r="B110" s="4" t="s">
        <v>186</v>
      </c>
      <c r="C110" s="5" t="s">
        <v>187</v>
      </c>
      <c r="D110" s="4" t="s">
        <v>13</v>
      </c>
      <c r="E110" s="6" t="n">
        <f aca="false">Detalle!B1690</f>
        <v>0.0630986790507365</v>
      </c>
      <c r="F110" s="7" t="str">
        <f aca="false">Detalle!D1690</f>
        <v>RECHAZAR</v>
      </c>
      <c r="G110" s="8" t="n">
        <v>1</v>
      </c>
      <c r="H110" s="9" t="n">
        <v>1.43</v>
      </c>
      <c r="I110" s="10" t="str">
        <f aca="false">IF(Detalle!B1690="","Falta PC real",IF(Detalle!B1690&gt;=Detalle!$G$1,"OK · registrar",IF(Detalle!B1690&gt;=0.2,"Revisar margen","Revisar PC/PV")))</f>
        <v>Revisar PC/PV</v>
      </c>
    </row>
    <row r="111" customFormat="false" ht="15" hidden="false" customHeight="false" outlineLevel="0" collapsed="false">
      <c r="A111" s="4" t="n">
        <v>8696</v>
      </c>
      <c r="B111" s="4" t="s">
        <v>188</v>
      </c>
      <c r="C111" s="5" t="s">
        <v>189</v>
      </c>
      <c r="D111" s="4" t="s">
        <v>13</v>
      </c>
      <c r="E111" s="6" t="n">
        <f aca="false">Detalle!B1704</f>
        <v>0.0341464438877756</v>
      </c>
      <c r="F111" s="7" t="str">
        <f aca="false">Detalle!D1704</f>
        <v>RECHAZAR</v>
      </c>
      <c r="G111" s="8" t="n">
        <v>1</v>
      </c>
      <c r="H111" s="9" t="n">
        <v>1.01</v>
      </c>
      <c r="I111" s="10" t="str">
        <f aca="false">IF(Detalle!B1704="","Falta PC real",IF(Detalle!B1704&gt;=Detalle!$G$1,"OK · registrar",IF(Detalle!B1704&gt;=0.2,"Revisar margen","Revisar PC/PV")))</f>
        <v>Revisar PC/PV</v>
      </c>
    </row>
    <row r="112" customFormat="false" ht="15" hidden="false" customHeight="false" outlineLevel="0" collapsed="false">
      <c r="A112" s="4" t="n">
        <v>8697</v>
      </c>
      <c r="B112" s="4" t="s">
        <v>190</v>
      </c>
      <c r="C112" s="5" t="s">
        <v>191</v>
      </c>
      <c r="D112" s="4" t="s">
        <v>13</v>
      </c>
      <c r="E112" s="6" t="n">
        <f aca="false">Detalle!B1718</f>
        <v>0.160364740239779</v>
      </c>
      <c r="F112" s="7" t="str">
        <f aca="false">Detalle!D1718</f>
        <v>RECHAZAR</v>
      </c>
      <c r="G112" s="8" t="n">
        <v>1</v>
      </c>
      <c r="H112" s="9" t="n">
        <v>-0.06</v>
      </c>
      <c r="I112" s="10" t="str">
        <f aca="false">IF(Detalle!B1718="","Falta PC real",IF(Detalle!B1718&gt;=Detalle!$G$1,"OK · registrar",IF(Detalle!B1718&gt;=0.2,"Revisar margen","Revisar PC/PV")))</f>
        <v>Revisar PC/PV</v>
      </c>
    </row>
    <row r="113" customFormat="false" ht="15" hidden="false" customHeight="false" outlineLevel="0" collapsed="false">
      <c r="A113" s="4" t="n">
        <v>8698</v>
      </c>
      <c r="B113" s="4" t="s">
        <v>192</v>
      </c>
      <c r="C113" s="5" t="s">
        <v>193</v>
      </c>
      <c r="D113" s="4" t="s">
        <v>13</v>
      </c>
      <c r="E113" s="6" t="n">
        <f aca="false">Detalle!B1732</f>
        <v>0.116646477873551</v>
      </c>
      <c r="F113" s="7" t="str">
        <f aca="false">Detalle!D1732</f>
        <v>RECHAZAR</v>
      </c>
      <c r="G113" s="8" t="n">
        <v>1</v>
      </c>
      <c r="H113" s="9" t="n">
        <v>1.93</v>
      </c>
      <c r="I113" s="10" t="str">
        <f aca="false">IF(Detalle!B1732="","Falta PC real",IF(Detalle!B1732&gt;=Detalle!$G$1,"OK · registrar",IF(Detalle!B1732&gt;=0.2,"Revisar margen","Revisar PC/PV")))</f>
        <v>Revisar PC/PV</v>
      </c>
    </row>
    <row r="114" customFormat="false" ht="15" hidden="false" customHeight="false" outlineLevel="0" collapsed="false">
      <c r="A114" s="4" t="n">
        <v>8702</v>
      </c>
      <c r="B114" s="4" t="s">
        <v>194</v>
      </c>
      <c r="C114" s="5" t="s">
        <v>195</v>
      </c>
      <c r="D114" s="4" t="s">
        <v>13</v>
      </c>
      <c r="E114" s="6" t="n">
        <f aca="false">Detalle!B1751</f>
        <v>0.142999509169614</v>
      </c>
      <c r="F114" s="7" t="str">
        <f aca="false">Detalle!D1751</f>
        <v>RECHAZAR</v>
      </c>
      <c r="G114" s="8" t="n">
        <v>1</v>
      </c>
      <c r="H114" s="9" t="n">
        <v>1.42</v>
      </c>
      <c r="I114" s="10" t="str">
        <f aca="false">IF(Detalle!B1751="","Falta PC real",IF(Detalle!B1751&gt;=Detalle!$G$1,"OK · registrar",IF(Detalle!B1751&gt;=0.2,"Revisar margen","Revisar PC/PV")))</f>
        <v>Revisar PC/PV</v>
      </c>
    </row>
    <row r="115" customFormat="false" ht="15" hidden="false" customHeight="false" outlineLevel="0" collapsed="false">
      <c r="A115" s="4" t="n">
        <v>8703</v>
      </c>
      <c r="B115" s="4" t="s">
        <v>196</v>
      </c>
      <c r="C115" s="5" t="s">
        <v>197</v>
      </c>
      <c r="D115" s="4" t="s">
        <v>13</v>
      </c>
      <c r="E115" s="6" t="n">
        <f aca="false">Detalle!B1765</f>
        <v>0.135759027232785</v>
      </c>
      <c r="F115" s="7" t="str">
        <f aca="false">Detalle!D1765</f>
        <v>RECHAZAR</v>
      </c>
      <c r="G115" s="8" t="n">
        <v>1</v>
      </c>
      <c r="H115" s="9" t="n">
        <v>1.48</v>
      </c>
      <c r="I115" s="10" t="str">
        <f aca="false">IF(Detalle!B1765="","Falta PC real",IF(Detalle!B1765&gt;=Detalle!$G$1,"OK · registrar",IF(Detalle!B1765&gt;=0.2,"Revisar margen","Revisar PC/PV")))</f>
        <v>Revisar PC/PV</v>
      </c>
    </row>
    <row r="116" customFormat="false" ht="15" hidden="false" customHeight="false" outlineLevel="0" collapsed="false">
      <c r="A116" s="4" t="n">
        <v>8704</v>
      </c>
      <c r="B116" s="4" t="s">
        <v>198</v>
      </c>
      <c r="C116" s="5" t="s">
        <v>199</v>
      </c>
      <c r="D116" s="4" t="s">
        <v>13</v>
      </c>
      <c r="E116" s="6" t="n">
        <f aca="false">Detalle!B1779</f>
        <v>0.120665456450839</v>
      </c>
      <c r="F116" s="7" t="str">
        <f aca="false">Detalle!D1779</f>
        <v>RECHAZAR</v>
      </c>
      <c r="G116" s="8" t="n">
        <v>1</v>
      </c>
      <c r="H116" s="9" t="n">
        <v>1.75</v>
      </c>
      <c r="I116" s="10" t="str">
        <f aca="false">IF(Detalle!B1779="","Falta PC real",IF(Detalle!B1779&gt;=Detalle!$G$1,"OK · registrar",IF(Detalle!B1779&gt;=0.2,"Revisar margen","Revisar PC/PV")))</f>
        <v>Revisar PC/PV</v>
      </c>
    </row>
    <row r="117" customFormat="false" ht="15" hidden="false" customHeight="false" outlineLevel="0" collapsed="false">
      <c r="A117" s="4" t="n">
        <v>8706</v>
      </c>
      <c r="B117" s="4" t="s">
        <v>200</v>
      </c>
      <c r="C117" s="5" t="s">
        <v>201</v>
      </c>
      <c r="D117" s="4" t="s">
        <v>13</v>
      </c>
      <c r="E117" s="6" t="n">
        <f aca="false">Detalle!B1793</f>
        <v>0.0412018384492725</v>
      </c>
      <c r="F117" s="7" t="str">
        <f aca="false">Detalle!D1793</f>
        <v>RECHAZAR</v>
      </c>
      <c r="G117" s="8" t="n">
        <v>1</v>
      </c>
      <c r="H117" s="9" t="n">
        <v>0.61</v>
      </c>
      <c r="I117" s="10" t="str">
        <f aca="false">IF(Detalle!B1793="","Falta PC real",IF(Detalle!B1793&gt;=Detalle!$G$1,"OK · registrar",IF(Detalle!B1793&gt;=0.2,"Revisar margen","Revisar PC/PV")))</f>
        <v>Revisar PC/PV</v>
      </c>
    </row>
    <row r="118" customFormat="false" ht="15" hidden="false" customHeight="false" outlineLevel="0" collapsed="false">
      <c r="A118" s="4" t="n">
        <v>8707</v>
      </c>
      <c r="B118" s="4" t="s">
        <v>202</v>
      </c>
      <c r="C118" s="5" t="s">
        <v>203</v>
      </c>
      <c r="D118" s="4" t="s">
        <v>13</v>
      </c>
      <c r="E118" s="6" t="n">
        <f aca="false">Detalle!B1807</f>
        <v>0.113183861732548</v>
      </c>
      <c r="F118" s="7" t="str">
        <f aca="false">Detalle!D1807</f>
        <v>RECHAZAR</v>
      </c>
      <c r="G118" s="8" t="n">
        <v>1</v>
      </c>
      <c r="H118" s="9" t="n">
        <v>0.65</v>
      </c>
      <c r="I118" s="10" t="str">
        <f aca="false">IF(Detalle!B1807="","Falta PC real",IF(Detalle!B1807&gt;=Detalle!$G$1,"OK · registrar",IF(Detalle!B1807&gt;=0.2,"Revisar margen","Revisar PC/PV")))</f>
        <v>Revisar PC/PV</v>
      </c>
    </row>
    <row r="119" customFormat="false" ht="15" hidden="false" customHeight="false" outlineLevel="0" collapsed="false">
      <c r="A119" s="4" t="n">
        <v>8708</v>
      </c>
      <c r="B119" s="4" t="s">
        <v>204</v>
      </c>
      <c r="C119" s="5" t="s">
        <v>205</v>
      </c>
      <c r="D119" s="4" t="s">
        <v>13</v>
      </c>
      <c r="E119" s="6" t="n">
        <f aca="false">Detalle!B1821</f>
        <v>-0.0877121302263495</v>
      </c>
      <c r="F119" s="7" t="str">
        <f aca="false">Detalle!D1821</f>
        <v>RECHAZAR</v>
      </c>
      <c r="G119" s="8" t="n">
        <v>1</v>
      </c>
      <c r="H119" s="9" t="n">
        <v>0.57</v>
      </c>
      <c r="I119" s="10" t="str">
        <f aca="false">IF(Detalle!B1821="","Falta PC real",IF(Detalle!B1821&gt;=Detalle!$G$1,"OK · registrar",IF(Detalle!B1821&gt;=0.2,"Revisar margen","Revisar PC/PV")))</f>
        <v>Revisar PC/PV</v>
      </c>
    </row>
    <row r="120" customFormat="false" ht="15" hidden="false" customHeight="false" outlineLevel="0" collapsed="false">
      <c r="A120" s="4" t="n">
        <v>8709</v>
      </c>
      <c r="B120" s="4" t="s">
        <v>206</v>
      </c>
      <c r="C120" s="5" t="s">
        <v>207</v>
      </c>
      <c r="D120" s="4" t="s">
        <v>13</v>
      </c>
      <c r="E120" s="6" t="n">
        <f aca="false">Detalle!B1835</f>
        <v>0.149531369958391</v>
      </c>
      <c r="F120" s="7" t="str">
        <f aca="false">Detalle!D1835</f>
        <v>RECHAZAR</v>
      </c>
      <c r="G120" s="8" t="n">
        <v>1</v>
      </c>
      <c r="H120" s="9" t="n">
        <v>1.23</v>
      </c>
      <c r="I120" s="10" t="str">
        <f aca="false">IF(Detalle!B1835="","Falta PC real",IF(Detalle!B1835&gt;=Detalle!$G$1,"OK · registrar",IF(Detalle!B1835&gt;=0.2,"Revisar margen","Revisar PC/PV")))</f>
        <v>Revisar PC/PV</v>
      </c>
    </row>
    <row r="121" customFormat="false" ht="15" hidden="false" customHeight="false" outlineLevel="0" collapsed="false">
      <c r="A121" s="4" t="n">
        <v>8710</v>
      </c>
      <c r="B121" s="4" t="s">
        <v>208</v>
      </c>
      <c r="C121" s="5" t="s">
        <v>207</v>
      </c>
      <c r="D121" s="4" t="s">
        <v>13</v>
      </c>
      <c r="E121" s="6" t="n">
        <f aca="false">Detalle!B1849</f>
        <v>0.111901420533881</v>
      </c>
      <c r="F121" s="7" t="str">
        <f aca="false">Detalle!D1849</f>
        <v>RECHAZAR</v>
      </c>
      <c r="G121" s="8" t="n">
        <v>1</v>
      </c>
      <c r="H121" s="9" t="n">
        <v>1</v>
      </c>
      <c r="I121" s="10" t="str">
        <f aca="false">IF(Detalle!B1849="","Falta PC real",IF(Detalle!B1849&gt;=Detalle!$G$1,"OK · registrar",IF(Detalle!B1849&gt;=0.2,"Revisar margen","Revisar PC/PV")))</f>
        <v>Revisar PC/PV</v>
      </c>
    </row>
    <row r="122" customFormat="false" ht="15" hidden="false" customHeight="false" outlineLevel="0" collapsed="false">
      <c r="A122" s="4" t="n">
        <v>8711</v>
      </c>
      <c r="B122" s="4" t="s">
        <v>39</v>
      </c>
      <c r="C122" s="5" t="s">
        <v>40</v>
      </c>
      <c r="D122" s="4" t="s">
        <v>13</v>
      </c>
      <c r="E122" s="6" t="n">
        <f aca="false">Detalle!B1863</f>
        <v>0.0984627675844805</v>
      </c>
      <c r="F122" s="7" t="str">
        <f aca="false">Detalle!D1863</f>
        <v>RECHAZAR</v>
      </c>
      <c r="G122" s="8" t="n">
        <v>1</v>
      </c>
      <c r="H122" s="9" t="n">
        <v>0.86</v>
      </c>
      <c r="I122" s="10" t="str">
        <f aca="false">IF(Detalle!B1863="","Falta PC real",IF(Detalle!B1863&gt;=Detalle!$G$1,"OK · registrar",IF(Detalle!B1863&gt;=0.2,"Revisar margen","Revisar PC/PV")))</f>
        <v>Revisar PC/PV</v>
      </c>
    </row>
    <row r="123" customFormat="false" ht="15" hidden="false" customHeight="false" outlineLevel="0" collapsed="false">
      <c r="A123" s="4" t="n">
        <v>8712</v>
      </c>
      <c r="B123" s="4" t="s">
        <v>209</v>
      </c>
      <c r="C123" s="5" t="s">
        <v>210</v>
      </c>
      <c r="D123" s="4" t="s">
        <v>13</v>
      </c>
      <c r="E123" s="6" t="n">
        <f aca="false">Detalle!B1877</f>
        <v>0.129074312920665</v>
      </c>
      <c r="F123" s="7" t="str">
        <f aca="false">Detalle!D1877</f>
        <v>RECHAZAR</v>
      </c>
      <c r="G123" s="8" t="n">
        <v>1</v>
      </c>
      <c r="H123" s="9" t="n">
        <v>1.39</v>
      </c>
      <c r="I123" s="10" t="str">
        <f aca="false">IF(Detalle!B1877="","Falta PC real",IF(Detalle!B1877&gt;=Detalle!$G$1,"OK · registrar",IF(Detalle!B1877&gt;=0.2,"Revisar margen","Revisar PC/PV")))</f>
        <v>Revisar PC/PV</v>
      </c>
    </row>
    <row r="124" customFormat="false" ht="15" hidden="false" customHeight="false" outlineLevel="0" collapsed="false">
      <c r="A124" s="4" t="n">
        <v>8714</v>
      </c>
      <c r="B124" s="4" t="s">
        <v>211</v>
      </c>
      <c r="C124" s="5" t="s">
        <v>212</v>
      </c>
      <c r="D124" s="4" t="s">
        <v>13</v>
      </c>
      <c r="E124" s="6" t="n">
        <f aca="false">Detalle!B1891</f>
        <v>0.11655173867011</v>
      </c>
      <c r="F124" s="7" t="str">
        <f aca="false">Detalle!D1891</f>
        <v>RECHAZAR</v>
      </c>
      <c r="G124" s="8" t="n">
        <v>1</v>
      </c>
      <c r="H124" s="9" t="n">
        <v>1.21</v>
      </c>
      <c r="I124" s="10" t="str">
        <f aca="false">IF(Detalle!B1891="","Falta PC real",IF(Detalle!B1891&gt;=Detalle!$G$1,"OK · registrar",IF(Detalle!B1891&gt;=0.2,"Revisar margen","Revisar PC/PV")))</f>
        <v>Revisar PC/PV</v>
      </c>
    </row>
    <row r="125" customFormat="false" ht="15" hidden="false" customHeight="false" outlineLevel="0" collapsed="false">
      <c r="A125" s="4" t="n">
        <v>8715</v>
      </c>
      <c r="B125" s="4" t="s">
        <v>213</v>
      </c>
      <c r="C125" s="5" t="s">
        <v>214</v>
      </c>
      <c r="D125" s="4" t="s">
        <v>13</v>
      </c>
      <c r="E125" s="6" t="n">
        <f aca="false">Detalle!B1905</f>
        <v>0.0853203129422939</v>
      </c>
      <c r="F125" s="7" t="str">
        <f aca="false">Detalle!D1905</f>
        <v>RECHAZAR</v>
      </c>
      <c r="G125" s="8" t="n">
        <v>1</v>
      </c>
      <c r="H125" s="9" t="n">
        <v>1.11</v>
      </c>
      <c r="I125" s="10" t="str">
        <f aca="false">IF(Detalle!B1905="","Falta PC real",IF(Detalle!B1905&gt;=Detalle!$G$1,"OK · registrar",IF(Detalle!B1905&gt;=0.2,"Revisar margen","Revisar PC/PV")))</f>
        <v>Revisar PC/PV</v>
      </c>
    </row>
    <row r="126" customFormat="false" ht="15" hidden="false" customHeight="false" outlineLevel="0" collapsed="false">
      <c r="A126" s="4" t="n">
        <v>8716</v>
      </c>
      <c r="B126" s="4" t="s">
        <v>215</v>
      </c>
      <c r="C126" s="5" t="s">
        <v>216</v>
      </c>
      <c r="D126" s="4" t="s">
        <v>13</v>
      </c>
      <c r="E126" s="6" t="n">
        <f aca="false">Detalle!B1919</f>
        <v>0.136350886403837</v>
      </c>
      <c r="F126" s="7" t="str">
        <f aca="false">Detalle!D1919</f>
        <v>RECHAZAR</v>
      </c>
      <c r="G126" s="8" t="n">
        <v>1</v>
      </c>
      <c r="H126" s="9" t="n">
        <v>0.92</v>
      </c>
      <c r="I126" s="10" t="str">
        <f aca="false">IF(Detalle!B1919="","Falta PC real",IF(Detalle!B1919&gt;=Detalle!$G$1,"OK · registrar",IF(Detalle!B1919&gt;=0.2,"Revisar margen","Revisar PC/PV")))</f>
        <v>Revisar PC/PV</v>
      </c>
    </row>
    <row r="127" customFormat="false" ht="15" hidden="false" customHeight="false" outlineLevel="0" collapsed="false">
      <c r="A127" s="4" t="n">
        <v>8717</v>
      </c>
      <c r="B127" s="4" t="s">
        <v>217</v>
      </c>
      <c r="C127" s="5" t="s">
        <v>218</v>
      </c>
      <c r="D127" s="4" t="s">
        <v>13</v>
      </c>
      <c r="E127" s="6" t="n">
        <f aca="false">Detalle!B1933</f>
        <v>0.0879195656111465</v>
      </c>
      <c r="F127" s="7" t="str">
        <f aca="false">Detalle!D1933</f>
        <v>RECHAZAR</v>
      </c>
      <c r="G127" s="8" t="n">
        <v>1</v>
      </c>
      <c r="H127" s="9" t="n">
        <v>0.21</v>
      </c>
      <c r="I127" s="10" t="str">
        <f aca="false">IF(Detalle!B1933="","Falta PC real",IF(Detalle!B1933&gt;=Detalle!$G$1,"OK · registrar",IF(Detalle!B1933&gt;=0.2,"Revisar margen","Revisar PC/PV")))</f>
        <v>Revisar PC/PV</v>
      </c>
    </row>
    <row r="128" customFormat="false" ht="15" hidden="false" customHeight="false" outlineLevel="0" collapsed="false">
      <c r="A128" s="4" t="n">
        <v>8718</v>
      </c>
      <c r="B128" s="4" t="s">
        <v>219</v>
      </c>
      <c r="C128" s="5" t="s">
        <v>220</v>
      </c>
      <c r="D128" s="4" t="s">
        <v>13</v>
      </c>
      <c r="E128" s="6" t="n">
        <f aca="false">Detalle!B1947</f>
        <v>0.126435997610682</v>
      </c>
      <c r="F128" s="7" t="str">
        <f aca="false">Detalle!D1947</f>
        <v>RECHAZAR</v>
      </c>
      <c r="G128" s="8" t="n">
        <v>1</v>
      </c>
      <c r="H128" s="9" t="n">
        <v>0.7</v>
      </c>
      <c r="I128" s="10" t="str">
        <f aca="false">IF(Detalle!B1947="","Falta PC real",IF(Detalle!B1947&gt;=Detalle!$G$1,"OK · registrar",IF(Detalle!B1947&gt;=0.2,"Revisar margen","Revisar PC/PV")))</f>
        <v>Revisar PC/PV</v>
      </c>
    </row>
    <row r="129" customFormat="false" ht="15" hidden="false" customHeight="false" outlineLevel="0" collapsed="false">
      <c r="A129" s="4" t="n">
        <v>8719</v>
      </c>
      <c r="B129" s="4" t="s">
        <v>221</v>
      </c>
      <c r="C129" s="5" t="s">
        <v>222</v>
      </c>
      <c r="D129" s="4" t="s">
        <v>13</v>
      </c>
      <c r="E129" s="6" t="n">
        <f aca="false">Detalle!B1961</f>
        <v>0.116299191209723</v>
      </c>
      <c r="F129" s="7" t="str">
        <f aca="false">Detalle!D1961</f>
        <v>RECHAZAR</v>
      </c>
      <c r="G129" s="8" t="n">
        <v>1</v>
      </c>
      <c r="H129" s="9" t="n">
        <v>0.48</v>
      </c>
      <c r="I129" s="10" t="str">
        <f aca="false">IF(Detalle!B1961="","Falta PC real",IF(Detalle!B1961&gt;=Detalle!$G$1,"OK · registrar",IF(Detalle!B1961&gt;=0.2,"Revisar margen","Revisar PC/PV")))</f>
        <v>Revisar PC/PV</v>
      </c>
    </row>
    <row r="130" customFormat="false" ht="15" hidden="false" customHeight="false" outlineLevel="0" collapsed="false">
      <c r="A130" s="4" t="n">
        <v>8720</v>
      </c>
      <c r="B130" s="4" t="s">
        <v>223</v>
      </c>
      <c r="C130" s="5" t="s">
        <v>224</v>
      </c>
      <c r="D130" s="4" t="s">
        <v>13</v>
      </c>
      <c r="E130" s="6" t="n">
        <f aca="false">Detalle!B1975</f>
        <v>0.115060465752129</v>
      </c>
      <c r="F130" s="7" t="str">
        <f aca="false">Detalle!D1975</f>
        <v>RECHAZAR</v>
      </c>
      <c r="G130" s="8" t="n">
        <v>1</v>
      </c>
      <c r="H130" s="9" t="n">
        <v>0.48</v>
      </c>
      <c r="I130" s="10" t="str">
        <f aca="false">IF(Detalle!B1975="","Falta PC real",IF(Detalle!B1975&gt;=Detalle!$G$1,"OK · registrar",IF(Detalle!B1975&gt;=0.2,"Revisar margen","Revisar PC/PV")))</f>
        <v>Revisar PC/PV</v>
      </c>
    </row>
    <row r="131" customFormat="false" ht="15" hidden="false" customHeight="false" outlineLevel="0" collapsed="false">
      <c r="A131" s="4" t="n">
        <v>8721</v>
      </c>
      <c r="B131" s="4" t="s">
        <v>225</v>
      </c>
      <c r="C131" s="5"/>
      <c r="D131" s="4" t="s">
        <v>13</v>
      </c>
      <c r="E131" s="6" t="n">
        <f aca="false">Detalle!B1989</f>
        <v>1</v>
      </c>
      <c r="F131" s="7" t="str">
        <f aca="false">Detalle!D1989</f>
        <v>APROBAR</v>
      </c>
      <c r="G131" s="8" t="n">
        <v>1</v>
      </c>
      <c r="H131" s="9" t="n">
        <v>1.16</v>
      </c>
      <c r="I131" s="10" t="str">
        <f aca="false">IF(Detalle!B1989="","Falta PC real",IF(Detalle!B1989&gt;=Detalle!$G$1,"OK · registrar",IF(Detalle!B1989&gt;=0.2,"Revisar margen","Revisar PC/PV")))</f>
        <v>OK · registrar</v>
      </c>
    </row>
    <row r="132" customFormat="false" ht="15" hidden="false" customHeight="false" outlineLevel="0" collapsed="false">
      <c r="A132" s="4" t="n">
        <v>8722</v>
      </c>
      <c r="B132" s="4" t="s">
        <v>226</v>
      </c>
      <c r="C132" s="5" t="s">
        <v>227</v>
      </c>
      <c r="D132" s="4" t="s">
        <v>13</v>
      </c>
      <c r="E132" s="6" t="n">
        <f aca="false">Detalle!B2003</f>
        <v>0.102873086135413</v>
      </c>
      <c r="F132" s="7" t="str">
        <f aca="false">Detalle!D2003</f>
        <v>RECHAZAR</v>
      </c>
      <c r="G132" s="8" t="n">
        <v>1</v>
      </c>
      <c r="H132" s="9" t="n">
        <v>0.67</v>
      </c>
      <c r="I132" s="10" t="str">
        <f aca="false">IF(Detalle!B2003="","Falta PC real",IF(Detalle!B2003&gt;=Detalle!$G$1,"OK · registrar",IF(Detalle!B2003&gt;=0.2,"Revisar margen","Revisar PC/PV")))</f>
        <v>Revisar PC/PV</v>
      </c>
    </row>
    <row r="133" customFormat="false" ht="15" hidden="false" customHeight="false" outlineLevel="0" collapsed="false">
      <c r="A133" s="4" t="n">
        <v>8723</v>
      </c>
      <c r="B133" s="4" t="s">
        <v>228</v>
      </c>
      <c r="C133" s="5" t="s">
        <v>229</v>
      </c>
      <c r="D133" s="4" t="s">
        <v>13</v>
      </c>
      <c r="E133" s="6" t="n">
        <f aca="false">Detalle!B2017</f>
        <v>0.106451932651578</v>
      </c>
      <c r="F133" s="7" t="str">
        <f aca="false">Detalle!D2017</f>
        <v>RECHAZAR</v>
      </c>
      <c r="G133" s="8" t="n">
        <v>1</v>
      </c>
      <c r="H133" s="9" t="n">
        <v>0.68</v>
      </c>
      <c r="I133" s="10" t="str">
        <f aca="false">IF(Detalle!B2017="","Falta PC real",IF(Detalle!B2017&gt;=Detalle!$G$1,"OK · registrar",IF(Detalle!B2017&gt;=0.2,"Revisar margen","Revisar PC/PV")))</f>
        <v>Revisar PC/PV</v>
      </c>
    </row>
    <row r="134" customFormat="false" ht="15" hidden="false" customHeight="false" outlineLevel="0" collapsed="false">
      <c r="A134" s="4" t="n">
        <v>8724</v>
      </c>
      <c r="B134" s="4" t="s">
        <v>230</v>
      </c>
      <c r="C134" s="5" t="s">
        <v>231</v>
      </c>
      <c r="D134" s="4" t="s">
        <v>13</v>
      </c>
      <c r="E134" s="6" t="n">
        <f aca="false">Detalle!B2031</f>
        <v>0.0605936175788495</v>
      </c>
      <c r="F134" s="7" t="str">
        <f aca="false">Detalle!D2031</f>
        <v>RECHAZAR</v>
      </c>
      <c r="G134" s="8" t="n">
        <v>1</v>
      </c>
      <c r="H134" s="9" t="n">
        <v>0.65</v>
      </c>
      <c r="I134" s="10" t="str">
        <f aca="false">IF(Detalle!B2031="","Falta PC real",IF(Detalle!B2031&gt;=Detalle!$G$1,"OK · registrar",IF(Detalle!B2031&gt;=0.2,"Revisar margen","Revisar PC/PV")))</f>
        <v>Revisar PC/PV</v>
      </c>
    </row>
    <row r="135" customFormat="false" ht="15" hidden="false" customHeight="false" outlineLevel="0" collapsed="false">
      <c r="A135" s="4" t="n">
        <v>8725</v>
      </c>
      <c r="B135" s="4" t="s">
        <v>232</v>
      </c>
      <c r="C135" s="5" t="s">
        <v>233</v>
      </c>
      <c r="D135" s="4" t="s">
        <v>13</v>
      </c>
      <c r="E135" s="6" t="n">
        <f aca="false">Detalle!B2045</f>
        <v>0.0988004585060182</v>
      </c>
      <c r="F135" s="7" t="str">
        <f aca="false">Detalle!D2045</f>
        <v>RECHAZAR</v>
      </c>
      <c r="G135" s="8" t="n">
        <v>1</v>
      </c>
      <c r="H135" s="9" t="n">
        <v>0.41</v>
      </c>
      <c r="I135" s="10" t="str">
        <f aca="false">IF(Detalle!B2045="","Falta PC real",IF(Detalle!B2045&gt;=Detalle!$G$1,"OK · registrar",IF(Detalle!B2045&gt;=0.2,"Revisar margen","Revisar PC/PV")))</f>
        <v>Revisar PC/PV</v>
      </c>
    </row>
    <row r="136" customFormat="false" ht="15" hidden="false" customHeight="false" outlineLevel="0" collapsed="false">
      <c r="A136" s="4" t="n">
        <v>8726</v>
      </c>
      <c r="B136" s="4" t="s">
        <v>234</v>
      </c>
      <c r="C136" s="5" t="s">
        <v>235</v>
      </c>
      <c r="D136" s="4" t="s">
        <v>13</v>
      </c>
      <c r="E136" s="6" t="n">
        <f aca="false">Detalle!B2059</f>
        <v>0.0269192465889546</v>
      </c>
      <c r="F136" s="7" t="str">
        <f aca="false">Detalle!D2059</f>
        <v>RECHAZAR</v>
      </c>
      <c r="G136" s="8" t="n">
        <v>1</v>
      </c>
      <c r="H136" s="9" t="n">
        <v>0.54</v>
      </c>
      <c r="I136" s="10" t="str">
        <f aca="false">IF(Detalle!B2059="","Falta PC real",IF(Detalle!B2059&gt;=Detalle!$G$1,"OK · registrar",IF(Detalle!B2059&gt;=0.2,"Revisar margen","Revisar PC/PV")))</f>
        <v>Revisar PC/PV</v>
      </c>
    </row>
    <row r="137" customFormat="false" ht="15" hidden="false" customHeight="false" outlineLevel="0" collapsed="false">
      <c r="A137" s="4" t="n">
        <v>8727</v>
      </c>
      <c r="B137" s="4" t="s">
        <v>236</v>
      </c>
      <c r="C137" s="5" t="s">
        <v>237</v>
      </c>
      <c r="D137" s="4" t="s">
        <v>13</v>
      </c>
      <c r="E137" s="6" t="n">
        <f aca="false">Detalle!B2073</f>
        <v>-0.288828090858093</v>
      </c>
      <c r="F137" s="7" t="str">
        <f aca="false">Detalle!D2073</f>
        <v>RECHAZAR</v>
      </c>
      <c r="G137" s="8" t="n">
        <v>1</v>
      </c>
      <c r="H137" s="9" t="n">
        <v>0.3</v>
      </c>
      <c r="I137" s="10" t="str">
        <f aca="false">IF(Detalle!B2073="","Falta PC real",IF(Detalle!B2073&gt;=Detalle!$G$1,"OK · registrar",IF(Detalle!B2073&gt;=0.2,"Revisar margen","Revisar PC/PV")))</f>
        <v>Revisar PC/PV</v>
      </c>
    </row>
    <row r="138" customFormat="false" ht="15" hidden="false" customHeight="false" outlineLevel="0" collapsed="false">
      <c r="A138" s="4" t="n">
        <v>8728</v>
      </c>
      <c r="B138" s="4" t="s">
        <v>238</v>
      </c>
      <c r="C138" s="5"/>
      <c r="D138" s="4" t="s">
        <v>13</v>
      </c>
      <c r="E138" s="6" t="n">
        <f aca="false">Detalle!B2087</f>
        <v>1</v>
      </c>
      <c r="F138" s="7" t="str">
        <f aca="false">Detalle!D2087</f>
        <v>APROBAR</v>
      </c>
      <c r="G138" s="5"/>
      <c r="H138" s="5"/>
      <c r="I138" s="10" t="str">
        <f aca="false">IF(Detalle!B2087="","Falta PC real",IF(Detalle!B2087&gt;=Detalle!$G$1,"OK · registrar",IF(Detalle!B2087&gt;=0.2,"Revisar margen","Revisar PC/PV")))</f>
        <v>OK · registrar</v>
      </c>
    </row>
    <row r="139" customFormat="false" ht="15" hidden="false" customHeight="false" outlineLevel="0" collapsed="false">
      <c r="A139" s="4" t="n">
        <v>8729</v>
      </c>
      <c r="B139" s="4" t="s">
        <v>239</v>
      </c>
      <c r="C139" s="5" t="s">
        <v>240</v>
      </c>
      <c r="D139" s="4" t="s">
        <v>13</v>
      </c>
      <c r="E139" s="6" t="n">
        <f aca="false">Detalle!B2101</f>
        <v>0.106413202119425</v>
      </c>
      <c r="F139" s="7" t="str">
        <f aca="false">Detalle!D2101</f>
        <v>RECHAZAR</v>
      </c>
      <c r="G139" s="8" t="n">
        <v>1</v>
      </c>
      <c r="H139" s="9" t="n">
        <v>0.69</v>
      </c>
      <c r="I139" s="10" t="str">
        <f aca="false">IF(Detalle!B2101="","Falta PC real",IF(Detalle!B2101&gt;=Detalle!$G$1,"OK · registrar",IF(Detalle!B2101&gt;=0.2,"Revisar margen","Revisar PC/PV")))</f>
        <v>Revisar PC/PV</v>
      </c>
    </row>
    <row r="140" customFormat="false" ht="15" hidden="false" customHeight="false" outlineLevel="0" collapsed="false">
      <c r="A140" s="4" t="n">
        <v>8730</v>
      </c>
      <c r="B140" s="4" t="s">
        <v>241</v>
      </c>
      <c r="C140" s="5" t="s">
        <v>168</v>
      </c>
      <c r="D140" s="4" t="s">
        <v>13</v>
      </c>
      <c r="E140" s="6" t="n">
        <f aca="false">Detalle!B2115</f>
        <v>0.17395845498991</v>
      </c>
      <c r="F140" s="7" t="str">
        <f aca="false">Detalle!D2115</f>
        <v>RECHAZAR</v>
      </c>
      <c r="G140" s="8" t="n">
        <v>0.2414</v>
      </c>
      <c r="H140" s="9" t="n">
        <v>17622.2</v>
      </c>
      <c r="I140" s="10" t="str">
        <f aca="false">IF(Detalle!B2115="","Falta PC real",IF(Detalle!B2115&gt;=Detalle!$G$1,"OK · registrar",IF(Detalle!B2115&gt;=0.2,"Revisar margen","Revisar PC/PV")))</f>
        <v>Revisar PC/PV</v>
      </c>
    </row>
  </sheetData>
  <mergeCells count="2">
    <mergeCell ref="A1:I1"/>
    <mergeCell ref="A2:I2"/>
  </mergeCells>
  <conditionalFormatting sqref="F5:F140">
    <cfRule type="cellIs" priority="2" operator="equal" aboveAverage="0" equalAverage="0" bottom="0" percent="0" rank="0" text="" dxfId="0">
      <formula>"APROBAR"</formula>
    </cfRule>
    <cfRule type="cellIs" priority="3" operator="equal" aboveAverage="0" equalAverage="0" bottom="0" percent="0" rank="0" text="" dxfId="1">
      <formula>"REVISAR"</formula>
    </cfRule>
    <cfRule type="cellIs" priority="4" operator="equal" aboveAverage="0" equalAverage="0" bottom="0" percent="0" rank="0" text="" dxfId="2">
      <formula>"RECHAZAR"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.51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.51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1.51"/>
    <col collapsed="false" customWidth="true" hidden="false" outlineLevel="0" max="16" min="16" style="0" width="24"/>
  </cols>
  <sheetData>
    <row r="1" customFormat="false" ht="15" hidden="false" customHeight="false" outlineLevel="0" collapsed="false">
      <c r="A1" s="11" t="s">
        <v>242</v>
      </c>
      <c r="B1" s="11"/>
      <c r="C1" s="11"/>
      <c r="D1" s="11"/>
      <c r="E1" s="11"/>
      <c r="F1" s="11"/>
      <c r="G1" s="12" t="n">
        <v>0.3</v>
      </c>
      <c r="H1" s="13" t="s">
        <v>243</v>
      </c>
      <c r="I1" s="13"/>
      <c r="J1" s="13"/>
      <c r="K1" s="13"/>
      <c r="L1" s="13"/>
      <c r="M1" s="13"/>
      <c r="N1" s="13"/>
    </row>
    <row r="3" customFormat="false" ht="15" hidden="false" customHeight="false" outlineLevel="0" collapsed="false">
      <c r="A3" s="11" t="s">
        <v>244</v>
      </c>
      <c r="B3" s="11"/>
      <c r="C3" s="11"/>
      <c r="D3" s="11"/>
      <c r="E3" s="11"/>
      <c r="F3" s="11"/>
      <c r="H3" s="11" t="s">
        <v>245</v>
      </c>
      <c r="I3" s="11"/>
      <c r="J3" s="11"/>
      <c r="K3" s="11"/>
      <c r="L3" s="11"/>
      <c r="M3" s="11"/>
      <c r="N3" s="11"/>
      <c r="P3" s="14" t="s">
        <v>246</v>
      </c>
    </row>
    <row r="4" customFormat="false" ht="15" hidden="false" customHeight="false" outlineLevel="0" collapsed="false">
      <c r="A4" s="15" t="s">
        <v>247</v>
      </c>
      <c r="B4" s="16" t="s">
        <v>248</v>
      </c>
      <c r="C4" s="17"/>
      <c r="D4" s="17"/>
      <c r="E4" s="17"/>
      <c r="F4" s="17"/>
      <c r="H4" s="18" t="s">
        <v>249</v>
      </c>
      <c r="I4" s="19"/>
      <c r="J4" s="19"/>
      <c r="L4" s="20" t="s">
        <v>250</v>
      </c>
      <c r="M4" s="21"/>
      <c r="N4" s="21"/>
      <c r="P4" s="14" t="s">
        <v>251</v>
      </c>
    </row>
    <row r="5" customFormat="false" ht="15" hidden="false" customHeight="false" outlineLevel="0" collapsed="false">
      <c r="B5" s="3" t="s">
        <v>252</v>
      </c>
      <c r="C5" s="3" t="s">
        <v>253</v>
      </c>
      <c r="D5" s="3" t="s">
        <v>254</v>
      </c>
      <c r="E5" s="3" t="s">
        <v>255</v>
      </c>
      <c r="F5" s="3" t="s">
        <v>256</v>
      </c>
      <c r="H5" s="22" t="s">
        <v>252</v>
      </c>
      <c r="I5" s="22" t="s">
        <v>255</v>
      </c>
      <c r="J5" s="22" t="s">
        <v>256</v>
      </c>
      <c r="L5" s="23" t="s">
        <v>252</v>
      </c>
      <c r="M5" s="23" t="s">
        <v>255</v>
      </c>
      <c r="N5" s="23" t="s">
        <v>256</v>
      </c>
      <c r="P5" s="14" t="s">
        <v>257</v>
      </c>
    </row>
    <row r="6" customFormat="false" ht="15" hidden="false" customHeight="false" outlineLevel="0" collapsed="false">
      <c r="A6" s="24" t="s">
        <v>258</v>
      </c>
      <c r="B6" s="25" t="n">
        <v>10.392</v>
      </c>
      <c r="C6" s="25" t="n">
        <v>30</v>
      </c>
      <c r="D6" s="26" t="n">
        <v>3.68919</v>
      </c>
      <c r="E6" s="27" t="n">
        <v>4.82</v>
      </c>
      <c r="F6" s="28" t="n">
        <f aca="false">ROUND(B6*E6,2)</f>
        <v>50.09</v>
      </c>
      <c r="H6" s="29" t="n">
        <v>10.392</v>
      </c>
      <c r="I6" s="30" t="n">
        <v>4.82</v>
      </c>
      <c r="J6" s="31" t="n">
        <f aca="false">ROUND(H6*I6,2)</f>
        <v>50.09</v>
      </c>
      <c r="L6" s="32" t="n">
        <v>10.392</v>
      </c>
      <c r="M6" s="33" t="n">
        <v>4.82</v>
      </c>
      <c r="N6" s="34" t="n">
        <f aca="false">ROUND(L6*M6,2)</f>
        <v>50.09</v>
      </c>
      <c r="P6" s="35" t="s">
        <v>259</v>
      </c>
    </row>
    <row r="7" customFormat="false" ht="15" hidden="false" customHeight="false" outlineLevel="0" collapsed="false">
      <c r="A7" s="24" t="s">
        <v>260</v>
      </c>
      <c r="B7" s="25" t="n">
        <v>10.392</v>
      </c>
      <c r="C7" s="25" t="n">
        <v>30</v>
      </c>
      <c r="D7" s="26" t="n">
        <v>1.31928</v>
      </c>
      <c r="E7" s="27" t="n">
        <v>2.37</v>
      </c>
      <c r="F7" s="28" t="n">
        <f aca="false">ROUND(B7*E7,2)</f>
        <v>24.63</v>
      </c>
      <c r="H7" s="29" t="n">
        <v>10.392</v>
      </c>
      <c r="I7" s="30" t="n">
        <v>2.37</v>
      </c>
      <c r="J7" s="31" t="n">
        <f aca="false">ROUND(H7*I7,2)</f>
        <v>24.63</v>
      </c>
      <c r="L7" s="32" t="n">
        <v>10.392</v>
      </c>
      <c r="M7" s="33" t="n">
        <v>2.37</v>
      </c>
      <c r="N7" s="34" t="n">
        <f aca="false">ROUND(L7*M7,2)</f>
        <v>24.63</v>
      </c>
      <c r="P7" s="36" t="s">
        <v>261</v>
      </c>
    </row>
    <row r="8" customFormat="false" ht="15" hidden="false" customHeight="false" outlineLevel="0" collapsed="false">
      <c r="A8" s="24" t="s">
        <v>262</v>
      </c>
      <c r="B8" s="25" t="n">
        <v>195.263</v>
      </c>
      <c r="C8" s="25" t="n">
        <v>30</v>
      </c>
      <c r="D8" s="26" t="n">
        <v>0.111171</v>
      </c>
      <c r="E8" s="27" t="n">
        <v>0.17</v>
      </c>
      <c r="F8" s="28" t="n">
        <f aca="false">ROUND(B8*E8,2)</f>
        <v>33.19</v>
      </c>
      <c r="H8" s="29" t="n">
        <v>477.269</v>
      </c>
      <c r="I8" s="30" t="n">
        <v>0.175</v>
      </c>
      <c r="J8" s="31" t="n">
        <f aca="false">ROUND(H8*I8,2)</f>
        <v>83.52</v>
      </c>
      <c r="L8" s="32" t="n">
        <v>95.263</v>
      </c>
      <c r="M8" s="33" t="n">
        <v>0.175</v>
      </c>
      <c r="N8" s="34" t="n">
        <f aca="false">ROUND(L8*M8,2)</f>
        <v>16.67</v>
      </c>
      <c r="P8" s="35" t="s">
        <v>263</v>
      </c>
    </row>
    <row r="9" customFormat="false" ht="15" hidden="false" customHeight="false" outlineLevel="0" collapsed="false">
      <c r="A9" s="24" t="s">
        <v>264</v>
      </c>
      <c r="B9" s="25" t="n">
        <v>199.672</v>
      </c>
      <c r="C9" s="25" t="n">
        <v>30</v>
      </c>
      <c r="D9" s="26" t="n">
        <v>0.111171</v>
      </c>
      <c r="E9" s="27" t="n">
        <v>0.17</v>
      </c>
      <c r="F9" s="28" t="n">
        <f aca="false">ROUND(B9*E9,2)</f>
        <v>33.94</v>
      </c>
      <c r="H9" s="29" t="n">
        <v>460.686</v>
      </c>
      <c r="I9" s="30" t="n">
        <v>0.175</v>
      </c>
      <c r="J9" s="31" t="n">
        <f aca="false">ROUND(H9*I9,2)</f>
        <v>80.62</v>
      </c>
      <c r="L9" s="32" t="n">
        <v>99.672</v>
      </c>
      <c r="M9" s="33" t="n">
        <v>0.175</v>
      </c>
      <c r="N9" s="34" t="n">
        <f aca="false">ROUND(L9*M9,2)</f>
        <v>17.44</v>
      </c>
    </row>
    <row r="10" customFormat="false" ht="15" hidden="false" customHeight="false" outlineLevel="0" collapsed="false">
      <c r="A10" s="24" t="s">
        <v>265</v>
      </c>
      <c r="B10" s="25" t="n">
        <v>270.288</v>
      </c>
      <c r="C10" s="25" t="n">
        <v>30</v>
      </c>
      <c r="D10" s="26" t="n">
        <v>0.111171</v>
      </c>
      <c r="E10" s="27" t="n">
        <v>0.17</v>
      </c>
      <c r="F10" s="28" t="n">
        <f aca="false">ROUND(B10*E10,2)</f>
        <v>45.95</v>
      </c>
      <c r="H10" s="29" t="n">
        <v>525.938</v>
      </c>
      <c r="I10" s="30" t="n">
        <v>0.175</v>
      </c>
      <c r="J10" s="31" t="n">
        <f aca="false">ROUND(H10*I10,2)</f>
        <v>92.04</v>
      </c>
      <c r="L10" s="32" t="n">
        <v>170.288</v>
      </c>
      <c r="M10" s="33" t="n">
        <v>0.175</v>
      </c>
      <c r="N10" s="34" t="n">
        <f aca="false">ROUND(L10*M10,2)</f>
        <v>29.8</v>
      </c>
    </row>
    <row r="11" customFormat="false" ht="15" hidden="false" customHeight="false" outlineLevel="0" collapsed="false">
      <c r="A11" s="24" t="s">
        <v>266</v>
      </c>
      <c r="B11" s="25" t="n">
        <v>1</v>
      </c>
      <c r="C11" s="25" t="n">
        <v>30</v>
      </c>
      <c r="D11" s="26" t="n">
        <v>1.3414</v>
      </c>
      <c r="E11" s="27" t="n">
        <v>1</v>
      </c>
      <c r="F11" s="28" t="n">
        <f aca="false">ROUND(B11*E11,2)</f>
        <v>1</v>
      </c>
      <c r="H11" s="29" t="n">
        <v>1</v>
      </c>
      <c r="I11" s="30" t="n">
        <v>1</v>
      </c>
      <c r="J11" s="31" t="n">
        <f aca="false">ROUND(H11*I11,2)</f>
        <v>1</v>
      </c>
      <c r="L11" s="32" t="n">
        <v>1</v>
      </c>
      <c r="M11" s="33" t="n">
        <v>1</v>
      </c>
      <c r="N11" s="34" t="n">
        <f aca="false">ROUND(L11*M11,2)</f>
        <v>1</v>
      </c>
    </row>
    <row r="12" customFormat="false" ht="15" hidden="false" customHeight="false" outlineLevel="0" collapsed="false">
      <c r="A12" s="24" t="s">
        <v>267</v>
      </c>
      <c r="B12" s="25" t="n">
        <v>30</v>
      </c>
      <c r="C12" s="25" t="n">
        <v>30</v>
      </c>
      <c r="D12" s="26" t="n">
        <v>0.5736</v>
      </c>
      <c r="E12" s="27" t="n">
        <v>0.01274</v>
      </c>
      <c r="F12" s="28" t="n">
        <f aca="false">ROUND(B12*E12,2)</f>
        <v>0.38</v>
      </c>
      <c r="H12" s="29" t="n">
        <v>30</v>
      </c>
      <c r="I12" s="30" t="n">
        <v>0.01274</v>
      </c>
      <c r="J12" s="31" t="n">
        <f aca="false">ROUND(H12*I12,2)</f>
        <v>0.38</v>
      </c>
      <c r="L12" s="32" t="n">
        <v>30</v>
      </c>
      <c r="M12" s="33" t="n">
        <v>0.00685</v>
      </c>
      <c r="N12" s="34" t="n">
        <f aca="false">ROUND(L12*M12,2)</f>
        <v>0.21</v>
      </c>
    </row>
    <row r="13" customFormat="false" ht="15" hidden="false" customHeight="false" outlineLevel="0" collapsed="false">
      <c r="A13" s="24" t="s">
        <v>268</v>
      </c>
      <c r="B13" s="25" t="n">
        <v>10.03</v>
      </c>
      <c r="C13" s="25" t="n">
        <v>30</v>
      </c>
      <c r="D13" s="26" t="n">
        <v>0.27312</v>
      </c>
      <c r="E13" s="27" t="n">
        <v>1</v>
      </c>
      <c r="F13" s="28" t="n">
        <f aca="false">ROUND(B13*E13,2)</f>
        <v>10.03</v>
      </c>
      <c r="H13" s="29" t="n">
        <v>17.16</v>
      </c>
      <c r="I13" s="30" t="n">
        <v>1</v>
      </c>
      <c r="J13" s="31" t="n">
        <f aca="false">ROUND(H13*I13,2)</f>
        <v>17.16</v>
      </c>
      <c r="L13" s="32" t="n">
        <v>7.09</v>
      </c>
      <c r="M13" s="33" t="n">
        <v>1</v>
      </c>
      <c r="N13" s="34" t="n">
        <f aca="false">ROUND(L13*M13,2)</f>
        <v>7.09</v>
      </c>
    </row>
    <row r="14" customFormat="false" ht="15" hidden="false" customHeight="false" outlineLevel="0" collapsed="false">
      <c r="A14" s="37" t="s">
        <v>269</v>
      </c>
      <c r="F14" s="38" t="n">
        <f aca="false">ROUND((SUM(F6:F13)-F13)*1.1+F13,2)</f>
        <v>218.13</v>
      </c>
      <c r="J14" s="39" t="n">
        <f aca="false">ROUND(SUM(J6:J13),2)</f>
        <v>349.44</v>
      </c>
      <c r="N14" s="40" t="n">
        <f aca="false">ROUND(SUM(N6:N13),2)</f>
        <v>146.93</v>
      </c>
    </row>
    <row r="15" customFormat="false" ht="15" hidden="false" customHeight="false" outlineLevel="0" collapsed="false">
      <c r="A15" s="15" t="s">
        <v>270</v>
      </c>
      <c r="B15" s="41" t="n">
        <f aca="false">IF((F8+F6+F10+F7+F9)=0,"",((F8+F6+F10+F7+F9)-(B8*D8+B6*D6+B10*D10+B7*D7+B9*D9))/(F8+F6+F10+F7+F9))</f>
        <v>0.329065354776358</v>
      </c>
      <c r="D15" s="42" t="str">
        <f aca="false">IF(B15="","SIN PC",IF(B15&gt;=Detalle!$G$1,"APROBAR",IF(B15&gt;=0.2,"REVISAR","RECHAZAR")))</f>
        <v>APROBAR</v>
      </c>
      <c r="E15" s="42"/>
      <c r="F15" s="42"/>
    </row>
    <row r="17" customFormat="false" ht="15" hidden="false" customHeight="false" outlineLevel="0" collapsed="false">
      <c r="A17" s="11" t="s">
        <v>271</v>
      </c>
      <c r="B17" s="11"/>
      <c r="C17" s="11"/>
      <c r="D17" s="11"/>
      <c r="E17" s="11"/>
      <c r="F17" s="11"/>
      <c r="H17" s="11" t="s">
        <v>272</v>
      </c>
      <c r="I17" s="11"/>
      <c r="J17" s="11"/>
      <c r="K17" s="11"/>
      <c r="L17" s="11"/>
      <c r="M17" s="11"/>
      <c r="N17" s="11"/>
      <c r="P17" s="14" t="s">
        <v>246</v>
      </c>
    </row>
    <row r="18" customFormat="false" ht="15" hidden="false" customHeight="false" outlineLevel="0" collapsed="false">
      <c r="A18" s="15" t="s">
        <v>247</v>
      </c>
      <c r="B18" s="16" t="s">
        <v>248</v>
      </c>
      <c r="C18" s="17"/>
      <c r="D18" s="17"/>
      <c r="E18" s="17"/>
      <c r="F18" s="17"/>
      <c r="H18" s="18" t="s">
        <v>273</v>
      </c>
      <c r="I18" s="19"/>
      <c r="J18" s="19"/>
      <c r="L18" s="20" t="s">
        <v>274</v>
      </c>
      <c r="M18" s="21"/>
      <c r="N18" s="21"/>
      <c r="P18" s="14" t="s">
        <v>275</v>
      </c>
    </row>
    <row r="19" customFormat="false" ht="15" hidden="false" customHeight="false" outlineLevel="0" collapsed="false">
      <c r="B19" s="3" t="s">
        <v>252</v>
      </c>
      <c r="C19" s="3" t="s">
        <v>253</v>
      </c>
      <c r="D19" s="3" t="s">
        <v>254</v>
      </c>
      <c r="E19" s="3" t="s">
        <v>255</v>
      </c>
      <c r="F19" s="3" t="s">
        <v>256</v>
      </c>
      <c r="H19" s="22" t="s">
        <v>252</v>
      </c>
      <c r="I19" s="22" t="s">
        <v>255</v>
      </c>
      <c r="J19" s="22" t="s">
        <v>256</v>
      </c>
      <c r="L19" s="23" t="s">
        <v>252</v>
      </c>
      <c r="M19" s="23" t="s">
        <v>255</v>
      </c>
      <c r="N19" s="23" t="s">
        <v>256</v>
      </c>
      <c r="P19" s="14" t="s">
        <v>276</v>
      </c>
    </row>
    <row r="20" customFormat="false" ht="15" hidden="false" customHeight="false" outlineLevel="0" collapsed="false">
      <c r="A20" s="24" t="s">
        <v>258</v>
      </c>
      <c r="B20" s="25" t="n">
        <v>10.392</v>
      </c>
      <c r="C20" s="25" t="n">
        <v>30</v>
      </c>
      <c r="D20" s="26" t="n">
        <v>3.68919</v>
      </c>
      <c r="E20" s="27" t="n">
        <v>4.82</v>
      </c>
      <c r="F20" s="28" t="n">
        <f aca="false">ROUND(B20*E20,2)</f>
        <v>50.09</v>
      </c>
      <c r="H20" s="29" t="n">
        <v>10.392</v>
      </c>
      <c r="I20" s="30" t="n">
        <v>4.82</v>
      </c>
      <c r="J20" s="31" t="n">
        <f aca="false">ROUND(H20*I20,2)</f>
        <v>50.09</v>
      </c>
      <c r="L20" s="32" t="n">
        <v>10.392</v>
      </c>
      <c r="M20" s="33" t="n">
        <v>4.82</v>
      </c>
      <c r="N20" s="34" t="n">
        <f aca="false">ROUND(L20*M20,2)</f>
        <v>50.09</v>
      </c>
      <c r="P20" s="35" t="s">
        <v>277</v>
      </c>
    </row>
    <row r="21" customFormat="false" ht="15" hidden="false" customHeight="false" outlineLevel="0" collapsed="false">
      <c r="A21" s="24" t="s">
        <v>260</v>
      </c>
      <c r="B21" s="25" t="n">
        <v>10.392</v>
      </c>
      <c r="C21" s="25" t="n">
        <v>30</v>
      </c>
      <c r="D21" s="26" t="n">
        <v>1.31928</v>
      </c>
      <c r="E21" s="27" t="n">
        <v>2.37</v>
      </c>
      <c r="F21" s="28" t="n">
        <f aca="false">ROUND(B21*E21,2)</f>
        <v>24.63</v>
      </c>
      <c r="H21" s="29" t="n">
        <v>10.392</v>
      </c>
      <c r="I21" s="30" t="n">
        <v>2.37</v>
      </c>
      <c r="J21" s="31" t="n">
        <f aca="false">ROUND(H21*I21,2)</f>
        <v>24.63</v>
      </c>
      <c r="L21" s="32" t="n">
        <v>10.392</v>
      </c>
      <c r="M21" s="33" t="n">
        <v>2.37</v>
      </c>
      <c r="N21" s="34" t="n">
        <f aca="false">ROUND(L21*M21,2)</f>
        <v>24.63</v>
      </c>
      <c r="P21" s="36" t="s">
        <v>261</v>
      </c>
    </row>
    <row r="22" customFormat="false" ht="15" hidden="false" customHeight="false" outlineLevel="0" collapsed="false">
      <c r="A22" s="24" t="s">
        <v>262</v>
      </c>
      <c r="B22" s="25" t="n">
        <v>177.5</v>
      </c>
      <c r="C22" s="25" t="n">
        <v>30</v>
      </c>
      <c r="D22" s="26" t="n">
        <v>0.111171</v>
      </c>
      <c r="E22" s="27" t="n">
        <v>0.17</v>
      </c>
      <c r="F22" s="28" t="n">
        <f aca="false">ROUND(B22*E22,2)</f>
        <v>30.18</v>
      </c>
      <c r="H22" s="29" t="n">
        <v>309.614</v>
      </c>
      <c r="I22" s="30" t="n">
        <v>0.175</v>
      </c>
      <c r="J22" s="31" t="n">
        <f aca="false">ROUND(H22*I22,2)</f>
        <v>54.18</v>
      </c>
      <c r="L22" s="32" t="n">
        <v>77.5</v>
      </c>
      <c r="M22" s="33" t="n">
        <v>0.175</v>
      </c>
      <c r="N22" s="34" t="n">
        <f aca="false">ROUND(L22*M22,2)</f>
        <v>13.56</v>
      </c>
      <c r="P22" s="35" t="s">
        <v>278</v>
      </c>
    </row>
    <row r="23" customFormat="false" ht="15" hidden="false" customHeight="false" outlineLevel="0" collapsed="false">
      <c r="A23" s="24" t="s">
        <v>264</v>
      </c>
      <c r="B23" s="25" t="n">
        <v>168.86</v>
      </c>
      <c r="C23" s="25" t="n">
        <v>30</v>
      </c>
      <c r="D23" s="26" t="n">
        <v>0.111171</v>
      </c>
      <c r="E23" s="27" t="n">
        <v>0.17</v>
      </c>
      <c r="F23" s="28" t="n">
        <f aca="false">ROUND(B23*E23,2)</f>
        <v>28.71</v>
      </c>
      <c r="H23" s="29" t="n">
        <v>186.461</v>
      </c>
      <c r="I23" s="30" t="n">
        <v>0.175</v>
      </c>
      <c r="J23" s="31" t="n">
        <f aca="false">ROUND(H23*I23,2)</f>
        <v>32.63</v>
      </c>
      <c r="L23" s="32" t="n">
        <v>68.86</v>
      </c>
      <c r="M23" s="33" t="n">
        <v>0.175</v>
      </c>
      <c r="N23" s="34" t="n">
        <f aca="false">ROUND(L23*M23,2)</f>
        <v>12.05</v>
      </c>
    </row>
    <row r="24" customFormat="false" ht="15" hidden="false" customHeight="false" outlineLevel="0" collapsed="false">
      <c r="A24" s="24" t="s">
        <v>265</v>
      </c>
      <c r="B24" s="25" t="n">
        <v>246.145</v>
      </c>
      <c r="C24" s="25" t="n">
        <v>30</v>
      </c>
      <c r="D24" s="26" t="n">
        <v>0.111171</v>
      </c>
      <c r="E24" s="27" t="n">
        <v>0.17</v>
      </c>
      <c r="F24" s="28" t="n">
        <f aca="false">ROUND(B24*E24,2)</f>
        <v>41.84</v>
      </c>
      <c r="H24" s="29" t="n">
        <v>355.272</v>
      </c>
      <c r="I24" s="30" t="n">
        <v>0.175</v>
      </c>
      <c r="J24" s="31" t="n">
        <f aca="false">ROUND(H24*I24,2)</f>
        <v>62.17</v>
      </c>
      <c r="L24" s="32" t="n">
        <v>146.145</v>
      </c>
      <c r="M24" s="33" t="n">
        <v>0.175</v>
      </c>
      <c r="N24" s="34" t="n">
        <f aca="false">ROUND(L24*M24,2)</f>
        <v>25.58</v>
      </c>
    </row>
    <row r="25" customFormat="false" ht="15" hidden="false" customHeight="false" outlineLevel="0" collapsed="false">
      <c r="A25" s="24" t="s">
        <v>266</v>
      </c>
      <c r="B25" s="25" t="n">
        <v>1</v>
      </c>
      <c r="C25" s="25" t="n">
        <v>30</v>
      </c>
      <c r="D25" s="26" t="n">
        <v>1.3414</v>
      </c>
      <c r="E25" s="27" t="n">
        <v>1</v>
      </c>
      <c r="F25" s="28" t="n">
        <f aca="false">ROUND(B25*E25,2)</f>
        <v>1</v>
      </c>
      <c r="H25" s="29" t="n">
        <v>1</v>
      </c>
      <c r="I25" s="30" t="n">
        <v>1</v>
      </c>
      <c r="J25" s="31" t="n">
        <f aca="false">ROUND(H25*I25,2)</f>
        <v>1</v>
      </c>
      <c r="L25" s="32" t="n">
        <v>1</v>
      </c>
      <c r="M25" s="33" t="n">
        <v>1</v>
      </c>
      <c r="N25" s="34" t="n">
        <f aca="false">ROUND(L25*M25,2)</f>
        <v>1</v>
      </c>
    </row>
    <row r="26" customFormat="false" ht="15" hidden="false" customHeight="false" outlineLevel="0" collapsed="false">
      <c r="A26" s="24" t="s">
        <v>267</v>
      </c>
      <c r="B26" s="25" t="n">
        <v>30</v>
      </c>
      <c r="C26" s="25" t="n">
        <v>30</v>
      </c>
      <c r="D26" s="26" t="n">
        <v>0.5736</v>
      </c>
      <c r="E26" s="27" t="n">
        <v>0.01274</v>
      </c>
      <c r="F26" s="28" t="n">
        <f aca="false">ROUND(B26*E26,2)</f>
        <v>0.38</v>
      </c>
      <c r="H26" s="29" t="n">
        <v>30</v>
      </c>
      <c r="I26" s="30" t="n">
        <v>0.01274</v>
      </c>
      <c r="J26" s="31" t="n">
        <f aca="false">ROUND(H26*I26,2)</f>
        <v>0.38</v>
      </c>
      <c r="L26" s="32" t="n">
        <v>30</v>
      </c>
      <c r="M26" s="33" t="n">
        <v>0.00685</v>
      </c>
      <c r="N26" s="34" t="n">
        <f aca="false">ROUND(L26*M26,2)</f>
        <v>0.21</v>
      </c>
    </row>
    <row r="27" customFormat="false" ht="15" hidden="false" customHeight="false" outlineLevel="0" collapsed="false">
      <c r="A27" s="24" t="s">
        <v>268</v>
      </c>
      <c r="B27" s="25" t="n">
        <v>9.37</v>
      </c>
      <c r="C27" s="25" t="n">
        <v>30</v>
      </c>
      <c r="D27" s="26" t="n">
        <v>0.27312</v>
      </c>
      <c r="E27" s="27" t="n">
        <v>1</v>
      </c>
      <c r="F27" s="28" t="n">
        <f aca="false">ROUND(B27*E27,2)</f>
        <v>9.37</v>
      </c>
      <c r="H27" s="29" t="n">
        <v>12.1</v>
      </c>
      <c r="I27" s="30" t="n">
        <v>1</v>
      </c>
      <c r="J27" s="31" t="n">
        <f aca="false">ROUND(H27*I27,2)</f>
        <v>12.1</v>
      </c>
      <c r="L27" s="32" t="n">
        <v>6.44</v>
      </c>
      <c r="M27" s="33" t="n">
        <v>1</v>
      </c>
      <c r="N27" s="34" t="n">
        <f aca="false">ROUND(L27*M27,2)</f>
        <v>6.44</v>
      </c>
    </row>
    <row r="28" customFormat="false" ht="15" hidden="false" customHeight="false" outlineLevel="0" collapsed="false">
      <c r="A28" s="37" t="s">
        <v>269</v>
      </c>
      <c r="F28" s="38" t="n">
        <f aca="false">ROUND((SUM(F20:F27)-F27)*1.1+F27,2)</f>
        <v>203.88</v>
      </c>
      <c r="J28" s="39" t="n">
        <f aca="false">ROUND(SUM(J20:J27),2)</f>
        <v>237.18</v>
      </c>
      <c r="N28" s="40" t="n">
        <f aca="false">ROUND(SUM(N20:N27),2)</f>
        <v>133.56</v>
      </c>
    </row>
    <row r="29" customFormat="false" ht="15" hidden="false" customHeight="false" outlineLevel="0" collapsed="false">
      <c r="A29" s="15" t="s">
        <v>270</v>
      </c>
      <c r="B29" s="41" t="n">
        <f aca="false">IF((F22+F20+F24+F21+F23)=0,"",((F22+F20+F24+F21+F23)-(B22*D22+B20*D20+B24*D24+B21*D21+B23*D23))/(F22+F20+F24+F21+F23))</f>
        <v>0.327914542063266</v>
      </c>
      <c r="D29" s="42" t="str">
        <f aca="false">IF(B29="","SIN PC",IF(B29&gt;=Detalle!$G$1,"APROBAR",IF(B29&gt;=0.2,"REVISAR","RECHAZAR")))</f>
        <v>APROBAR</v>
      </c>
      <c r="E29" s="42"/>
      <c r="F29" s="42"/>
    </row>
    <row r="31" customFormat="false" ht="15" hidden="false" customHeight="false" outlineLevel="0" collapsed="false">
      <c r="A31" s="11" t="s">
        <v>279</v>
      </c>
      <c r="B31" s="11"/>
      <c r="C31" s="11"/>
      <c r="D31" s="11"/>
      <c r="E31" s="11"/>
      <c r="F31" s="11"/>
      <c r="H31" s="11" t="s">
        <v>280</v>
      </c>
      <c r="I31" s="11"/>
      <c r="J31" s="11"/>
      <c r="K31" s="11"/>
      <c r="L31" s="11"/>
      <c r="M31" s="11"/>
      <c r="N31" s="11"/>
      <c r="P31" s="14" t="s">
        <v>246</v>
      </c>
    </row>
    <row r="32" customFormat="false" ht="15" hidden="false" customHeight="false" outlineLevel="0" collapsed="false">
      <c r="A32" s="15" t="s">
        <v>247</v>
      </c>
      <c r="B32" s="16" t="s">
        <v>248</v>
      </c>
      <c r="C32" s="17"/>
      <c r="D32" s="17"/>
      <c r="E32" s="17"/>
      <c r="F32" s="17"/>
      <c r="H32" s="18" t="s">
        <v>281</v>
      </c>
      <c r="I32" s="19"/>
      <c r="J32" s="19"/>
      <c r="L32" s="20" t="s">
        <v>282</v>
      </c>
      <c r="M32" s="21"/>
      <c r="N32" s="21"/>
      <c r="P32" s="14" t="s">
        <v>283</v>
      </c>
    </row>
    <row r="33" customFormat="false" ht="15" hidden="false" customHeight="false" outlineLevel="0" collapsed="false">
      <c r="B33" s="3" t="s">
        <v>252</v>
      </c>
      <c r="C33" s="3" t="s">
        <v>253</v>
      </c>
      <c r="D33" s="3" t="s">
        <v>254</v>
      </c>
      <c r="E33" s="3" t="s">
        <v>255</v>
      </c>
      <c r="F33" s="3" t="s">
        <v>256</v>
      </c>
      <c r="H33" s="22" t="s">
        <v>252</v>
      </c>
      <c r="I33" s="22" t="s">
        <v>255</v>
      </c>
      <c r="J33" s="22" t="s">
        <v>256</v>
      </c>
      <c r="L33" s="23" t="s">
        <v>252</v>
      </c>
      <c r="M33" s="23" t="s">
        <v>255</v>
      </c>
      <c r="N33" s="23" t="s">
        <v>256</v>
      </c>
      <c r="P33" s="14" t="s">
        <v>284</v>
      </c>
    </row>
    <row r="34" customFormat="false" ht="15" hidden="false" customHeight="false" outlineLevel="0" collapsed="false">
      <c r="A34" s="24" t="s">
        <v>258</v>
      </c>
      <c r="B34" s="25" t="n">
        <v>6.928</v>
      </c>
      <c r="C34" s="25" t="n">
        <v>30</v>
      </c>
      <c r="D34" s="26" t="n">
        <v>3.68919</v>
      </c>
      <c r="E34" s="27" t="n">
        <v>4.82</v>
      </c>
      <c r="F34" s="28" t="n">
        <f aca="false">ROUND(B34*E34,2)</f>
        <v>33.39</v>
      </c>
      <c r="H34" s="29" t="n">
        <v>6.928</v>
      </c>
      <c r="I34" s="30" t="n">
        <v>4.82</v>
      </c>
      <c r="J34" s="31" t="n">
        <f aca="false">ROUND(H34*I34,2)</f>
        <v>33.39</v>
      </c>
      <c r="L34" s="32" t="n">
        <v>6.928</v>
      </c>
      <c r="M34" s="33" t="n">
        <v>4.82</v>
      </c>
      <c r="N34" s="34" t="n">
        <f aca="false">ROUND(L34*M34,2)</f>
        <v>33.39</v>
      </c>
      <c r="P34" s="35" t="s">
        <v>285</v>
      </c>
    </row>
    <row r="35" customFormat="false" ht="15" hidden="false" customHeight="false" outlineLevel="0" collapsed="false">
      <c r="A35" s="24" t="s">
        <v>260</v>
      </c>
      <c r="B35" s="25" t="n">
        <v>6.928</v>
      </c>
      <c r="C35" s="25" t="n">
        <v>30</v>
      </c>
      <c r="D35" s="26" t="n">
        <v>1.31928</v>
      </c>
      <c r="E35" s="27" t="n">
        <v>2.37</v>
      </c>
      <c r="F35" s="28" t="n">
        <f aca="false">ROUND(B35*E35,2)</f>
        <v>16.42</v>
      </c>
      <c r="H35" s="29" t="n">
        <v>6.928</v>
      </c>
      <c r="I35" s="30" t="n">
        <v>2.37</v>
      </c>
      <c r="J35" s="31" t="n">
        <f aca="false">ROUND(H35*I35,2)</f>
        <v>16.42</v>
      </c>
      <c r="L35" s="32" t="n">
        <v>6.928</v>
      </c>
      <c r="M35" s="33" t="n">
        <v>2.37</v>
      </c>
      <c r="N35" s="34" t="n">
        <f aca="false">ROUND(L35*M35,2)</f>
        <v>16.42</v>
      </c>
      <c r="P35" s="36" t="s">
        <v>261</v>
      </c>
    </row>
    <row r="36" customFormat="false" ht="15" hidden="false" customHeight="false" outlineLevel="0" collapsed="false">
      <c r="A36" s="24" t="s">
        <v>262</v>
      </c>
      <c r="B36" s="25" t="n">
        <v>301.884</v>
      </c>
      <c r="C36" s="25" t="n">
        <v>30</v>
      </c>
      <c r="D36" s="26" t="n">
        <v>0.111171</v>
      </c>
      <c r="E36" s="27" t="n">
        <v>0.17</v>
      </c>
      <c r="F36" s="28" t="n">
        <f aca="false">ROUND(B36*E36,2)</f>
        <v>51.32</v>
      </c>
      <c r="H36" s="29" t="n">
        <v>250.417</v>
      </c>
      <c r="I36" s="30" t="n">
        <v>0.175</v>
      </c>
      <c r="J36" s="31" t="n">
        <f aca="false">ROUND(H36*I36,2)</f>
        <v>43.82</v>
      </c>
      <c r="L36" s="32" t="n">
        <v>201.884</v>
      </c>
      <c r="M36" s="33" t="n">
        <v>0.175</v>
      </c>
      <c r="N36" s="34" t="n">
        <f aca="false">ROUND(L36*M36,2)</f>
        <v>35.33</v>
      </c>
      <c r="P36" s="35" t="s">
        <v>286</v>
      </c>
    </row>
    <row r="37" customFormat="false" ht="15" hidden="false" customHeight="false" outlineLevel="0" collapsed="false">
      <c r="A37" s="24" t="s">
        <v>264</v>
      </c>
      <c r="B37" s="25" t="n">
        <v>374.313</v>
      </c>
      <c r="C37" s="25" t="n">
        <v>30</v>
      </c>
      <c r="D37" s="26" t="n">
        <v>0.111171</v>
      </c>
      <c r="E37" s="27" t="n">
        <v>0.17</v>
      </c>
      <c r="F37" s="28" t="n">
        <f aca="false">ROUND(B37*E37,2)</f>
        <v>63.63</v>
      </c>
      <c r="H37" s="29" t="n">
        <v>234.006</v>
      </c>
      <c r="I37" s="30" t="n">
        <v>0.175</v>
      </c>
      <c r="J37" s="31" t="n">
        <f aca="false">ROUND(H37*I37,2)</f>
        <v>40.95</v>
      </c>
      <c r="L37" s="32" t="n">
        <v>174.313</v>
      </c>
      <c r="M37" s="33" t="n">
        <v>0.175</v>
      </c>
      <c r="N37" s="34" t="n">
        <f aca="false">ROUND(L37*M37,2)</f>
        <v>30.5</v>
      </c>
    </row>
    <row r="38" customFormat="false" ht="15" hidden="false" customHeight="false" outlineLevel="0" collapsed="false">
      <c r="A38" s="24" t="s">
        <v>265</v>
      </c>
      <c r="B38" s="25" t="n">
        <v>542.307</v>
      </c>
      <c r="C38" s="25" t="n">
        <v>30</v>
      </c>
      <c r="D38" s="26" t="n">
        <v>0.111171</v>
      </c>
      <c r="E38" s="27" t="n">
        <v>0.17</v>
      </c>
      <c r="F38" s="28" t="n">
        <f aca="false">ROUND(B38*E38,2)</f>
        <v>92.19</v>
      </c>
      <c r="H38" s="29" t="n">
        <v>376.925</v>
      </c>
      <c r="I38" s="30" t="n">
        <v>0.175</v>
      </c>
      <c r="J38" s="31" t="n">
        <f aca="false">ROUND(H38*I38,2)</f>
        <v>65.96</v>
      </c>
      <c r="L38" s="32" t="n">
        <v>342.307</v>
      </c>
      <c r="M38" s="33" t="n">
        <v>0.175</v>
      </c>
      <c r="N38" s="34" t="n">
        <f aca="false">ROUND(L38*M38,2)</f>
        <v>59.9</v>
      </c>
    </row>
    <row r="39" customFormat="false" ht="15" hidden="false" customHeight="false" outlineLevel="0" collapsed="false">
      <c r="A39" s="24" t="s">
        <v>266</v>
      </c>
      <c r="B39" s="25" t="n">
        <v>1</v>
      </c>
      <c r="C39" s="25" t="n">
        <v>30</v>
      </c>
      <c r="D39" s="26" t="n">
        <v>1.3414</v>
      </c>
      <c r="E39" s="27" t="n">
        <v>1</v>
      </c>
      <c r="F39" s="28" t="n">
        <f aca="false">ROUND(B39*E39,2)</f>
        <v>1</v>
      </c>
      <c r="H39" s="29" t="n">
        <v>1</v>
      </c>
      <c r="I39" s="30" t="n">
        <v>1</v>
      </c>
      <c r="J39" s="31" t="n">
        <f aca="false">ROUND(H39*I39,2)</f>
        <v>1</v>
      </c>
      <c r="L39" s="32" t="n">
        <v>1</v>
      </c>
      <c r="M39" s="33" t="n">
        <v>1</v>
      </c>
      <c r="N39" s="34" t="n">
        <f aca="false">ROUND(L39*M39,2)</f>
        <v>1</v>
      </c>
    </row>
    <row r="40" customFormat="false" ht="15" hidden="false" customHeight="false" outlineLevel="0" collapsed="false">
      <c r="A40" s="24" t="s">
        <v>267</v>
      </c>
      <c r="B40" s="25" t="n">
        <v>30</v>
      </c>
      <c r="C40" s="25" t="n">
        <v>30</v>
      </c>
      <c r="D40" s="26" t="n">
        <v>0.5736</v>
      </c>
      <c r="E40" s="27" t="n">
        <v>0.01274</v>
      </c>
      <c r="F40" s="28" t="n">
        <f aca="false">ROUND(B40*E40,2)</f>
        <v>0.38</v>
      </c>
      <c r="H40" s="29" t="n">
        <v>30</v>
      </c>
      <c r="I40" s="30" t="n">
        <v>0.01274</v>
      </c>
      <c r="J40" s="31" t="n">
        <f aca="false">ROUND(H40*I40,2)</f>
        <v>0.38</v>
      </c>
      <c r="L40" s="32" t="n">
        <v>30</v>
      </c>
      <c r="M40" s="33" t="n">
        <v>0.00685</v>
      </c>
      <c r="N40" s="34" t="n">
        <f aca="false">ROUND(L40*M40,2)</f>
        <v>0.21</v>
      </c>
    </row>
    <row r="41" customFormat="false" ht="15" hidden="false" customHeight="false" outlineLevel="0" collapsed="false">
      <c r="A41" s="24" t="s">
        <v>268</v>
      </c>
      <c r="B41" s="25" t="n">
        <v>13.65</v>
      </c>
      <c r="C41" s="25" t="n">
        <v>30</v>
      </c>
      <c r="D41" s="26" t="n">
        <v>0.27312</v>
      </c>
      <c r="E41" s="27" t="n">
        <v>1</v>
      </c>
      <c r="F41" s="28" t="n">
        <f aca="false">ROUND(B41*E41,2)</f>
        <v>13.65</v>
      </c>
      <c r="H41" s="29" t="n">
        <v>12.86</v>
      </c>
      <c r="I41" s="30" t="n">
        <v>1</v>
      </c>
      <c r="J41" s="31" t="n">
        <f aca="false">ROUND(H41*I41,2)</f>
        <v>12.86</v>
      </c>
      <c r="L41" s="32" t="n">
        <v>8.83</v>
      </c>
      <c r="M41" s="33" t="n">
        <v>1</v>
      </c>
      <c r="N41" s="34" t="n">
        <f aca="false">ROUND(L41*M41,2)</f>
        <v>8.83</v>
      </c>
    </row>
    <row r="42" customFormat="false" ht="15" hidden="false" customHeight="false" outlineLevel="0" collapsed="false">
      <c r="A42" s="37" t="s">
        <v>269</v>
      </c>
      <c r="F42" s="38" t="n">
        <f aca="false">ROUND((SUM(F34:F41)-F41)*1.1+F41,2)</f>
        <v>297.81</v>
      </c>
      <c r="J42" s="39" t="n">
        <f aca="false">ROUND(SUM(J34:J41),2)</f>
        <v>214.78</v>
      </c>
      <c r="N42" s="40" t="n">
        <f aca="false">ROUND(SUM(N34:N41),2)</f>
        <v>185.58</v>
      </c>
    </row>
    <row r="43" customFormat="false" ht="15" hidden="false" customHeight="false" outlineLevel="0" collapsed="false">
      <c r="A43" s="15" t="s">
        <v>270</v>
      </c>
      <c r="B43" s="41" t="n">
        <f aca="false">IF((F36+F34+F38+F35+F37)=0,"",((F36+F34+F38+F35+F37)-(B36*D36+B34*D34+B38*D38+B35*D35+B37*D37))/(F36+F34+F38+F35+F37))</f>
        <v>0.337766147717455</v>
      </c>
      <c r="D43" s="42" t="str">
        <f aca="false">IF(B43="","SIN PC",IF(B43&gt;=Detalle!$G$1,"APROBAR",IF(B43&gt;=0.2,"REVISAR","RECHAZAR")))</f>
        <v>APROBAR</v>
      </c>
      <c r="E43" s="42"/>
      <c r="F43" s="42"/>
    </row>
    <row r="45" customFormat="false" ht="15" hidden="false" customHeight="false" outlineLevel="0" collapsed="false">
      <c r="A45" s="11" t="s">
        <v>287</v>
      </c>
      <c r="B45" s="11"/>
      <c r="C45" s="11"/>
      <c r="D45" s="11"/>
      <c r="E45" s="11"/>
      <c r="F45" s="11"/>
      <c r="H45" s="11" t="s">
        <v>288</v>
      </c>
      <c r="I45" s="11"/>
      <c r="J45" s="11"/>
      <c r="K45" s="11"/>
      <c r="L45" s="11"/>
      <c r="M45" s="11"/>
      <c r="N45" s="11"/>
      <c r="P45" s="14" t="s">
        <v>246</v>
      </c>
    </row>
    <row r="46" customFormat="false" ht="15" hidden="false" customHeight="false" outlineLevel="0" collapsed="false">
      <c r="A46" s="15" t="s">
        <v>247</v>
      </c>
      <c r="B46" s="16" t="s">
        <v>248</v>
      </c>
      <c r="C46" s="17"/>
      <c r="D46" s="17"/>
      <c r="E46" s="17"/>
      <c r="F46" s="17"/>
      <c r="H46" s="18" t="s">
        <v>289</v>
      </c>
      <c r="I46" s="19"/>
      <c r="J46" s="19"/>
      <c r="L46" s="20" t="s">
        <v>290</v>
      </c>
      <c r="M46" s="21"/>
      <c r="N46" s="21"/>
      <c r="P46" s="14" t="s">
        <v>291</v>
      </c>
    </row>
    <row r="47" customFormat="false" ht="15" hidden="false" customHeight="false" outlineLevel="0" collapsed="false">
      <c r="B47" s="3" t="s">
        <v>252</v>
      </c>
      <c r="C47" s="3" t="s">
        <v>253</v>
      </c>
      <c r="D47" s="3" t="s">
        <v>254</v>
      </c>
      <c r="E47" s="3" t="s">
        <v>255</v>
      </c>
      <c r="F47" s="3" t="s">
        <v>256</v>
      </c>
      <c r="H47" s="22" t="s">
        <v>252</v>
      </c>
      <c r="I47" s="22" t="s">
        <v>255</v>
      </c>
      <c r="J47" s="22" t="s">
        <v>256</v>
      </c>
      <c r="L47" s="23" t="s">
        <v>252</v>
      </c>
      <c r="M47" s="23" t="s">
        <v>255</v>
      </c>
      <c r="N47" s="23" t="s">
        <v>256</v>
      </c>
      <c r="P47" s="14" t="s">
        <v>292</v>
      </c>
    </row>
    <row r="48" customFormat="false" ht="15" hidden="false" customHeight="false" outlineLevel="0" collapsed="false">
      <c r="A48" s="24" t="s">
        <v>258</v>
      </c>
      <c r="B48" s="25" t="n">
        <v>6.928</v>
      </c>
      <c r="C48" s="25" t="n">
        <v>30</v>
      </c>
      <c r="D48" s="26" t="n">
        <v>3.68919</v>
      </c>
      <c r="E48" s="27" t="n">
        <v>4.82</v>
      </c>
      <c r="F48" s="28" t="n">
        <f aca="false">ROUND(B48*E48,2)</f>
        <v>33.39</v>
      </c>
      <c r="H48" s="29" t="n">
        <v>6.928</v>
      </c>
      <c r="I48" s="30" t="n">
        <v>4.82</v>
      </c>
      <c r="J48" s="31" t="n">
        <f aca="false">ROUND(H48*I48,2)</f>
        <v>33.39</v>
      </c>
      <c r="L48" s="32" t="n">
        <v>6.928</v>
      </c>
      <c r="M48" s="33" t="n">
        <v>4.82</v>
      </c>
      <c r="N48" s="34" t="n">
        <f aca="false">ROUND(L48*M48,2)</f>
        <v>33.39</v>
      </c>
      <c r="P48" s="35" t="s">
        <v>293</v>
      </c>
    </row>
    <row r="49" customFormat="false" ht="15" hidden="false" customHeight="false" outlineLevel="0" collapsed="false">
      <c r="A49" s="24" t="s">
        <v>260</v>
      </c>
      <c r="B49" s="25" t="n">
        <v>6.928</v>
      </c>
      <c r="C49" s="25" t="n">
        <v>30</v>
      </c>
      <c r="D49" s="26" t="n">
        <v>1.31928</v>
      </c>
      <c r="E49" s="27" t="n">
        <v>2.37</v>
      </c>
      <c r="F49" s="28" t="n">
        <f aca="false">ROUND(B49*E49,2)</f>
        <v>16.42</v>
      </c>
      <c r="H49" s="29" t="n">
        <v>6.928</v>
      </c>
      <c r="I49" s="30" t="n">
        <v>2.37</v>
      </c>
      <c r="J49" s="31" t="n">
        <f aca="false">ROUND(H49*I49,2)</f>
        <v>16.42</v>
      </c>
      <c r="L49" s="32" t="n">
        <v>6.928</v>
      </c>
      <c r="M49" s="33" t="n">
        <v>2.37</v>
      </c>
      <c r="N49" s="34" t="n">
        <f aca="false">ROUND(L49*M49,2)</f>
        <v>16.42</v>
      </c>
      <c r="P49" s="36" t="s">
        <v>261</v>
      </c>
    </row>
    <row r="50" customFormat="false" ht="15" hidden="false" customHeight="false" outlineLevel="0" collapsed="false">
      <c r="A50" s="24" t="s">
        <v>262</v>
      </c>
      <c r="B50" s="25" t="n">
        <v>373.974</v>
      </c>
      <c r="C50" s="25" t="n">
        <v>30</v>
      </c>
      <c r="D50" s="26" t="n">
        <v>0.142913</v>
      </c>
      <c r="E50" s="27" t="n">
        <v>0.17</v>
      </c>
      <c r="F50" s="28" t="n">
        <f aca="false">ROUND(B50*E50,2)</f>
        <v>63.58</v>
      </c>
      <c r="H50" s="29" t="n">
        <v>258.447</v>
      </c>
      <c r="I50" s="30" t="n">
        <v>0.175</v>
      </c>
      <c r="J50" s="31" t="n">
        <f aca="false">ROUND(H50*I50,2)</f>
        <v>45.23</v>
      </c>
      <c r="L50" s="32" t="n">
        <v>173.974</v>
      </c>
      <c r="M50" s="33" t="n">
        <v>0.175</v>
      </c>
      <c r="N50" s="34" t="n">
        <f aca="false">ROUND(L50*M50,2)</f>
        <v>30.45</v>
      </c>
      <c r="P50" s="35" t="s">
        <v>294</v>
      </c>
    </row>
    <row r="51" customFormat="false" ht="15" hidden="false" customHeight="false" outlineLevel="0" collapsed="false">
      <c r="A51" s="24" t="s">
        <v>264</v>
      </c>
      <c r="B51" s="25" t="n">
        <v>356.102</v>
      </c>
      <c r="C51" s="25" t="n">
        <v>30</v>
      </c>
      <c r="D51" s="26" t="n">
        <v>0.142913</v>
      </c>
      <c r="E51" s="27" t="n">
        <v>0.17</v>
      </c>
      <c r="F51" s="28" t="n">
        <f aca="false">ROUND(B51*E51,2)</f>
        <v>60.54</v>
      </c>
      <c r="H51" s="29" t="n">
        <v>239.045</v>
      </c>
      <c r="I51" s="30" t="n">
        <v>0.175</v>
      </c>
      <c r="J51" s="31" t="n">
        <f aca="false">ROUND(H51*I51,2)</f>
        <v>41.83</v>
      </c>
      <c r="L51" s="32" t="n">
        <v>156.102</v>
      </c>
      <c r="M51" s="33" t="n">
        <v>0.175</v>
      </c>
      <c r="N51" s="34" t="n">
        <f aca="false">ROUND(L51*M51,2)</f>
        <v>27.32</v>
      </c>
    </row>
    <row r="52" customFormat="false" ht="15" hidden="false" customHeight="false" outlineLevel="0" collapsed="false">
      <c r="A52" s="24" t="s">
        <v>265</v>
      </c>
      <c r="B52" s="25" t="n">
        <v>530.705</v>
      </c>
      <c r="C52" s="25" t="n">
        <v>30</v>
      </c>
      <c r="D52" s="26" t="n">
        <v>0.142913</v>
      </c>
      <c r="E52" s="27" t="n">
        <v>0.17</v>
      </c>
      <c r="F52" s="28" t="n">
        <f aca="false">ROUND(B52*E52,2)</f>
        <v>90.22</v>
      </c>
      <c r="H52" s="29" t="n">
        <v>473.601</v>
      </c>
      <c r="I52" s="30" t="n">
        <v>0.175</v>
      </c>
      <c r="J52" s="31" t="n">
        <f aca="false">ROUND(H52*I52,2)</f>
        <v>82.88</v>
      </c>
      <c r="L52" s="32" t="n">
        <v>330.705</v>
      </c>
      <c r="M52" s="33" t="n">
        <v>0.175</v>
      </c>
      <c r="N52" s="34" t="n">
        <f aca="false">ROUND(L52*M52,2)</f>
        <v>57.87</v>
      </c>
    </row>
    <row r="53" customFormat="false" ht="15" hidden="false" customHeight="false" outlineLevel="0" collapsed="false">
      <c r="A53" s="24" t="s">
        <v>266</v>
      </c>
      <c r="B53" s="25" t="n">
        <v>1</v>
      </c>
      <c r="C53" s="25" t="n">
        <v>30</v>
      </c>
      <c r="D53" s="26" t="n">
        <v>1.3414</v>
      </c>
      <c r="E53" s="27" t="n">
        <v>1</v>
      </c>
      <c r="F53" s="28" t="n">
        <f aca="false">ROUND(B53*E53,2)</f>
        <v>1</v>
      </c>
      <c r="H53" s="29" t="n">
        <v>1</v>
      </c>
      <c r="I53" s="30" t="n">
        <v>1</v>
      </c>
      <c r="J53" s="31" t="n">
        <f aca="false">ROUND(H53*I53,2)</f>
        <v>1</v>
      </c>
      <c r="L53" s="32" t="n">
        <v>1</v>
      </c>
      <c r="M53" s="33" t="n">
        <v>1</v>
      </c>
      <c r="N53" s="34" t="n">
        <f aca="false">ROUND(L53*M53,2)</f>
        <v>1</v>
      </c>
    </row>
    <row r="54" customFormat="false" ht="15" hidden="false" customHeight="false" outlineLevel="0" collapsed="false">
      <c r="A54" s="24" t="s">
        <v>267</v>
      </c>
      <c r="B54" s="25" t="n">
        <v>30</v>
      </c>
      <c r="C54" s="25" t="n">
        <v>30</v>
      </c>
      <c r="D54" s="26" t="n">
        <v>0.5736</v>
      </c>
      <c r="E54" s="27" t="n">
        <v>0.01274</v>
      </c>
      <c r="F54" s="28" t="n">
        <f aca="false">ROUND(B54*E54,2)</f>
        <v>0.38</v>
      </c>
      <c r="H54" s="29" t="n">
        <v>30</v>
      </c>
      <c r="I54" s="30" t="n">
        <v>0.00685</v>
      </c>
      <c r="J54" s="31" t="n">
        <f aca="false">ROUND(H54*I54,2)</f>
        <v>0.21</v>
      </c>
      <c r="L54" s="32" t="n">
        <v>30</v>
      </c>
      <c r="M54" s="33" t="n">
        <v>0.00685</v>
      </c>
      <c r="N54" s="34" t="n">
        <f aca="false">ROUND(L54*M54,2)</f>
        <v>0.21</v>
      </c>
    </row>
    <row r="55" customFormat="false" ht="15" hidden="false" customHeight="false" outlineLevel="0" collapsed="false">
      <c r="A55" s="24" t="s">
        <v>268</v>
      </c>
      <c r="B55" s="25" t="n">
        <v>14.01</v>
      </c>
      <c r="C55" s="25" t="n">
        <v>30</v>
      </c>
      <c r="D55" s="26" t="n">
        <v>0.27799</v>
      </c>
      <c r="E55" s="27" t="n">
        <v>1</v>
      </c>
      <c r="F55" s="28" t="n">
        <f aca="false">ROUND(B55*E55,2)</f>
        <v>14.01</v>
      </c>
      <c r="H55" s="29" t="n">
        <v>11.67</v>
      </c>
      <c r="I55" s="30" t="n">
        <v>1</v>
      </c>
      <c r="J55" s="31" t="n">
        <f aca="false">ROUND(H55*I55,2)</f>
        <v>11.67</v>
      </c>
      <c r="L55" s="32" t="n">
        <v>8.46</v>
      </c>
      <c r="M55" s="33" t="n">
        <v>1</v>
      </c>
      <c r="N55" s="34" t="n">
        <f aca="false">ROUND(L55*M55,2)</f>
        <v>8.46</v>
      </c>
    </row>
    <row r="56" customFormat="false" ht="15" hidden="false" customHeight="false" outlineLevel="0" collapsed="false">
      <c r="A56" s="37" t="s">
        <v>269</v>
      </c>
      <c r="F56" s="38" t="n">
        <f aca="false">ROUND((SUM(F48:F55)-F55)*1.1+F55,2)</f>
        <v>306.09</v>
      </c>
      <c r="J56" s="39" t="n">
        <f aca="false">ROUND(SUM(J48:J55),2)</f>
        <v>232.63</v>
      </c>
      <c r="N56" s="40" t="n">
        <f aca="false">ROUND(SUM(N48:N55),2)</f>
        <v>175.12</v>
      </c>
    </row>
    <row r="57" customFormat="false" ht="15" hidden="false" customHeight="false" outlineLevel="0" collapsed="false">
      <c r="A57" s="15" t="s">
        <v>270</v>
      </c>
      <c r="B57" s="41" t="n">
        <f aca="false">IF((F50+F48+F52+F49+F51)=0,"",((F50+F48+F52+F49+F51)-(B50*D50+B48*D48+B52*D52+B49*D49+B51*D51))/(F50+F48+F52+F49+F51))</f>
        <v>0.186520252837403</v>
      </c>
      <c r="D57" s="42" t="str">
        <f aca="false">IF(B57="","SIN PC",IF(B57&gt;=Detalle!$G$1,"APROBAR",IF(B57&gt;=0.2,"REVISAR","RECHAZAR")))</f>
        <v>RECHAZAR</v>
      </c>
      <c r="E57" s="42"/>
      <c r="F57" s="42"/>
    </row>
    <row r="59" customFormat="false" ht="15" hidden="false" customHeight="false" outlineLevel="0" collapsed="false">
      <c r="A59" s="11" t="s">
        <v>295</v>
      </c>
      <c r="B59" s="11"/>
      <c r="C59" s="11"/>
      <c r="D59" s="11"/>
      <c r="E59" s="11"/>
      <c r="F59" s="11"/>
      <c r="H59" s="11" t="s">
        <v>296</v>
      </c>
      <c r="I59" s="11"/>
      <c r="J59" s="11"/>
      <c r="K59" s="11"/>
      <c r="L59" s="11"/>
      <c r="M59" s="11"/>
      <c r="N59" s="11"/>
      <c r="P59" s="14" t="s">
        <v>246</v>
      </c>
    </row>
    <row r="60" customFormat="false" ht="15" hidden="false" customHeight="false" outlineLevel="0" collapsed="false">
      <c r="A60" s="15" t="s">
        <v>247</v>
      </c>
      <c r="B60" s="16" t="s">
        <v>248</v>
      </c>
      <c r="C60" s="17"/>
      <c r="D60" s="17"/>
      <c r="E60" s="17"/>
      <c r="F60" s="17"/>
      <c r="H60" s="18" t="s">
        <v>297</v>
      </c>
      <c r="I60" s="19"/>
      <c r="J60" s="19"/>
      <c r="L60" s="20" t="s">
        <v>298</v>
      </c>
      <c r="M60" s="21"/>
      <c r="N60" s="21"/>
      <c r="P60" s="14" t="s">
        <v>299</v>
      </c>
    </row>
    <row r="61" customFormat="false" ht="15" hidden="false" customHeight="false" outlineLevel="0" collapsed="false">
      <c r="B61" s="3" t="s">
        <v>252</v>
      </c>
      <c r="C61" s="3" t="s">
        <v>253</v>
      </c>
      <c r="D61" s="3" t="s">
        <v>254</v>
      </c>
      <c r="E61" s="3" t="s">
        <v>255</v>
      </c>
      <c r="F61" s="3" t="s">
        <v>256</v>
      </c>
      <c r="H61" s="22" t="s">
        <v>252</v>
      </c>
      <c r="I61" s="22" t="s">
        <v>255</v>
      </c>
      <c r="J61" s="22" t="s">
        <v>256</v>
      </c>
      <c r="L61" s="23" t="s">
        <v>252</v>
      </c>
      <c r="M61" s="23" t="s">
        <v>255</v>
      </c>
      <c r="N61" s="23" t="s">
        <v>256</v>
      </c>
      <c r="P61" s="14" t="s">
        <v>300</v>
      </c>
    </row>
    <row r="62" customFormat="false" ht="15" hidden="false" customHeight="false" outlineLevel="0" collapsed="false">
      <c r="A62" s="24" t="s">
        <v>258</v>
      </c>
      <c r="B62" s="25" t="n">
        <v>6.928</v>
      </c>
      <c r="C62" s="25" t="n">
        <v>30</v>
      </c>
      <c r="D62" s="26" t="n">
        <v>3.68919</v>
      </c>
      <c r="E62" s="27" t="n">
        <v>4.82</v>
      </c>
      <c r="F62" s="28" t="n">
        <f aca="false">ROUND(B62*E62,2)</f>
        <v>33.39</v>
      </c>
      <c r="H62" s="29" t="n">
        <v>6.928</v>
      </c>
      <c r="I62" s="30" t="n">
        <v>4.82</v>
      </c>
      <c r="J62" s="31" t="n">
        <f aca="false">ROUND(H62*I62,2)</f>
        <v>33.39</v>
      </c>
      <c r="L62" s="32" t="n">
        <v>6.928</v>
      </c>
      <c r="M62" s="33" t="n">
        <v>4.82</v>
      </c>
      <c r="N62" s="34" t="n">
        <f aca="false">ROUND(L62*M62,2)</f>
        <v>33.39</v>
      </c>
      <c r="P62" s="35" t="s">
        <v>301</v>
      </c>
    </row>
    <row r="63" customFormat="false" ht="15" hidden="false" customHeight="false" outlineLevel="0" collapsed="false">
      <c r="A63" s="24" t="s">
        <v>260</v>
      </c>
      <c r="B63" s="25" t="n">
        <v>6.928</v>
      </c>
      <c r="C63" s="25" t="n">
        <v>30</v>
      </c>
      <c r="D63" s="26" t="n">
        <v>1.31928</v>
      </c>
      <c r="E63" s="27" t="n">
        <v>2.37</v>
      </c>
      <c r="F63" s="28" t="n">
        <f aca="false">ROUND(B63*E63,2)</f>
        <v>16.42</v>
      </c>
      <c r="H63" s="29" t="n">
        <v>6.928</v>
      </c>
      <c r="I63" s="30" t="n">
        <v>2.37</v>
      </c>
      <c r="J63" s="31" t="n">
        <f aca="false">ROUND(H63*I63,2)</f>
        <v>16.42</v>
      </c>
      <c r="L63" s="32" t="n">
        <v>6.928</v>
      </c>
      <c r="M63" s="33" t="n">
        <v>2.37</v>
      </c>
      <c r="N63" s="34" t="n">
        <f aca="false">ROUND(L63*M63,2)</f>
        <v>16.42</v>
      </c>
      <c r="P63" s="36" t="s">
        <v>261</v>
      </c>
    </row>
    <row r="64" customFormat="false" ht="15" hidden="false" customHeight="false" outlineLevel="0" collapsed="false">
      <c r="A64" s="24" t="s">
        <v>262</v>
      </c>
      <c r="B64" s="25" t="n">
        <v>425.199</v>
      </c>
      <c r="C64" s="25" t="n">
        <v>30</v>
      </c>
      <c r="D64" s="26" t="n">
        <v>0.111171</v>
      </c>
      <c r="E64" s="27" t="n">
        <v>0.17</v>
      </c>
      <c r="F64" s="28" t="n">
        <f aca="false">ROUND(B64*E64,2)</f>
        <v>72.28</v>
      </c>
      <c r="H64" s="29" t="n">
        <v>254.599</v>
      </c>
      <c r="I64" s="30" t="n">
        <v>0.1724</v>
      </c>
      <c r="J64" s="31" t="n">
        <f aca="false">ROUND(H64*I64,2)</f>
        <v>43.89</v>
      </c>
      <c r="L64" s="32" t="n">
        <v>225.199</v>
      </c>
      <c r="M64" s="33" t="n">
        <v>0.175</v>
      </c>
      <c r="N64" s="34" t="n">
        <f aca="false">ROUND(L64*M64,2)</f>
        <v>39.41</v>
      </c>
      <c r="P64" s="35" t="s">
        <v>302</v>
      </c>
    </row>
    <row r="65" customFormat="false" ht="15" hidden="false" customHeight="false" outlineLevel="0" collapsed="false">
      <c r="A65" s="24" t="s">
        <v>264</v>
      </c>
      <c r="B65" s="25" t="n">
        <v>407.266</v>
      </c>
      <c r="C65" s="25" t="n">
        <v>30</v>
      </c>
      <c r="D65" s="26" t="n">
        <v>0.111171</v>
      </c>
      <c r="E65" s="27" t="n">
        <v>0.17</v>
      </c>
      <c r="F65" s="28" t="n">
        <f aca="false">ROUND(B65*E65,2)</f>
        <v>69.24</v>
      </c>
      <c r="H65" s="29" t="n">
        <v>235.376</v>
      </c>
      <c r="I65" s="30" t="n">
        <v>0.1724</v>
      </c>
      <c r="J65" s="31" t="n">
        <f aca="false">ROUND(H65*I65,2)</f>
        <v>40.58</v>
      </c>
      <c r="L65" s="32" t="n">
        <v>207.266</v>
      </c>
      <c r="M65" s="33" t="n">
        <v>0.175</v>
      </c>
      <c r="N65" s="34" t="n">
        <f aca="false">ROUND(L65*M65,2)</f>
        <v>36.27</v>
      </c>
    </row>
    <row r="66" customFormat="false" ht="15" hidden="false" customHeight="false" outlineLevel="0" collapsed="false">
      <c r="A66" s="24" t="s">
        <v>265</v>
      </c>
      <c r="B66" s="25" t="n">
        <v>606.93</v>
      </c>
      <c r="C66" s="25" t="n">
        <v>30</v>
      </c>
      <c r="D66" s="26" t="n">
        <v>0.111171</v>
      </c>
      <c r="E66" s="27" t="n">
        <v>0.17</v>
      </c>
      <c r="F66" s="28" t="n">
        <f aca="false">ROUND(B66*E66,2)</f>
        <v>103.18</v>
      </c>
      <c r="H66" s="29" t="n">
        <v>414.585</v>
      </c>
      <c r="I66" s="30" t="n">
        <v>0.1724</v>
      </c>
      <c r="J66" s="31" t="n">
        <f aca="false">ROUND(H66*I66,2)</f>
        <v>71.47</v>
      </c>
      <c r="L66" s="32" t="n">
        <v>406.93</v>
      </c>
      <c r="M66" s="33" t="n">
        <v>0.175</v>
      </c>
      <c r="N66" s="34" t="n">
        <f aca="false">ROUND(L66*M66,2)</f>
        <v>71.21</v>
      </c>
    </row>
    <row r="67" customFormat="false" ht="15" hidden="false" customHeight="false" outlineLevel="0" collapsed="false">
      <c r="A67" s="24" t="s">
        <v>266</v>
      </c>
      <c r="B67" s="25" t="n">
        <v>1</v>
      </c>
      <c r="C67" s="25" t="n">
        <v>30</v>
      </c>
      <c r="D67" s="26" t="n">
        <v>1.3414</v>
      </c>
      <c r="E67" s="27" t="n">
        <v>1</v>
      </c>
      <c r="F67" s="28" t="n">
        <f aca="false">ROUND(B67*E67,2)</f>
        <v>1</v>
      </c>
      <c r="H67" s="29" t="n">
        <v>1</v>
      </c>
      <c r="I67" s="30" t="n">
        <v>1</v>
      </c>
      <c r="J67" s="31" t="n">
        <f aca="false">ROUND(H67*I67,2)</f>
        <v>1</v>
      </c>
      <c r="L67" s="32" t="n">
        <v>1</v>
      </c>
      <c r="M67" s="33" t="n">
        <v>1</v>
      </c>
      <c r="N67" s="34" t="n">
        <f aca="false">ROUND(L67*M67,2)</f>
        <v>1</v>
      </c>
    </row>
    <row r="68" customFormat="false" ht="15" hidden="false" customHeight="false" outlineLevel="0" collapsed="false">
      <c r="A68" s="24" t="s">
        <v>267</v>
      </c>
      <c r="B68" s="25" t="n">
        <v>30</v>
      </c>
      <c r="C68" s="25" t="n">
        <v>30</v>
      </c>
      <c r="D68" s="26" t="n">
        <v>0.5736</v>
      </c>
      <c r="E68" s="27" t="n">
        <v>0.01274</v>
      </c>
      <c r="F68" s="28" t="n">
        <f aca="false">ROUND(B68*E68,2)</f>
        <v>0.38</v>
      </c>
      <c r="H68" s="29" t="n">
        <v>30</v>
      </c>
      <c r="I68" s="30" t="n">
        <v>0.01274</v>
      </c>
      <c r="J68" s="31" t="n">
        <f aca="false">ROUND(H68*I68,2)</f>
        <v>0.38</v>
      </c>
      <c r="L68" s="32" t="n">
        <v>30</v>
      </c>
      <c r="M68" s="33" t="n">
        <v>0.00685</v>
      </c>
      <c r="N68" s="34" t="n">
        <f aca="false">ROUND(L68*M68,2)</f>
        <v>0.21</v>
      </c>
    </row>
    <row r="69" customFormat="false" ht="15" hidden="false" customHeight="false" outlineLevel="0" collapsed="false">
      <c r="A69" s="24" t="s">
        <v>268</v>
      </c>
      <c r="B69" s="25" t="n">
        <v>15.66</v>
      </c>
      <c r="C69" s="25" t="n">
        <v>30</v>
      </c>
      <c r="D69" s="26" t="n">
        <v>0.27312</v>
      </c>
      <c r="E69" s="27" t="n">
        <v>1</v>
      </c>
      <c r="F69" s="28" t="n">
        <f aca="false">ROUND(B69*E69,2)</f>
        <v>15.66</v>
      </c>
      <c r="H69" s="29" t="n">
        <v>10.98</v>
      </c>
      <c r="I69" s="30" t="n">
        <v>1</v>
      </c>
      <c r="J69" s="31" t="n">
        <f aca="false">ROUND(H69*I69,2)</f>
        <v>10.98</v>
      </c>
      <c r="L69" s="32" t="n">
        <v>10.57</v>
      </c>
      <c r="M69" s="33" t="n">
        <v>1</v>
      </c>
      <c r="N69" s="34" t="n">
        <f aca="false">ROUND(L69*M69,2)</f>
        <v>10.57</v>
      </c>
    </row>
    <row r="70" customFormat="false" ht="15" hidden="false" customHeight="false" outlineLevel="0" collapsed="false">
      <c r="A70" s="37" t="s">
        <v>269</v>
      </c>
      <c r="F70" s="38" t="n">
        <f aca="false">ROUND((SUM(F62:F69)-F69)*1.1+F69,2)</f>
        <v>341.14</v>
      </c>
      <c r="J70" s="39" t="n">
        <f aca="false">ROUND(SUM(J62:J69),2)</f>
        <v>218.11</v>
      </c>
      <c r="N70" s="40" t="n">
        <f aca="false">ROUND(SUM(N62:N69),2)</f>
        <v>208.48</v>
      </c>
    </row>
    <row r="71" customFormat="false" ht="15" hidden="false" customHeight="false" outlineLevel="0" collapsed="false">
      <c r="A71" s="15" t="s">
        <v>270</v>
      </c>
      <c r="B71" s="41" t="n">
        <f aca="false">IF((F64+F62+F66+F63+F65)=0,"",((F64+F62+F66+F63+F65)-(B64*D64+B62*D62+B66*D66+B63*D63+B65*D65))/(F64+F62+F66+F63+F65))</f>
        <v>0.338841935061628</v>
      </c>
      <c r="D71" s="42" t="str">
        <f aca="false">IF(B71="","SIN PC",IF(B71&gt;=Detalle!$G$1,"APROBAR",IF(B71&gt;=0.2,"REVISAR","RECHAZAR")))</f>
        <v>APROBAR</v>
      </c>
      <c r="E71" s="42"/>
      <c r="F71" s="42"/>
    </row>
    <row r="73" customFormat="false" ht="15" hidden="false" customHeight="false" outlineLevel="0" collapsed="false">
      <c r="A73" s="11" t="s">
        <v>303</v>
      </c>
      <c r="B73" s="11"/>
      <c r="C73" s="11"/>
      <c r="D73" s="11"/>
      <c r="E73" s="11"/>
      <c r="F73" s="11"/>
      <c r="H73" s="11" t="s">
        <v>304</v>
      </c>
      <c r="I73" s="11"/>
      <c r="J73" s="11"/>
      <c r="K73" s="11"/>
      <c r="L73" s="11"/>
      <c r="M73" s="11"/>
      <c r="N73" s="11"/>
      <c r="P73" s="14" t="s">
        <v>246</v>
      </c>
    </row>
    <row r="74" customFormat="false" ht="15" hidden="false" customHeight="false" outlineLevel="0" collapsed="false">
      <c r="A74" s="15" t="s">
        <v>247</v>
      </c>
      <c r="B74" s="16" t="s">
        <v>248</v>
      </c>
      <c r="C74" s="17"/>
      <c r="D74" s="17"/>
      <c r="E74" s="17"/>
      <c r="F74" s="17"/>
      <c r="H74" s="18" t="s">
        <v>305</v>
      </c>
      <c r="I74" s="19"/>
      <c r="J74" s="19"/>
      <c r="L74" s="20" t="s">
        <v>306</v>
      </c>
      <c r="M74" s="21"/>
      <c r="N74" s="21"/>
      <c r="P74" s="14" t="s">
        <v>307</v>
      </c>
    </row>
    <row r="75" customFormat="false" ht="15" hidden="false" customHeight="false" outlineLevel="0" collapsed="false">
      <c r="B75" s="3" t="s">
        <v>252</v>
      </c>
      <c r="C75" s="3" t="s">
        <v>253</v>
      </c>
      <c r="D75" s="3" t="s">
        <v>254</v>
      </c>
      <c r="E75" s="3" t="s">
        <v>255</v>
      </c>
      <c r="F75" s="3" t="s">
        <v>256</v>
      </c>
      <c r="H75" s="22" t="s">
        <v>252</v>
      </c>
      <c r="I75" s="22" t="s">
        <v>255</v>
      </c>
      <c r="J75" s="22" t="s">
        <v>256</v>
      </c>
      <c r="L75" s="23" t="s">
        <v>252</v>
      </c>
      <c r="M75" s="23" t="s">
        <v>255</v>
      </c>
      <c r="N75" s="23" t="s">
        <v>256</v>
      </c>
      <c r="P75" s="14" t="s">
        <v>308</v>
      </c>
    </row>
    <row r="76" customFormat="false" ht="15" hidden="false" customHeight="false" outlineLevel="0" collapsed="false">
      <c r="A76" s="24" t="s">
        <v>258</v>
      </c>
      <c r="B76" s="25" t="n">
        <v>6.928</v>
      </c>
      <c r="C76" s="25" t="n">
        <v>30</v>
      </c>
      <c r="D76" s="26" t="n">
        <v>3.68919</v>
      </c>
      <c r="E76" s="27" t="n">
        <v>4.82</v>
      </c>
      <c r="F76" s="28" t="n">
        <f aca="false">ROUND(B76*E76,2)</f>
        <v>33.39</v>
      </c>
      <c r="H76" s="29" t="n">
        <v>6.928</v>
      </c>
      <c r="I76" s="30" t="n">
        <v>4.82</v>
      </c>
      <c r="J76" s="31" t="n">
        <f aca="false">ROUND(H76*I76,2)</f>
        <v>33.39</v>
      </c>
      <c r="L76" s="32" t="n">
        <v>6.928</v>
      </c>
      <c r="M76" s="33" t="n">
        <v>4.82</v>
      </c>
      <c r="N76" s="34" t="n">
        <f aca="false">ROUND(L76*M76,2)</f>
        <v>33.39</v>
      </c>
      <c r="P76" s="35" t="s">
        <v>309</v>
      </c>
    </row>
    <row r="77" customFormat="false" ht="15" hidden="false" customHeight="false" outlineLevel="0" collapsed="false">
      <c r="A77" s="24" t="s">
        <v>260</v>
      </c>
      <c r="B77" s="25" t="n">
        <v>6.928</v>
      </c>
      <c r="C77" s="25" t="n">
        <v>30</v>
      </c>
      <c r="D77" s="26" t="n">
        <v>1.31928</v>
      </c>
      <c r="E77" s="27" t="n">
        <v>2.37</v>
      </c>
      <c r="F77" s="28" t="n">
        <f aca="false">ROUND(B77*E77,2)</f>
        <v>16.42</v>
      </c>
      <c r="H77" s="29" t="n">
        <v>6.928</v>
      </c>
      <c r="I77" s="30" t="n">
        <v>2.37</v>
      </c>
      <c r="J77" s="31" t="n">
        <f aca="false">ROUND(H77*I77,2)</f>
        <v>16.42</v>
      </c>
      <c r="L77" s="32" t="n">
        <v>6.928</v>
      </c>
      <c r="M77" s="33" t="n">
        <v>2.37</v>
      </c>
      <c r="N77" s="34" t="n">
        <f aca="false">ROUND(L77*M77,2)</f>
        <v>16.42</v>
      </c>
      <c r="P77" s="36" t="s">
        <v>261</v>
      </c>
    </row>
    <row r="78" customFormat="false" ht="15" hidden="false" customHeight="false" outlineLevel="0" collapsed="false">
      <c r="A78" s="24" t="s">
        <v>262</v>
      </c>
      <c r="B78" s="25" t="n">
        <v>191.223</v>
      </c>
      <c r="C78" s="25" t="n">
        <v>30</v>
      </c>
      <c r="D78" s="26" t="n">
        <v>0.111171</v>
      </c>
      <c r="E78" s="27" t="n">
        <v>0.1724</v>
      </c>
      <c r="F78" s="28" t="n">
        <f aca="false">ROUND(B78*E78,2)</f>
        <v>32.97</v>
      </c>
      <c r="H78" s="29" t="n">
        <v>241.525</v>
      </c>
      <c r="I78" s="30" t="n">
        <v>0.1724</v>
      </c>
      <c r="J78" s="31" t="n">
        <f aca="false">ROUND(H78*I78,2)</f>
        <v>41.64</v>
      </c>
      <c r="L78" s="32" t="n">
        <v>98.223</v>
      </c>
      <c r="M78" s="33" t="n">
        <v>0.175</v>
      </c>
      <c r="N78" s="34" t="n">
        <f aca="false">ROUND(L78*M78,2)</f>
        <v>17.19</v>
      </c>
      <c r="P78" s="35" t="s">
        <v>310</v>
      </c>
    </row>
    <row r="79" customFormat="false" ht="15" hidden="false" customHeight="false" outlineLevel="0" collapsed="false">
      <c r="A79" s="24" t="s">
        <v>264</v>
      </c>
      <c r="B79" s="25" t="n">
        <v>176.381</v>
      </c>
      <c r="C79" s="25" t="n">
        <v>30</v>
      </c>
      <c r="D79" s="26" t="n">
        <v>0.111171</v>
      </c>
      <c r="E79" s="27" t="n">
        <v>0.1724</v>
      </c>
      <c r="F79" s="28" t="n">
        <f aca="false">ROUND(B79*E79,2)</f>
        <v>30.41</v>
      </c>
      <c r="H79" s="29" t="n">
        <v>215.785</v>
      </c>
      <c r="I79" s="30" t="n">
        <v>0.1724</v>
      </c>
      <c r="J79" s="31" t="n">
        <f aca="false">ROUND(H79*I79,2)</f>
        <v>37.2</v>
      </c>
      <c r="L79" s="32" t="n">
        <v>75.381</v>
      </c>
      <c r="M79" s="33" t="n">
        <v>0.175</v>
      </c>
      <c r="N79" s="34" t="n">
        <f aca="false">ROUND(L79*M79,2)</f>
        <v>13.19</v>
      </c>
    </row>
    <row r="80" customFormat="false" ht="15" hidden="false" customHeight="false" outlineLevel="0" collapsed="false">
      <c r="A80" s="24" t="s">
        <v>265</v>
      </c>
      <c r="B80" s="25" t="n">
        <v>242.943</v>
      </c>
      <c r="C80" s="25" t="n">
        <v>30</v>
      </c>
      <c r="D80" s="26" t="n">
        <v>0.111171</v>
      </c>
      <c r="E80" s="27" t="n">
        <v>0.17</v>
      </c>
      <c r="F80" s="28" t="n">
        <f aca="false">ROUND(B80*E80,2)</f>
        <v>41.3</v>
      </c>
      <c r="H80" s="29" t="n">
        <v>326.045</v>
      </c>
      <c r="I80" s="30" t="n">
        <v>0.1724</v>
      </c>
      <c r="J80" s="31" t="n">
        <f aca="false">ROUND(H80*I80,2)</f>
        <v>56.21</v>
      </c>
      <c r="L80" s="32" t="n">
        <v>142.943</v>
      </c>
      <c r="M80" s="33" t="n">
        <v>0.175</v>
      </c>
      <c r="N80" s="34" t="n">
        <f aca="false">ROUND(L80*M80,2)</f>
        <v>25.02</v>
      </c>
    </row>
    <row r="81" customFormat="false" ht="15" hidden="false" customHeight="false" outlineLevel="0" collapsed="false">
      <c r="A81" s="24" t="s">
        <v>266</v>
      </c>
      <c r="B81" s="25" t="n">
        <v>1</v>
      </c>
      <c r="C81" s="25" t="n">
        <v>30</v>
      </c>
      <c r="D81" s="26" t="n">
        <v>1.3414</v>
      </c>
      <c r="E81" s="27" t="n">
        <v>1</v>
      </c>
      <c r="F81" s="28" t="n">
        <f aca="false">ROUND(B81*E81,2)</f>
        <v>1</v>
      </c>
      <c r="H81" s="29" t="n">
        <v>1</v>
      </c>
      <c r="I81" s="30" t="n">
        <v>1</v>
      </c>
      <c r="J81" s="31" t="n">
        <f aca="false">ROUND(H81*I81,2)</f>
        <v>1</v>
      </c>
      <c r="L81" s="32" t="n">
        <v>1</v>
      </c>
      <c r="M81" s="33" t="n">
        <v>1</v>
      </c>
      <c r="N81" s="34" t="n">
        <f aca="false">ROUND(L81*M81,2)</f>
        <v>1</v>
      </c>
    </row>
    <row r="82" customFormat="false" ht="15" hidden="false" customHeight="false" outlineLevel="0" collapsed="false">
      <c r="A82" s="24" t="s">
        <v>267</v>
      </c>
      <c r="B82" s="25" t="n">
        <v>30</v>
      </c>
      <c r="C82" s="25" t="n">
        <v>30</v>
      </c>
      <c r="D82" s="26" t="n">
        <v>0.5736</v>
      </c>
      <c r="E82" s="27" t="n">
        <v>0.01274</v>
      </c>
      <c r="F82" s="28" t="n">
        <f aca="false">ROUND(B82*E82,2)</f>
        <v>0.38</v>
      </c>
      <c r="H82" s="29" t="n">
        <v>30</v>
      </c>
      <c r="I82" s="30" t="n">
        <v>0.01274</v>
      </c>
      <c r="J82" s="31" t="n">
        <f aca="false">ROUND(H82*I82,2)</f>
        <v>0.38</v>
      </c>
      <c r="L82" s="32" t="n">
        <v>30</v>
      </c>
      <c r="M82" s="33" t="n">
        <v>0.00685</v>
      </c>
      <c r="N82" s="34" t="n">
        <f aca="false">ROUND(L82*M82,2)</f>
        <v>0.21</v>
      </c>
    </row>
    <row r="83" customFormat="false" ht="15" hidden="false" customHeight="false" outlineLevel="0" collapsed="false">
      <c r="A83" s="24" t="s">
        <v>268</v>
      </c>
      <c r="B83" s="25" t="n">
        <v>8.24</v>
      </c>
      <c r="C83" s="25" t="n">
        <v>30</v>
      </c>
      <c r="D83" s="26" t="n">
        <v>0.27312</v>
      </c>
      <c r="E83" s="27" t="n">
        <v>1</v>
      </c>
      <c r="F83" s="28" t="n">
        <f aca="false">ROUND(B83*E83,2)</f>
        <v>8.24</v>
      </c>
      <c r="H83" s="29" t="n">
        <v>9.86</v>
      </c>
      <c r="I83" s="30" t="n">
        <v>1</v>
      </c>
      <c r="J83" s="31" t="n">
        <f aca="false">ROUND(H83*I83,2)</f>
        <v>9.86</v>
      </c>
      <c r="L83" s="32" t="n">
        <v>5.39</v>
      </c>
      <c r="M83" s="33" t="n">
        <v>1</v>
      </c>
      <c r="N83" s="34" t="n">
        <f aca="false">ROUND(L83*M83,2)</f>
        <v>5.39</v>
      </c>
    </row>
    <row r="84" customFormat="false" ht="15" hidden="false" customHeight="false" outlineLevel="0" collapsed="false">
      <c r="A84" s="37" t="s">
        <v>269</v>
      </c>
      <c r="F84" s="38" t="n">
        <f aca="false">ROUND((SUM(F76:F83)-F83)*1.1+F83,2)</f>
        <v>179.7</v>
      </c>
      <c r="J84" s="39" t="n">
        <f aca="false">ROUND(SUM(J76:J83),2)</f>
        <v>196.1</v>
      </c>
      <c r="N84" s="40" t="n">
        <f aca="false">ROUND(SUM(N76:N83),2)</f>
        <v>111.81</v>
      </c>
    </row>
    <row r="85" customFormat="false" ht="15" hidden="false" customHeight="false" outlineLevel="0" collapsed="false">
      <c r="A85" s="15" t="s">
        <v>270</v>
      </c>
      <c r="B85" s="41" t="n">
        <f aca="false">IF((F78+F76+F80+F77+F79)=0,"",((F78+F76+F80+F77+F79)-(B78*D78+B76*D76+B80*D80+B77*D77+B79*D79))/(F78+F76+F80+F77+F79))</f>
        <v>0.336048930694543</v>
      </c>
      <c r="D85" s="42" t="str">
        <f aca="false">IF(B85="","SIN PC",IF(B85&gt;=Detalle!$G$1,"APROBAR",IF(B85&gt;=0.2,"REVISAR","RECHAZAR")))</f>
        <v>APROBAR</v>
      </c>
      <c r="E85" s="42"/>
      <c r="F85" s="42"/>
    </row>
    <row r="87" customFormat="false" ht="15" hidden="false" customHeight="false" outlineLevel="0" collapsed="false">
      <c r="A87" s="11" t="s">
        <v>311</v>
      </c>
      <c r="B87" s="11"/>
      <c r="C87" s="11"/>
      <c r="D87" s="11"/>
      <c r="E87" s="11"/>
      <c r="F87" s="11"/>
      <c r="H87" s="11" t="s">
        <v>312</v>
      </c>
      <c r="I87" s="11"/>
      <c r="J87" s="11"/>
      <c r="K87" s="11"/>
      <c r="L87" s="11"/>
      <c r="M87" s="11"/>
      <c r="N87" s="11"/>
      <c r="P87" s="14" t="s">
        <v>246</v>
      </c>
    </row>
    <row r="88" customFormat="false" ht="15" hidden="false" customHeight="false" outlineLevel="0" collapsed="false">
      <c r="A88" s="15" t="s">
        <v>247</v>
      </c>
      <c r="B88" s="16" t="s">
        <v>248</v>
      </c>
      <c r="C88" s="17"/>
      <c r="D88" s="17"/>
      <c r="E88" s="17"/>
      <c r="F88" s="17"/>
      <c r="H88" s="18" t="s">
        <v>313</v>
      </c>
      <c r="I88" s="19"/>
      <c r="J88" s="19"/>
      <c r="L88" s="20" t="s">
        <v>314</v>
      </c>
      <c r="M88" s="21"/>
      <c r="N88" s="21"/>
      <c r="P88" s="14" t="s">
        <v>315</v>
      </c>
    </row>
    <row r="89" customFormat="false" ht="15" hidden="false" customHeight="false" outlineLevel="0" collapsed="false">
      <c r="B89" s="3" t="s">
        <v>252</v>
      </c>
      <c r="C89" s="3" t="s">
        <v>253</v>
      </c>
      <c r="D89" s="3" t="s">
        <v>254</v>
      </c>
      <c r="E89" s="3" t="s">
        <v>255</v>
      </c>
      <c r="F89" s="3" t="s">
        <v>256</v>
      </c>
      <c r="H89" s="22" t="s">
        <v>252</v>
      </c>
      <c r="I89" s="22" t="s">
        <v>255</v>
      </c>
      <c r="J89" s="22" t="s">
        <v>256</v>
      </c>
      <c r="L89" s="23" t="s">
        <v>252</v>
      </c>
      <c r="M89" s="23" t="s">
        <v>255</v>
      </c>
      <c r="N89" s="23" t="s">
        <v>256</v>
      </c>
      <c r="P89" s="14" t="s">
        <v>316</v>
      </c>
    </row>
    <row r="90" customFormat="false" ht="15" hidden="false" customHeight="false" outlineLevel="0" collapsed="false">
      <c r="A90" s="24" t="s">
        <v>258</v>
      </c>
      <c r="B90" s="25" t="n">
        <v>6.928</v>
      </c>
      <c r="C90" s="25" t="n">
        <v>30</v>
      </c>
      <c r="D90" s="26" t="n">
        <v>3.68919</v>
      </c>
      <c r="E90" s="27" t="n">
        <v>4.82</v>
      </c>
      <c r="F90" s="28" t="n">
        <f aca="false">ROUND(B90*E90,2)</f>
        <v>33.39</v>
      </c>
      <c r="H90" s="29" t="n">
        <v>6.928</v>
      </c>
      <c r="I90" s="30" t="n">
        <v>4.82</v>
      </c>
      <c r="J90" s="31" t="n">
        <f aca="false">ROUND(H90*I90,2)</f>
        <v>33.39</v>
      </c>
      <c r="L90" s="32" t="n">
        <v>6.928</v>
      </c>
      <c r="M90" s="33" t="n">
        <v>4.82</v>
      </c>
      <c r="N90" s="34" t="n">
        <f aca="false">ROUND(L90*M90,2)</f>
        <v>33.39</v>
      </c>
      <c r="P90" s="35" t="s">
        <v>317</v>
      </c>
    </row>
    <row r="91" customFormat="false" ht="15" hidden="false" customHeight="false" outlineLevel="0" collapsed="false">
      <c r="A91" s="24" t="s">
        <v>260</v>
      </c>
      <c r="B91" s="25" t="n">
        <v>6.928</v>
      </c>
      <c r="C91" s="25" t="n">
        <v>30</v>
      </c>
      <c r="D91" s="26" t="n">
        <v>1.31928</v>
      </c>
      <c r="E91" s="27" t="n">
        <v>2.37</v>
      </c>
      <c r="F91" s="28" t="n">
        <f aca="false">ROUND(B91*E91,2)</f>
        <v>16.42</v>
      </c>
      <c r="H91" s="29" t="n">
        <v>6.928</v>
      </c>
      <c r="I91" s="30" t="n">
        <v>2.37</v>
      </c>
      <c r="J91" s="31" t="n">
        <f aca="false">ROUND(H91*I91,2)</f>
        <v>16.42</v>
      </c>
      <c r="L91" s="32" t="n">
        <v>6.928</v>
      </c>
      <c r="M91" s="33" t="n">
        <v>2.37</v>
      </c>
      <c r="N91" s="34" t="n">
        <f aca="false">ROUND(L91*M91,2)</f>
        <v>16.42</v>
      </c>
      <c r="P91" s="36" t="s">
        <v>261</v>
      </c>
    </row>
    <row r="92" customFormat="false" ht="15" hidden="false" customHeight="false" outlineLevel="0" collapsed="false">
      <c r="A92" s="24" t="s">
        <v>262</v>
      </c>
      <c r="B92" s="25" t="n">
        <v>374.461</v>
      </c>
      <c r="C92" s="25" t="n">
        <v>30</v>
      </c>
      <c r="D92" s="26" t="n">
        <v>0.111171</v>
      </c>
      <c r="E92" s="27" t="n">
        <v>0.17</v>
      </c>
      <c r="F92" s="28" t="n">
        <f aca="false">ROUND(B92*E92,2)</f>
        <v>63.66</v>
      </c>
      <c r="H92" s="29" t="n">
        <v>372.052</v>
      </c>
      <c r="I92" s="30" t="n">
        <v>0.175</v>
      </c>
      <c r="J92" s="31" t="n">
        <f aca="false">ROUND(H92*I92,2)</f>
        <v>65.11</v>
      </c>
      <c r="L92" s="32" t="n">
        <v>284.461</v>
      </c>
      <c r="M92" s="33" t="n">
        <v>0.175</v>
      </c>
      <c r="N92" s="34" t="n">
        <f aca="false">ROUND(L92*M92,2)</f>
        <v>49.78</v>
      </c>
      <c r="P92" s="35" t="s">
        <v>318</v>
      </c>
    </row>
    <row r="93" customFormat="false" ht="15" hidden="false" customHeight="false" outlineLevel="0" collapsed="false">
      <c r="A93" s="24" t="s">
        <v>264</v>
      </c>
      <c r="B93" s="25" t="n">
        <v>399.208</v>
      </c>
      <c r="C93" s="25" t="n">
        <v>30</v>
      </c>
      <c r="D93" s="26" t="n">
        <v>0.111171</v>
      </c>
      <c r="E93" s="27" t="n">
        <v>0.17</v>
      </c>
      <c r="F93" s="28" t="n">
        <f aca="false">ROUND(B93*E93,2)</f>
        <v>67.87</v>
      </c>
      <c r="H93" s="29" t="n">
        <v>370.213</v>
      </c>
      <c r="I93" s="30" t="n">
        <v>0.175</v>
      </c>
      <c r="J93" s="31" t="n">
        <f aca="false">ROUND(H93*I93,2)</f>
        <v>64.79</v>
      </c>
      <c r="L93" s="32" t="n">
        <v>259.208</v>
      </c>
      <c r="M93" s="33" t="n">
        <v>0.175</v>
      </c>
      <c r="N93" s="34" t="n">
        <f aca="false">ROUND(L93*M93,2)</f>
        <v>45.36</v>
      </c>
    </row>
    <row r="94" customFormat="false" ht="15" hidden="false" customHeight="false" outlineLevel="0" collapsed="false">
      <c r="A94" s="24" t="s">
        <v>265</v>
      </c>
      <c r="B94" s="25" t="n">
        <v>681.209</v>
      </c>
      <c r="C94" s="25" t="n">
        <v>30</v>
      </c>
      <c r="D94" s="26" t="n">
        <v>0.111171</v>
      </c>
      <c r="E94" s="27" t="n">
        <v>0.17</v>
      </c>
      <c r="F94" s="28" t="n">
        <f aca="false">ROUND(B94*E94,2)</f>
        <v>115.81</v>
      </c>
      <c r="H94" s="29" t="n">
        <v>657.524</v>
      </c>
      <c r="I94" s="30" t="n">
        <v>0.175</v>
      </c>
      <c r="J94" s="31" t="n">
        <f aca="false">ROUND(H94*I94,2)</f>
        <v>115.07</v>
      </c>
      <c r="L94" s="32" t="n">
        <v>485.209</v>
      </c>
      <c r="M94" s="33" t="n">
        <v>0.175</v>
      </c>
      <c r="N94" s="34" t="n">
        <f aca="false">ROUND(L94*M94,2)</f>
        <v>84.91</v>
      </c>
    </row>
    <row r="95" customFormat="false" ht="15" hidden="false" customHeight="false" outlineLevel="0" collapsed="false">
      <c r="A95" s="24" t="s">
        <v>266</v>
      </c>
      <c r="B95" s="25" t="n">
        <v>1</v>
      </c>
      <c r="C95" s="25" t="n">
        <v>30</v>
      </c>
      <c r="D95" s="26" t="n">
        <v>1.3414</v>
      </c>
      <c r="E95" s="27" t="n">
        <v>1</v>
      </c>
      <c r="F95" s="28" t="n">
        <f aca="false">ROUND(B95*E95,2)</f>
        <v>1</v>
      </c>
      <c r="H95" s="29" t="n">
        <v>1</v>
      </c>
      <c r="I95" s="30" t="n">
        <v>1</v>
      </c>
      <c r="J95" s="31" t="n">
        <f aca="false">ROUND(H95*I95,2)</f>
        <v>1</v>
      </c>
      <c r="L95" s="32" t="n">
        <v>1</v>
      </c>
      <c r="M95" s="33" t="n">
        <v>1</v>
      </c>
      <c r="N95" s="34" t="n">
        <f aca="false">ROUND(L95*M95,2)</f>
        <v>1</v>
      </c>
    </row>
    <row r="96" customFormat="false" ht="15" hidden="false" customHeight="false" outlineLevel="0" collapsed="false">
      <c r="A96" s="24" t="s">
        <v>267</v>
      </c>
      <c r="B96" s="25" t="n">
        <v>30</v>
      </c>
      <c r="C96" s="25" t="n">
        <v>30</v>
      </c>
      <c r="D96" s="26" t="n">
        <v>0.5736</v>
      </c>
      <c r="E96" s="27" t="n">
        <v>0.01274</v>
      </c>
      <c r="F96" s="28" t="n">
        <f aca="false">ROUND(B96*E96,2)</f>
        <v>0.38</v>
      </c>
      <c r="H96" s="29" t="n">
        <v>30</v>
      </c>
      <c r="I96" s="30" t="n">
        <v>0.01274</v>
      </c>
      <c r="J96" s="31" t="n">
        <f aca="false">ROUND(H96*I96,2)</f>
        <v>0.38</v>
      </c>
      <c r="L96" s="32" t="n">
        <v>30</v>
      </c>
      <c r="M96" s="33" t="n">
        <v>0.00685</v>
      </c>
      <c r="N96" s="34" t="n">
        <f aca="false">ROUND(L96*M96,2)</f>
        <v>0.21</v>
      </c>
    </row>
    <row r="97" customFormat="false" ht="15" hidden="false" customHeight="false" outlineLevel="0" collapsed="false">
      <c r="A97" s="24" t="s">
        <v>268</v>
      </c>
      <c r="B97" s="25" t="n">
        <v>15.86</v>
      </c>
      <c r="C97" s="25" t="n">
        <v>30</v>
      </c>
      <c r="D97" s="26" t="n">
        <v>0.27312</v>
      </c>
      <c r="E97" s="27" t="n">
        <v>1</v>
      </c>
      <c r="F97" s="28" t="n">
        <f aca="false">ROUND(B97*E97,2)</f>
        <v>15.86</v>
      </c>
      <c r="H97" s="29" t="n">
        <v>15.75</v>
      </c>
      <c r="I97" s="30" t="n">
        <v>1</v>
      </c>
      <c r="J97" s="31" t="n">
        <f aca="false">ROUND(H97*I97,2)</f>
        <v>15.75</v>
      </c>
      <c r="L97" s="32" t="n">
        <v>11.76</v>
      </c>
      <c r="M97" s="33" t="n">
        <v>1</v>
      </c>
      <c r="N97" s="34" t="n">
        <f aca="false">ROUND(L97*M97,2)</f>
        <v>11.76</v>
      </c>
    </row>
    <row r="98" customFormat="false" ht="15" hidden="false" customHeight="false" outlineLevel="0" collapsed="false">
      <c r="A98" s="37" t="s">
        <v>269</v>
      </c>
      <c r="F98" s="38" t="n">
        <f aca="false">ROUND((SUM(F90:F97)-F97)*1.1+F97,2)</f>
        <v>344.24</v>
      </c>
      <c r="J98" s="39" t="n">
        <f aca="false">ROUND(SUM(J90:J97),2)</f>
        <v>311.91</v>
      </c>
      <c r="N98" s="40" t="n">
        <f aca="false">ROUND(SUM(N90:N97),2)</f>
        <v>242.83</v>
      </c>
    </row>
    <row r="99" customFormat="false" ht="15" hidden="false" customHeight="false" outlineLevel="0" collapsed="false">
      <c r="A99" s="15" t="s">
        <v>270</v>
      </c>
      <c r="B99" s="41" t="n">
        <f aca="false">IF((F92+F90+F94+F91+F93)=0,"",((F92+F90+F94+F91+F93)-(B92*D92+B90*D90+B94*D94+B91*D91+B93*D93))/(F92+F90+F94+F91+F93))</f>
        <v>0.338923364300858</v>
      </c>
      <c r="D99" s="42" t="str">
        <f aca="false">IF(B99="","SIN PC",IF(B99&gt;=Detalle!$G$1,"APROBAR",IF(B99&gt;=0.2,"REVISAR","RECHAZAR")))</f>
        <v>APROBAR</v>
      </c>
      <c r="E99" s="42"/>
      <c r="F99" s="42"/>
    </row>
    <row r="101" customFormat="false" ht="15" hidden="false" customHeight="false" outlineLevel="0" collapsed="false">
      <c r="A101" s="11" t="s">
        <v>319</v>
      </c>
      <c r="B101" s="11"/>
      <c r="C101" s="11"/>
      <c r="D101" s="11"/>
      <c r="E101" s="11"/>
      <c r="F101" s="11"/>
      <c r="H101" s="11" t="s">
        <v>320</v>
      </c>
      <c r="I101" s="11"/>
      <c r="J101" s="11"/>
      <c r="K101" s="11"/>
      <c r="L101" s="11"/>
      <c r="M101" s="11"/>
      <c r="N101" s="11"/>
      <c r="P101" s="14" t="s">
        <v>246</v>
      </c>
    </row>
    <row r="102" customFormat="false" ht="15" hidden="false" customHeight="false" outlineLevel="0" collapsed="false">
      <c r="A102" s="15" t="s">
        <v>247</v>
      </c>
      <c r="B102" s="16" t="s">
        <v>248</v>
      </c>
      <c r="C102" s="17"/>
      <c r="D102" s="17"/>
      <c r="E102" s="17"/>
      <c r="F102" s="17"/>
      <c r="H102" s="18" t="s">
        <v>321</v>
      </c>
      <c r="I102" s="19"/>
      <c r="J102" s="19"/>
      <c r="L102" s="20" t="s">
        <v>322</v>
      </c>
      <c r="M102" s="21"/>
      <c r="N102" s="21"/>
    </row>
    <row r="103" customFormat="false" ht="15" hidden="false" customHeight="false" outlineLevel="0" collapsed="false">
      <c r="B103" s="3" t="s">
        <v>252</v>
      </c>
      <c r="C103" s="3" t="s">
        <v>253</v>
      </c>
      <c r="D103" s="3" t="s">
        <v>254</v>
      </c>
      <c r="E103" s="3" t="s">
        <v>255</v>
      </c>
      <c r="F103" s="3" t="s">
        <v>256</v>
      </c>
      <c r="H103" s="22" t="s">
        <v>252</v>
      </c>
      <c r="I103" s="22" t="s">
        <v>255</v>
      </c>
      <c r="J103" s="22" t="s">
        <v>256</v>
      </c>
      <c r="L103" s="23" t="s">
        <v>252</v>
      </c>
      <c r="M103" s="23" t="s">
        <v>255</v>
      </c>
      <c r="N103" s="23" t="s">
        <v>256</v>
      </c>
    </row>
    <row r="104" customFormat="false" ht="15" hidden="false" customHeight="false" outlineLevel="0" collapsed="false">
      <c r="A104" s="24" t="s">
        <v>258</v>
      </c>
      <c r="B104" s="25" t="n">
        <v>6.928</v>
      </c>
      <c r="C104" s="25" t="n">
        <v>30</v>
      </c>
      <c r="D104" s="26" t="n">
        <v>3.68919</v>
      </c>
      <c r="E104" s="27" t="n">
        <v>4.82</v>
      </c>
      <c r="F104" s="28" t="n">
        <f aca="false">ROUND(B104*E104,2)</f>
        <v>33.39</v>
      </c>
      <c r="H104" s="29" t="n">
        <v>6.928</v>
      </c>
      <c r="I104" s="30" t="n">
        <v>4.82</v>
      </c>
      <c r="J104" s="31" t="n">
        <f aca="false">ROUND(H104*I104,2)</f>
        <v>33.39</v>
      </c>
      <c r="L104" s="32" t="n">
        <v>6.928</v>
      </c>
      <c r="M104" s="33" t="n">
        <v>4.82</v>
      </c>
      <c r="N104" s="34" t="n">
        <f aca="false">ROUND(L104*M104,2)</f>
        <v>33.39</v>
      </c>
    </row>
    <row r="105" customFormat="false" ht="15" hidden="false" customHeight="false" outlineLevel="0" collapsed="false">
      <c r="A105" s="24" t="s">
        <v>260</v>
      </c>
      <c r="B105" s="25" t="n">
        <v>6.928</v>
      </c>
      <c r="C105" s="25" t="n">
        <v>30</v>
      </c>
      <c r="D105" s="26" t="n">
        <v>1.31928</v>
      </c>
      <c r="E105" s="27" t="n">
        <v>2.37</v>
      </c>
      <c r="F105" s="28" t="n">
        <f aca="false">ROUND(B105*E105,2)</f>
        <v>16.42</v>
      </c>
      <c r="H105" s="29" t="n">
        <v>6.928</v>
      </c>
      <c r="I105" s="30" t="n">
        <v>2.37</v>
      </c>
      <c r="J105" s="31" t="n">
        <f aca="false">ROUND(H105*I105,2)</f>
        <v>16.42</v>
      </c>
      <c r="L105" s="32" t="n">
        <v>6.928</v>
      </c>
      <c r="M105" s="33" t="n">
        <v>2.37</v>
      </c>
      <c r="N105" s="34" t="n">
        <f aca="false">ROUND(L105*M105,2)</f>
        <v>16.42</v>
      </c>
      <c r="P105" s="43" t="s">
        <v>261</v>
      </c>
    </row>
    <row r="106" customFormat="false" ht="15" hidden="false" customHeight="false" outlineLevel="0" collapsed="false">
      <c r="A106" s="24" t="s">
        <v>262</v>
      </c>
      <c r="B106" s="25" t="n">
        <v>182.17</v>
      </c>
      <c r="C106" s="25" t="n">
        <v>30</v>
      </c>
      <c r="D106" s="26" t="n">
        <v>0.111171</v>
      </c>
      <c r="E106" s="27" t="n">
        <v>0.17</v>
      </c>
      <c r="F106" s="28" t="n">
        <f aca="false">ROUND(B106*E106,2)</f>
        <v>30.97</v>
      </c>
      <c r="H106" s="29" t="n">
        <v>381.405</v>
      </c>
      <c r="I106" s="30" t="n">
        <v>0.1724</v>
      </c>
      <c r="J106" s="31" t="n">
        <f aca="false">ROUND(H106*I106,2)</f>
        <v>65.75</v>
      </c>
      <c r="L106" s="32" t="n">
        <v>82.17</v>
      </c>
      <c r="M106" s="33" t="n">
        <v>0.175</v>
      </c>
      <c r="N106" s="34" t="n">
        <f aca="false">ROUND(L106*M106,2)</f>
        <v>14.38</v>
      </c>
    </row>
    <row r="107" customFormat="false" ht="15" hidden="false" customHeight="false" outlineLevel="0" collapsed="false">
      <c r="A107" s="24" t="s">
        <v>264</v>
      </c>
      <c r="B107" s="25" t="n">
        <v>176.133</v>
      </c>
      <c r="C107" s="25" t="n">
        <v>30</v>
      </c>
      <c r="D107" s="26" t="n">
        <v>0.111171</v>
      </c>
      <c r="E107" s="27" t="n">
        <v>0.17</v>
      </c>
      <c r="F107" s="28" t="n">
        <f aca="false">ROUND(B107*E107,2)</f>
        <v>29.94</v>
      </c>
      <c r="H107" s="29" t="n">
        <v>356.448</v>
      </c>
      <c r="I107" s="30" t="n">
        <v>0.1724</v>
      </c>
      <c r="J107" s="31" t="n">
        <f aca="false">ROUND(H107*I107,2)</f>
        <v>61.45</v>
      </c>
      <c r="L107" s="32" t="n">
        <v>76.133</v>
      </c>
      <c r="M107" s="33" t="n">
        <v>0.175</v>
      </c>
      <c r="N107" s="34" t="n">
        <f aca="false">ROUND(L107*M107,2)</f>
        <v>13.32</v>
      </c>
    </row>
    <row r="108" customFormat="false" ht="15" hidden="false" customHeight="false" outlineLevel="0" collapsed="false">
      <c r="A108" s="24" t="s">
        <v>265</v>
      </c>
      <c r="B108" s="25" t="n">
        <v>270.26</v>
      </c>
      <c r="C108" s="25" t="n">
        <v>30</v>
      </c>
      <c r="D108" s="26" t="n">
        <v>0.111171</v>
      </c>
      <c r="E108" s="27" t="n">
        <v>0.17</v>
      </c>
      <c r="F108" s="28" t="n">
        <f aca="false">ROUND(B108*E108,2)</f>
        <v>45.94</v>
      </c>
      <c r="H108" s="29" t="n">
        <v>667.21</v>
      </c>
      <c r="I108" s="30" t="n">
        <v>0.1724</v>
      </c>
      <c r="J108" s="31" t="n">
        <f aca="false">ROUND(H108*I108,2)</f>
        <v>115.03</v>
      </c>
      <c r="L108" s="32" t="n">
        <v>170.26</v>
      </c>
      <c r="M108" s="33" t="n">
        <v>0.175</v>
      </c>
      <c r="N108" s="34" t="n">
        <f aca="false">ROUND(L108*M108,2)</f>
        <v>29.8</v>
      </c>
    </row>
    <row r="109" customFormat="false" ht="15" hidden="false" customHeight="false" outlineLevel="0" collapsed="false">
      <c r="A109" s="24" t="s">
        <v>266</v>
      </c>
      <c r="B109" s="25" t="n">
        <v>1</v>
      </c>
      <c r="C109" s="25" t="n">
        <v>30</v>
      </c>
      <c r="D109" s="26" t="n">
        <v>1.3414</v>
      </c>
      <c r="E109" s="27" t="n">
        <v>1</v>
      </c>
      <c r="F109" s="28" t="n">
        <f aca="false">ROUND(B109*E109,2)</f>
        <v>1</v>
      </c>
      <c r="H109" s="29" t="n">
        <v>1</v>
      </c>
      <c r="I109" s="30" t="n">
        <v>1</v>
      </c>
      <c r="J109" s="31" t="n">
        <f aca="false">ROUND(H109*I109,2)</f>
        <v>1</v>
      </c>
      <c r="L109" s="32" t="n">
        <v>1</v>
      </c>
      <c r="M109" s="33" t="n">
        <v>1</v>
      </c>
      <c r="N109" s="34" t="n">
        <f aca="false">ROUND(L109*M109,2)</f>
        <v>1</v>
      </c>
    </row>
    <row r="110" customFormat="false" ht="15" hidden="false" customHeight="false" outlineLevel="0" collapsed="false">
      <c r="A110" s="24" t="s">
        <v>267</v>
      </c>
      <c r="B110" s="25" t="n">
        <v>30</v>
      </c>
      <c r="C110" s="25" t="n">
        <v>30</v>
      </c>
      <c r="D110" s="26" t="n">
        <v>0.5736</v>
      </c>
      <c r="E110" s="27" t="n">
        <v>0.01274</v>
      </c>
      <c r="F110" s="28" t="n">
        <f aca="false">ROUND(B110*E110,2)</f>
        <v>0.38</v>
      </c>
      <c r="H110" s="29" t="n">
        <v>30</v>
      </c>
      <c r="I110" s="30" t="n">
        <v>0.01274</v>
      </c>
      <c r="J110" s="31" t="n">
        <f aca="false">ROUND(H110*I110,2)</f>
        <v>0.38</v>
      </c>
      <c r="L110" s="32" t="n">
        <v>30</v>
      </c>
      <c r="M110" s="33" t="n">
        <v>0.00685</v>
      </c>
      <c r="N110" s="34" t="n">
        <f aca="false">ROUND(L110*M110,2)</f>
        <v>0.21</v>
      </c>
    </row>
    <row r="111" customFormat="false" ht="15" hidden="false" customHeight="false" outlineLevel="0" collapsed="false">
      <c r="A111" s="24" t="s">
        <v>268</v>
      </c>
      <c r="B111" s="25" t="n">
        <v>8.36</v>
      </c>
      <c r="C111" s="25" t="n">
        <v>30</v>
      </c>
      <c r="D111" s="26" t="n">
        <v>0.27312</v>
      </c>
      <c r="E111" s="27" t="n">
        <v>1</v>
      </c>
      <c r="F111" s="28" t="n">
        <f aca="false">ROUND(B111*E111,2)</f>
        <v>8.36</v>
      </c>
      <c r="H111" s="29" t="n">
        <v>15.61</v>
      </c>
      <c r="I111" s="30" t="n">
        <v>1</v>
      </c>
      <c r="J111" s="31" t="n">
        <f aca="false">ROUND(H111*I111,2)</f>
        <v>15.61</v>
      </c>
      <c r="L111" s="32" t="n">
        <v>5.49</v>
      </c>
      <c r="M111" s="33" t="n">
        <v>1</v>
      </c>
      <c r="N111" s="34" t="n">
        <f aca="false">ROUND(L111*M111,2)</f>
        <v>5.49</v>
      </c>
    </row>
    <row r="112" customFormat="false" ht="15" hidden="false" customHeight="false" outlineLevel="0" collapsed="false">
      <c r="A112" s="37" t="s">
        <v>269</v>
      </c>
      <c r="F112" s="38" t="n">
        <f aca="false">ROUND((SUM(F104:F111)-F111)*1.1+F111,2)</f>
        <v>182.2</v>
      </c>
      <c r="J112" s="39" t="n">
        <f aca="false">ROUND(SUM(J104:J111),2)</f>
        <v>309.03</v>
      </c>
      <c r="N112" s="40" t="n">
        <f aca="false">ROUND(SUM(N104:N111),2)</f>
        <v>114.01</v>
      </c>
    </row>
    <row r="113" customFormat="false" ht="15" hidden="false" customHeight="false" outlineLevel="0" collapsed="false">
      <c r="A113" s="15" t="s">
        <v>270</v>
      </c>
      <c r="B113" s="41" t="n">
        <f aca="false">IF((F106+F104+F108+F105+F107)=0,"",((F106+F104+F108+F105+F107)-(B106*D106+B104*D104+B108*D108+B105*D105+B107*D107))/(F106+F104+F108+F105+F107))</f>
        <v>0.332461014726158</v>
      </c>
      <c r="D113" s="42" t="str">
        <f aca="false">IF(B113="","SIN PC",IF(B113&gt;=Detalle!$G$1,"APROBAR",IF(B113&gt;=0.2,"REVISAR","RECHAZAR")))</f>
        <v>APROBAR</v>
      </c>
      <c r="E113" s="42"/>
      <c r="F113" s="42"/>
    </row>
    <row r="115" customFormat="false" ht="15" hidden="false" customHeight="false" outlineLevel="0" collapsed="false">
      <c r="A115" s="11" t="s">
        <v>323</v>
      </c>
      <c r="B115" s="11"/>
      <c r="C115" s="11"/>
      <c r="D115" s="11"/>
      <c r="E115" s="11"/>
      <c r="F115" s="11"/>
      <c r="H115" s="11" t="s">
        <v>324</v>
      </c>
      <c r="I115" s="11"/>
      <c r="J115" s="11"/>
      <c r="K115" s="11"/>
      <c r="L115" s="11"/>
      <c r="M115" s="11"/>
      <c r="N115" s="11"/>
      <c r="P115" s="14" t="s">
        <v>246</v>
      </c>
    </row>
    <row r="116" customFormat="false" ht="15" hidden="false" customHeight="false" outlineLevel="0" collapsed="false">
      <c r="A116" s="15" t="s">
        <v>247</v>
      </c>
      <c r="B116" s="16" t="s">
        <v>248</v>
      </c>
      <c r="C116" s="17"/>
      <c r="D116" s="17"/>
      <c r="E116" s="17"/>
      <c r="F116" s="17"/>
      <c r="H116" s="18" t="s">
        <v>325</v>
      </c>
      <c r="I116" s="19"/>
      <c r="J116" s="19"/>
      <c r="L116" s="20" t="s">
        <v>326</v>
      </c>
      <c r="M116" s="21"/>
      <c r="N116" s="21"/>
      <c r="P116" s="14" t="s">
        <v>327</v>
      </c>
    </row>
    <row r="117" customFormat="false" ht="15" hidden="false" customHeight="false" outlineLevel="0" collapsed="false">
      <c r="B117" s="3" t="s">
        <v>252</v>
      </c>
      <c r="C117" s="3" t="s">
        <v>253</v>
      </c>
      <c r="D117" s="3" t="s">
        <v>254</v>
      </c>
      <c r="E117" s="3" t="s">
        <v>255</v>
      </c>
      <c r="F117" s="3" t="s">
        <v>256</v>
      </c>
      <c r="H117" s="22" t="s">
        <v>252</v>
      </c>
      <c r="I117" s="22" t="s">
        <v>255</v>
      </c>
      <c r="J117" s="22" t="s">
        <v>256</v>
      </c>
      <c r="L117" s="23" t="s">
        <v>252</v>
      </c>
      <c r="M117" s="23" t="s">
        <v>255</v>
      </c>
      <c r="N117" s="23" t="s">
        <v>256</v>
      </c>
      <c r="P117" s="14" t="s">
        <v>328</v>
      </c>
    </row>
    <row r="118" customFormat="false" ht="15" hidden="false" customHeight="false" outlineLevel="0" collapsed="false">
      <c r="A118" s="24" t="s">
        <v>258</v>
      </c>
      <c r="B118" s="25" t="n">
        <v>6.928</v>
      </c>
      <c r="C118" s="25" t="n">
        <v>30</v>
      </c>
      <c r="D118" s="26" t="n">
        <v>3.68919</v>
      </c>
      <c r="E118" s="27" t="n">
        <v>4.82</v>
      </c>
      <c r="F118" s="28" t="n">
        <f aca="false">ROUND(B118*E118,2)</f>
        <v>33.39</v>
      </c>
      <c r="H118" s="29" t="n">
        <v>6.928</v>
      </c>
      <c r="I118" s="30" t="n">
        <v>4.82</v>
      </c>
      <c r="J118" s="31" t="n">
        <f aca="false">ROUND(H118*I118,2)</f>
        <v>33.39</v>
      </c>
      <c r="L118" s="32" t="n">
        <v>6.928</v>
      </c>
      <c r="M118" s="33" t="n">
        <v>4.82</v>
      </c>
      <c r="N118" s="34" t="n">
        <f aca="false">ROUND(L118*M118,2)</f>
        <v>33.39</v>
      </c>
      <c r="P118" s="35" t="s">
        <v>329</v>
      </c>
    </row>
    <row r="119" customFormat="false" ht="15" hidden="false" customHeight="false" outlineLevel="0" collapsed="false">
      <c r="A119" s="24" t="s">
        <v>260</v>
      </c>
      <c r="B119" s="25" t="n">
        <v>6.928</v>
      </c>
      <c r="C119" s="25" t="n">
        <v>30</v>
      </c>
      <c r="D119" s="26" t="n">
        <v>1.31928</v>
      </c>
      <c r="E119" s="27" t="n">
        <v>2.37</v>
      </c>
      <c r="F119" s="28" t="n">
        <f aca="false">ROUND(B119*E119,2)</f>
        <v>16.42</v>
      </c>
      <c r="H119" s="29" t="n">
        <v>6.928</v>
      </c>
      <c r="I119" s="30" t="n">
        <v>2.37</v>
      </c>
      <c r="J119" s="31" t="n">
        <f aca="false">ROUND(H119*I119,2)</f>
        <v>16.42</v>
      </c>
      <c r="L119" s="32" t="n">
        <v>6.928</v>
      </c>
      <c r="M119" s="33" t="n">
        <v>2.37</v>
      </c>
      <c r="N119" s="34" t="n">
        <f aca="false">ROUND(L119*M119,2)</f>
        <v>16.42</v>
      </c>
      <c r="P119" s="36" t="s">
        <v>261</v>
      </c>
    </row>
    <row r="120" customFormat="false" ht="15" hidden="false" customHeight="false" outlineLevel="0" collapsed="false">
      <c r="A120" s="24" t="s">
        <v>262</v>
      </c>
      <c r="B120" s="25" t="n">
        <v>278.876</v>
      </c>
      <c r="C120" s="25" t="n">
        <v>30</v>
      </c>
      <c r="D120" s="26" t="n">
        <v>0.111171</v>
      </c>
      <c r="E120" s="27" t="n">
        <v>0.17</v>
      </c>
      <c r="F120" s="28" t="n">
        <f aca="false">ROUND(B120*E120,2)</f>
        <v>47.41</v>
      </c>
      <c r="H120" s="29" t="n">
        <v>277.885</v>
      </c>
      <c r="I120" s="30" t="n">
        <v>0.1724</v>
      </c>
      <c r="J120" s="31" t="n">
        <f aca="false">ROUND(H120*I120,2)</f>
        <v>47.91</v>
      </c>
      <c r="L120" s="32" t="n">
        <v>158.876</v>
      </c>
      <c r="M120" s="33" t="n">
        <v>0.175</v>
      </c>
      <c r="N120" s="34" t="n">
        <f aca="false">ROUND(L120*M120,2)</f>
        <v>27.8</v>
      </c>
      <c r="P120" s="35" t="s">
        <v>330</v>
      </c>
    </row>
    <row r="121" customFormat="false" ht="15" hidden="false" customHeight="false" outlineLevel="0" collapsed="false">
      <c r="A121" s="24" t="s">
        <v>264</v>
      </c>
      <c r="B121" s="25" t="n">
        <v>267.069</v>
      </c>
      <c r="C121" s="25" t="n">
        <v>30</v>
      </c>
      <c r="D121" s="26" t="n">
        <v>0.111171</v>
      </c>
      <c r="E121" s="27" t="n">
        <v>0.17</v>
      </c>
      <c r="F121" s="28" t="n">
        <f aca="false">ROUND(B121*E121,2)</f>
        <v>45.4</v>
      </c>
      <c r="H121" s="29" t="n">
        <v>264.796</v>
      </c>
      <c r="I121" s="30" t="n">
        <v>0.1724</v>
      </c>
      <c r="J121" s="31" t="n">
        <f aca="false">ROUND(H121*I121,2)</f>
        <v>45.65</v>
      </c>
      <c r="L121" s="32" t="n">
        <v>147.069</v>
      </c>
      <c r="M121" s="33" t="n">
        <v>0.175</v>
      </c>
      <c r="N121" s="34" t="n">
        <f aca="false">ROUND(L121*M121,2)</f>
        <v>25.74</v>
      </c>
    </row>
    <row r="122" customFormat="false" ht="15" hidden="false" customHeight="false" outlineLevel="0" collapsed="false">
      <c r="A122" s="24" t="s">
        <v>265</v>
      </c>
      <c r="B122" s="25" t="n">
        <v>358.469</v>
      </c>
      <c r="C122" s="25" t="n">
        <v>30</v>
      </c>
      <c r="D122" s="26" t="n">
        <v>0.111171</v>
      </c>
      <c r="E122" s="27" t="n">
        <v>0.17</v>
      </c>
      <c r="F122" s="28" t="n">
        <f aca="false">ROUND(B122*E122,2)</f>
        <v>60.94</v>
      </c>
      <c r="H122" s="29" t="n">
        <v>404.897</v>
      </c>
      <c r="I122" s="30" t="n">
        <v>0.1724</v>
      </c>
      <c r="J122" s="31" t="n">
        <f aca="false">ROUND(H122*I122,2)</f>
        <v>69.8</v>
      </c>
      <c r="L122" s="32" t="n">
        <v>228.469</v>
      </c>
      <c r="M122" s="33" t="n">
        <v>0.175</v>
      </c>
      <c r="N122" s="34" t="n">
        <f aca="false">ROUND(L122*M122,2)</f>
        <v>39.98</v>
      </c>
    </row>
    <row r="123" customFormat="false" ht="15" hidden="false" customHeight="false" outlineLevel="0" collapsed="false">
      <c r="A123" s="24" t="s">
        <v>266</v>
      </c>
      <c r="B123" s="25" t="n">
        <v>1</v>
      </c>
      <c r="C123" s="25" t="n">
        <v>30</v>
      </c>
      <c r="D123" s="26" t="n">
        <v>1.3414</v>
      </c>
      <c r="E123" s="27" t="n">
        <v>1</v>
      </c>
      <c r="F123" s="28" t="n">
        <f aca="false">ROUND(B123*E123,2)</f>
        <v>1</v>
      </c>
      <c r="H123" s="29" t="n">
        <v>1</v>
      </c>
      <c r="I123" s="30" t="n">
        <v>1</v>
      </c>
      <c r="J123" s="31" t="n">
        <f aca="false">ROUND(H123*I123,2)</f>
        <v>1</v>
      </c>
      <c r="L123" s="32" t="n">
        <v>1</v>
      </c>
      <c r="M123" s="33" t="n">
        <v>1</v>
      </c>
      <c r="N123" s="34" t="n">
        <f aca="false">ROUND(L123*M123,2)</f>
        <v>1</v>
      </c>
    </row>
    <row r="124" customFormat="false" ht="15" hidden="false" customHeight="false" outlineLevel="0" collapsed="false">
      <c r="A124" s="24" t="s">
        <v>267</v>
      </c>
      <c r="B124" s="25" t="n">
        <v>30</v>
      </c>
      <c r="C124" s="25" t="n">
        <v>30</v>
      </c>
      <c r="D124" s="26" t="n">
        <v>0.5736</v>
      </c>
      <c r="E124" s="27" t="n">
        <v>0.01274</v>
      </c>
      <c r="F124" s="28" t="n">
        <f aca="false">ROUND(B124*E124,2)</f>
        <v>0.38</v>
      </c>
      <c r="H124" s="29" t="n">
        <v>30</v>
      </c>
      <c r="I124" s="30" t="n">
        <v>0.01274</v>
      </c>
      <c r="J124" s="31" t="n">
        <f aca="false">ROUND(H124*I124,2)</f>
        <v>0.38</v>
      </c>
      <c r="L124" s="32" t="n">
        <v>30</v>
      </c>
      <c r="M124" s="33" t="n">
        <v>0.00685</v>
      </c>
      <c r="N124" s="34" t="n">
        <f aca="false">ROUND(L124*M124,2)</f>
        <v>0.21</v>
      </c>
    </row>
    <row r="125" customFormat="false" ht="15" hidden="false" customHeight="false" outlineLevel="0" collapsed="false">
      <c r="A125" s="24" t="s">
        <v>268</v>
      </c>
      <c r="B125" s="25" t="n">
        <v>10.85</v>
      </c>
      <c r="C125" s="25" t="n">
        <v>30</v>
      </c>
      <c r="D125" s="26" t="n">
        <v>0.27312</v>
      </c>
      <c r="E125" s="27" t="n">
        <v>1</v>
      </c>
      <c r="F125" s="28" t="n">
        <f aca="false">ROUND(B125*E125,2)</f>
        <v>10.85</v>
      </c>
      <c r="H125" s="29" t="n">
        <v>11.38</v>
      </c>
      <c r="I125" s="30" t="n">
        <v>1</v>
      </c>
      <c r="J125" s="31" t="n">
        <f aca="false">ROUND(H125*I125,2)</f>
        <v>11.38</v>
      </c>
      <c r="L125" s="32" t="n">
        <v>7.33</v>
      </c>
      <c r="M125" s="33" t="n">
        <v>1</v>
      </c>
      <c r="N125" s="34" t="n">
        <f aca="false">ROUND(L125*M125,2)</f>
        <v>7.33</v>
      </c>
    </row>
    <row r="126" customFormat="false" ht="15" hidden="false" customHeight="false" outlineLevel="0" collapsed="false">
      <c r="A126" s="37" t="s">
        <v>269</v>
      </c>
      <c r="F126" s="38" t="n">
        <f aca="false">ROUND((SUM(F118:F125)-F125)*1.1+F125,2)</f>
        <v>236.28</v>
      </c>
      <c r="J126" s="39" t="n">
        <f aca="false">ROUND(SUM(J118:J125),2)</f>
        <v>225.93</v>
      </c>
      <c r="N126" s="40" t="n">
        <f aca="false">ROUND(SUM(N118:N125),2)</f>
        <v>151.87</v>
      </c>
    </row>
    <row r="127" customFormat="false" ht="15" hidden="false" customHeight="false" outlineLevel="0" collapsed="false">
      <c r="A127" s="15" t="s">
        <v>270</v>
      </c>
      <c r="B127" s="41" t="n">
        <f aca="false">IF((F120+F118+F122+F119+F121)=0,"",((F120+F118+F122+F119+F121)-(B120*D120+B118*D118+B122*D122+B119*D119+B121*D121))/(F120+F118+F122+F119+F121))</f>
        <v>0.335609702525054</v>
      </c>
      <c r="D127" s="42" t="str">
        <f aca="false">IF(B127="","SIN PC",IF(B127&gt;=Detalle!$G$1,"APROBAR",IF(B127&gt;=0.2,"REVISAR","RECHAZAR")))</f>
        <v>APROBAR</v>
      </c>
      <c r="E127" s="42"/>
      <c r="F127" s="42"/>
    </row>
    <row r="129" customFormat="false" ht="15" hidden="false" customHeight="false" outlineLevel="0" collapsed="false">
      <c r="A129" s="11" t="s">
        <v>331</v>
      </c>
      <c r="B129" s="11"/>
      <c r="C129" s="11"/>
      <c r="D129" s="11"/>
      <c r="E129" s="11"/>
      <c r="F129" s="11"/>
      <c r="H129" s="11" t="s">
        <v>332</v>
      </c>
      <c r="I129" s="11"/>
      <c r="J129" s="11"/>
      <c r="K129" s="11"/>
      <c r="L129" s="11"/>
      <c r="M129" s="11"/>
      <c r="N129" s="11"/>
      <c r="P129" s="14" t="s">
        <v>246</v>
      </c>
    </row>
    <row r="130" customFormat="false" ht="15" hidden="false" customHeight="false" outlineLevel="0" collapsed="false">
      <c r="A130" s="15" t="s">
        <v>247</v>
      </c>
      <c r="B130" s="16" t="s">
        <v>248</v>
      </c>
      <c r="C130" s="17"/>
      <c r="D130" s="17"/>
      <c r="E130" s="17"/>
      <c r="F130" s="17"/>
      <c r="H130" s="18" t="s">
        <v>333</v>
      </c>
      <c r="I130" s="19"/>
      <c r="J130" s="19"/>
      <c r="L130" s="20" t="s">
        <v>334</v>
      </c>
      <c r="M130" s="21"/>
      <c r="N130" s="21"/>
      <c r="P130" s="14" t="s">
        <v>335</v>
      </c>
    </row>
    <row r="131" customFormat="false" ht="15" hidden="false" customHeight="false" outlineLevel="0" collapsed="false">
      <c r="B131" s="3" t="s">
        <v>252</v>
      </c>
      <c r="C131" s="3" t="s">
        <v>253</v>
      </c>
      <c r="D131" s="3" t="s">
        <v>254</v>
      </c>
      <c r="E131" s="3" t="s">
        <v>255</v>
      </c>
      <c r="F131" s="3" t="s">
        <v>256</v>
      </c>
      <c r="H131" s="22" t="s">
        <v>252</v>
      </c>
      <c r="I131" s="22" t="s">
        <v>255</v>
      </c>
      <c r="J131" s="22" t="s">
        <v>256</v>
      </c>
      <c r="L131" s="23" t="s">
        <v>252</v>
      </c>
      <c r="M131" s="23" t="s">
        <v>255</v>
      </c>
      <c r="N131" s="23" t="s">
        <v>256</v>
      </c>
      <c r="P131" s="14" t="s">
        <v>336</v>
      </c>
    </row>
    <row r="132" customFormat="false" ht="15" hidden="false" customHeight="false" outlineLevel="0" collapsed="false">
      <c r="A132" s="24" t="s">
        <v>258</v>
      </c>
      <c r="B132" s="25" t="n">
        <v>6.9</v>
      </c>
      <c r="C132" s="25" t="n">
        <v>30</v>
      </c>
      <c r="D132" s="26" t="n">
        <v>3.68919</v>
      </c>
      <c r="E132" s="27" t="n">
        <v>4.82</v>
      </c>
      <c r="F132" s="28" t="n">
        <f aca="false">ROUND(B132*E132,2)</f>
        <v>33.26</v>
      </c>
      <c r="H132" s="29" t="n">
        <v>6.9</v>
      </c>
      <c r="I132" s="30" t="n">
        <v>4.82</v>
      </c>
      <c r="J132" s="31" t="n">
        <f aca="false">ROUND(H132*I132,2)</f>
        <v>33.26</v>
      </c>
      <c r="L132" s="32" t="n">
        <v>6.9</v>
      </c>
      <c r="M132" s="33" t="n">
        <v>4.82</v>
      </c>
      <c r="N132" s="34" t="n">
        <f aca="false">ROUND(L132*M132,2)</f>
        <v>33.26</v>
      </c>
      <c r="P132" s="35" t="s">
        <v>337</v>
      </c>
    </row>
    <row r="133" customFormat="false" ht="15" hidden="false" customHeight="false" outlineLevel="0" collapsed="false">
      <c r="A133" s="24" t="s">
        <v>260</v>
      </c>
      <c r="B133" s="25" t="n">
        <v>6.9</v>
      </c>
      <c r="C133" s="25" t="n">
        <v>30</v>
      </c>
      <c r="D133" s="26" t="n">
        <v>1.31928</v>
      </c>
      <c r="E133" s="27" t="n">
        <v>2.37</v>
      </c>
      <c r="F133" s="28" t="n">
        <f aca="false">ROUND(B133*E133,2)</f>
        <v>16.35</v>
      </c>
      <c r="H133" s="29" t="n">
        <v>6.9</v>
      </c>
      <c r="I133" s="30" t="n">
        <v>2.37</v>
      </c>
      <c r="J133" s="31" t="n">
        <f aca="false">ROUND(H133*I133,2)</f>
        <v>16.35</v>
      </c>
      <c r="L133" s="32" t="n">
        <v>6.9</v>
      </c>
      <c r="M133" s="33" t="n">
        <v>2.37</v>
      </c>
      <c r="N133" s="34" t="n">
        <f aca="false">ROUND(L133*M133,2)</f>
        <v>16.35</v>
      </c>
      <c r="P133" s="36" t="s">
        <v>261</v>
      </c>
    </row>
    <row r="134" customFormat="false" ht="15" hidden="false" customHeight="false" outlineLevel="0" collapsed="false">
      <c r="A134" s="24" t="s">
        <v>262</v>
      </c>
      <c r="B134" s="25" t="n">
        <v>39.458</v>
      </c>
      <c r="C134" s="25" t="n">
        <v>30</v>
      </c>
      <c r="D134" s="26" t="n">
        <v>0.111171</v>
      </c>
      <c r="E134" s="27" t="n">
        <v>0.17</v>
      </c>
      <c r="F134" s="28" t="n">
        <f aca="false">ROUND(B134*E134,2)</f>
        <v>6.71</v>
      </c>
      <c r="H134" s="29" t="n">
        <v>82.004</v>
      </c>
      <c r="I134" s="30" t="n">
        <v>0.1724</v>
      </c>
      <c r="J134" s="31" t="n">
        <f aca="false">ROUND(H134*I134,2)</f>
        <v>14.14</v>
      </c>
      <c r="L134" s="32" t="n">
        <v>19.458</v>
      </c>
      <c r="M134" s="33" t="n">
        <v>0.175</v>
      </c>
      <c r="N134" s="34" t="n">
        <f aca="false">ROUND(L134*M134,2)</f>
        <v>3.41</v>
      </c>
      <c r="P134" s="35" t="s">
        <v>338</v>
      </c>
    </row>
    <row r="135" customFormat="false" ht="15" hidden="false" customHeight="false" outlineLevel="0" collapsed="false">
      <c r="A135" s="24" t="s">
        <v>264</v>
      </c>
      <c r="B135" s="25" t="n">
        <v>37.216</v>
      </c>
      <c r="C135" s="25" t="n">
        <v>30</v>
      </c>
      <c r="D135" s="26" t="n">
        <v>0.111171</v>
      </c>
      <c r="E135" s="27" t="n">
        <v>0.17</v>
      </c>
      <c r="F135" s="28" t="n">
        <f aca="false">ROUND(B135*E135,2)</f>
        <v>6.33</v>
      </c>
      <c r="H135" s="29" t="n">
        <v>34.272</v>
      </c>
      <c r="I135" s="30" t="n">
        <v>0.1724</v>
      </c>
      <c r="J135" s="31" t="n">
        <f aca="false">ROUND(H135*I135,2)</f>
        <v>5.91</v>
      </c>
      <c r="L135" s="32" t="n">
        <v>17.216</v>
      </c>
      <c r="M135" s="33" t="n">
        <v>0.175</v>
      </c>
      <c r="N135" s="34" t="n">
        <f aca="false">ROUND(L135*M135,2)</f>
        <v>3.01</v>
      </c>
    </row>
    <row r="136" customFormat="false" ht="15" hidden="false" customHeight="false" outlineLevel="0" collapsed="false">
      <c r="A136" s="24" t="s">
        <v>265</v>
      </c>
      <c r="B136" s="25" t="n">
        <v>142.559</v>
      </c>
      <c r="C136" s="25" t="n">
        <v>30</v>
      </c>
      <c r="D136" s="26" t="n">
        <v>0.111171</v>
      </c>
      <c r="E136" s="27" t="n">
        <v>0.17</v>
      </c>
      <c r="F136" s="28" t="n">
        <f aca="false">ROUND(B136*E136,2)</f>
        <v>24.24</v>
      </c>
      <c r="H136" s="29" t="n">
        <v>48.34</v>
      </c>
      <c r="I136" s="30" t="n">
        <v>0.1724</v>
      </c>
      <c r="J136" s="31" t="n">
        <f aca="false">ROUND(H136*I136,2)</f>
        <v>8.33</v>
      </c>
      <c r="L136" s="32" t="n">
        <v>42.559</v>
      </c>
      <c r="M136" s="33" t="n">
        <v>0.175</v>
      </c>
      <c r="N136" s="34" t="n">
        <f aca="false">ROUND(L136*M136,2)</f>
        <v>7.45</v>
      </c>
    </row>
    <row r="137" customFormat="false" ht="15" hidden="false" customHeight="false" outlineLevel="0" collapsed="false">
      <c r="A137" s="24" t="s">
        <v>266</v>
      </c>
      <c r="B137" s="25" t="n">
        <v>1</v>
      </c>
      <c r="C137" s="25" t="n">
        <v>30</v>
      </c>
      <c r="D137" s="26" t="n">
        <v>0.7989</v>
      </c>
      <c r="E137" s="27" t="n">
        <v>1</v>
      </c>
      <c r="F137" s="28" t="n">
        <f aca="false">ROUND(B137*E137,2)</f>
        <v>1</v>
      </c>
      <c r="H137" s="29" t="n">
        <v>1</v>
      </c>
      <c r="I137" s="30" t="n">
        <v>1</v>
      </c>
      <c r="J137" s="31" t="n">
        <f aca="false">ROUND(H137*I137,2)</f>
        <v>1</v>
      </c>
      <c r="L137" s="32" t="n">
        <v>1</v>
      </c>
      <c r="M137" s="33" t="n">
        <v>1</v>
      </c>
      <c r="N137" s="34" t="n">
        <f aca="false">ROUND(L137*M137,2)</f>
        <v>1</v>
      </c>
    </row>
    <row r="138" customFormat="false" ht="15" hidden="false" customHeight="false" outlineLevel="0" collapsed="false">
      <c r="A138" s="24" t="s">
        <v>267</v>
      </c>
      <c r="B138" s="25" t="n">
        <v>30</v>
      </c>
      <c r="C138" s="25" t="n">
        <v>30</v>
      </c>
      <c r="D138" s="26" t="n">
        <v>0.5736</v>
      </c>
      <c r="E138" s="27" t="n">
        <v>0.01274</v>
      </c>
      <c r="F138" s="28" t="n">
        <f aca="false">ROUND(B138*E138,2)</f>
        <v>0.38</v>
      </c>
      <c r="H138" s="29" t="n">
        <v>30</v>
      </c>
      <c r="I138" s="30" t="n">
        <v>0.01274</v>
      </c>
      <c r="J138" s="31" t="n">
        <f aca="false">ROUND(H138*I138,2)</f>
        <v>0.38</v>
      </c>
      <c r="L138" s="32" t="n">
        <v>30</v>
      </c>
      <c r="M138" s="33" t="n">
        <v>0.00685</v>
      </c>
      <c r="N138" s="34" t="n">
        <f aca="false">ROUND(L138*M138,2)</f>
        <v>0.21</v>
      </c>
    </row>
    <row r="139" customFormat="false" ht="15" hidden="false" customHeight="false" outlineLevel="0" collapsed="false">
      <c r="A139" s="24" t="s">
        <v>268</v>
      </c>
      <c r="B139" s="25" t="n">
        <v>4.68</v>
      </c>
      <c r="C139" s="25" t="n">
        <v>30</v>
      </c>
      <c r="D139" s="26" t="n">
        <v>0.27312</v>
      </c>
      <c r="E139" s="27" t="n">
        <v>1</v>
      </c>
      <c r="F139" s="28" t="n">
        <f aca="false">ROUND(B139*E139,2)</f>
        <v>4.68</v>
      </c>
      <c r="H139" s="29" t="n">
        <v>4.21</v>
      </c>
      <c r="I139" s="30" t="n">
        <v>1</v>
      </c>
      <c r="J139" s="31" t="n">
        <f aca="false">ROUND(H139*I139,2)</f>
        <v>4.21</v>
      </c>
      <c r="L139" s="32" t="n">
        <v>3.25</v>
      </c>
      <c r="M139" s="33" t="n">
        <v>1</v>
      </c>
      <c r="N139" s="34" t="n">
        <f aca="false">ROUND(L139*M139,2)</f>
        <v>3.25</v>
      </c>
    </row>
    <row r="140" customFormat="false" ht="15" hidden="false" customHeight="false" outlineLevel="0" collapsed="false">
      <c r="A140" s="37" t="s">
        <v>269</v>
      </c>
      <c r="F140" s="38" t="n">
        <f aca="false">ROUND((SUM(F132:F139)-F139)*1.1+F139,2)</f>
        <v>101.78</v>
      </c>
      <c r="J140" s="39" t="n">
        <f aca="false">ROUND(SUM(J132:J139),2)</f>
        <v>83.58</v>
      </c>
      <c r="N140" s="40" t="n">
        <f aca="false">ROUND(SUM(N132:N139),2)</f>
        <v>67.94</v>
      </c>
    </row>
    <row r="141" customFormat="false" ht="15" hidden="false" customHeight="false" outlineLevel="0" collapsed="false">
      <c r="A141" s="15" t="s">
        <v>270</v>
      </c>
      <c r="B141" s="41" t="n">
        <f aca="false">IF((F134+F132+F136+F133+F135)=0,"",((F134+F132+F136+F133+F135)-(B134*D134+B132*D132+B136*D136+B133*D133+B135*D135))/(F134+F132+F136+F133+F135))</f>
        <v>0.321777018724825</v>
      </c>
      <c r="D141" s="42" t="str">
        <f aca="false">IF(B141="","SIN PC",IF(B141&gt;=Detalle!$G$1,"APROBAR",IF(B141&gt;=0.2,"REVISAR","RECHAZAR")))</f>
        <v>APROBAR</v>
      </c>
      <c r="E141" s="42"/>
      <c r="F141" s="42"/>
    </row>
    <row r="143" customFormat="false" ht="15" hidden="false" customHeight="false" outlineLevel="0" collapsed="false">
      <c r="A143" s="11" t="s">
        <v>339</v>
      </c>
      <c r="B143" s="11"/>
      <c r="C143" s="11"/>
      <c r="D143" s="11"/>
      <c r="E143" s="11"/>
      <c r="F143" s="11"/>
      <c r="H143" s="11" t="s">
        <v>340</v>
      </c>
      <c r="I143" s="11"/>
      <c r="J143" s="11"/>
      <c r="K143" s="11"/>
      <c r="L143" s="11"/>
      <c r="M143" s="11"/>
      <c r="N143" s="11"/>
      <c r="P143" s="14" t="s">
        <v>246</v>
      </c>
    </row>
    <row r="144" customFormat="false" ht="15" hidden="false" customHeight="false" outlineLevel="0" collapsed="false">
      <c r="A144" s="15" t="s">
        <v>247</v>
      </c>
      <c r="B144" s="16" t="s">
        <v>248</v>
      </c>
      <c r="C144" s="17"/>
      <c r="D144" s="17"/>
      <c r="E144" s="17"/>
      <c r="F144" s="17"/>
      <c r="H144" s="18" t="s">
        <v>341</v>
      </c>
      <c r="I144" s="19"/>
      <c r="J144" s="19"/>
      <c r="L144" s="20" t="s">
        <v>342</v>
      </c>
      <c r="M144" s="21"/>
      <c r="N144" s="21"/>
      <c r="P144" s="14" t="s">
        <v>343</v>
      </c>
    </row>
    <row r="145" customFormat="false" ht="15" hidden="false" customHeight="false" outlineLevel="0" collapsed="false">
      <c r="B145" s="3" t="s">
        <v>252</v>
      </c>
      <c r="C145" s="3" t="s">
        <v>253</v>
      </c>
      <c r="D145" s="3" t="s">
        <v>254</v>
      </c>
      <c r="E145" s="3" t="s">
        <v>255</v>
      </c>
      <c r="F145" s="3" t="s">
        <v>256</v>
      </c>
      <c r="H145" s="22" t="s">
        <v>252</v>
      </c>
      <c r="I145" s="22" t="s">
        <v>255</v>
      </c>
      <c r="J145" s="22" t="s">
        <v>256</v>
      </c>
      <c r="L145" s="23" t="s">
        <v>252</v>
      </c>
      <c r="M145" s="23" t="s">
        <v>255</v>
      </c>
      <c r="N145" s="23" t="s">
        <v>256</v>
      </c>
      <c r="P145" s="14" t="s">
        <v>344</v>
      </c>
    </row>
    <row r="146" customFormat="false" ht="15" hidden="false" customHeight="false" outlineLevel="0" collapsed="false">
      <c r="A146" s="24" t="s">
        <v>258</v>
      </c>
      <c r="B146" s="25" t="n">
        <v>6.9</v>
      </c>
      <c r="C146" s="25" t="n">
        <v>30</v>
      </c>
      <c r="D146" s="26" t="n">
        <v>3.68919</v>
      </c>
      <c r="E146" s="27" t="n">
        <v>4.82</v>
      </c>
      <c r="F146" s="28" t="n">
        <f aca="false">ROUND(B146*E146,2)</f>
        <v>33.26</v>
      </c>
      <c r="H146" s="29" t="n">
        <v>6.9</v>
      </c>
      <c r="I146" s="30" t="n">
        <v>4.82</v>
      </c>
      <c r="J146" s="31" t="n">
        <f aca="false">ROUND(H146*I146,2)</f>
        <v>33.26</v>
      </c>
      <c r="L146" s="32" t="n">
        <v>6.9</v>
      </c>
      <c r="M146" s="33" t="n">
        <v>4.82</v>
      </c>
      <c r="N146" s="34" t="n">
        <f aca="false">ROUND(L146*M146,2)</f>
        <v>33.26</v>
      </c>
      <c r="P146" s="35" t="s">
        <v>345</v>
      </c>
    </row>
    <row r="147" customFormat="false" ht="15" hidden="false" customHeight="false" outlineLevel="0" collapsed="false">
      <c r="A147" s="24" t="s">
        <v>260</v>
      </c>
      <c r="B147" s="25" t="n">
        <v>6.9</v>
      </c>
      <c r="C147" s="25" t="n">
        <v>30</v>
      </c>
      <c r="D147" s="26" t="n">
        <v>1.31928</v>
      </c>
      <c r="E147" s="27" t="n">
        <v>2.37</v>
      </c>
      <c r="F147" s="28" t="n">
        <f aca="false">ROUND(B147*E147,2)</f>
        <v>16.35</v>
      </c>
      <c r="H147" s="29" t="n">
        <v>6.9</v>
      </c>
      <c r="I147" s="30" t="n">
        <v>2.37</v>
      </c>
      <c r="J147" s="31" t="n">
        <f aca="false">ROUND(H147*I147,2)</f>
        <v>16.35</v>
      </c>
      <c r="L147" s="32" t="n">
        <v>6.9</v>
      </c>
      <c r="M147" s="33" t="n">
        <v>2.37</v>
      </c>
      <c r="N147" s="34" t="n">
        <f aca="false">ROUND(L147*M147,2)</f>
        <v>16.35</v>
      </c>
      <c r="P147" s="36" t="s">
        <v>261</v>
      </c>
    </row>
    <row r="148" customFormat="false" ht="15" hidden="false" customHeight="false" outlineLevel="0" collapsed="false">
      <c r="A148" s="24" t="s">
        <v>262</v>
      </c>
      <c r="B148" s="25" t="n">
        <v>73.204</v>
      </c>
      <c r="C148" s="25" t="n">
        <v>30</v>
      </c>
      <c r="D148" s="26" t="n">
        <v>0.111171</v>
      </c>
      <c r="E148" s="27" t="n">
        <v>0.17</v>
      </c>
      <c r="F148" s="28" t="n">
        <f aca="false">ROUND(B148*E148,2)</f>
        <v>12.44</v>
      </c>
      <c r="H148" s="29" t="n">
        <v>202.68</v>
      </c>
      <c r="I148" s="30" t="n">
        <v>0.175</v>
      </c>
      <c r="J148" s="31" t="n">
        <f aca="false">ROUND(H148*I148,2)</f>
        <v>35.47</v>
      </c>
      <c r="L148" s="32" t="n">
        <v>43.204</v>
      </c>
      <c r="M148" s="33" t="n">
        <v>0.175</v>
      </c>
      <c r="N148" s="34" t="n">
        <f aca="false">ROUND(L148*M148,2)</f>
        <v>7.56</v>
      </c>
      <c r="P148" s="35" t="s">
        <v>346</v>
      </c>
    </row>
    <row r="149" customFormat="false" ht="15" hidden="false" customHeight="false" outlineLevel="0" collapsed="false">
      <c r="A149" s="24" t="s">
        <v>264</v>
      </c>
      <c r="B149" s="25" t="n">
        <v>49.657</v>
      </c>
      <c r="C149" s="25" t="n">
        <v>30</v>
      </c>
      <c r="D149" s="26" t="n">
        <v>0.111171</v>
      </c>
      <c r="E149" s="27" t="n">
        <v>0.17</v>
      </c>
      <c r="F149" s="28" t="n">
        <f aca="false">ROUND(B149*E149,2)</f>
        <v>8.44</v>
      </c>
      <c r="H149" s="29" t="n">
        <v>210.47</v>
      </c>
      <c r="I149" s="30" t="n">
        <v>0.175</v>
      </c>
      <c r="J149" s="31" t="n">
        <f aca="false">ROUND(H149*I149,2)</f>
        <v>36.83</v>
      </c>
      <c r="L149" s="32" t="n">
        <v>39.657</v>
      </c>
      <c r="M149" s="33" t="n">
        <v>0.175</v>
      </c>
      <c r="N149" s="34" t="n">
        <f aca="false">ROUND(L149*M149,2)</f>
        <v>6.94</v>
      </c>
    </row>
    <row r="150" customFormat="false" ht="15" hidden="false" customHeight="false" outlineLevel="0" collapsed="false">
      <c r="A150" s="24" t="s">
        <v>265</v>
      </c>
      <c r="B150" s="25" t="n">
        <v>225.07</v>
      </c>
      <c r="C150" s="25" t="n">
        <v>30</v>
      </c>
      <c r="D150" s="26" t="n">
        <v>0.111171</v>
      </c>
      <c r="E150" s="27" t="n">
        <v>0.17</v>
      </c>
      <c r="F150" s="28" t="n">
        <f aca="false">ROUND(B150*E150,2)</f>
        <v>38.26</v>
      </c>
      <c r="H150" s="29" t="n">
        <v>303.619</v>
      </c>
      <c r="I150" s="30" t="n">
        <v>0.175</v>
      </c>
      <c r="J150" s="31" t="n">
        <f aca="false">ROUND(H150*I150,2)</f>
        <v>53.13</v>
      </c>
      <c r="L150" s="32" t="n">
        <v>125.07</v>
      </c>
      <c r="M150" s="33" t="n">
        <v>0.175</v>
      </c>
      <c r="N150" s="34" t="n">
        <f aca="false">ROUND(L150*M150,2)</f>
        <v>21.89</v>
      </c>
    </row>
    <row r="151" customFormat="false" ht="15" hidden="false" customHeight="false" outlineLevel="0" collapsed="false">
      <c r="A151" s="24" t="s">
        <v>266</v>
      </c>
      <c r="B151" s="25" t="n">
        <v>1</v>
      </c>
      <c r="C151" s="25" t="n">
        <v>30</v>
      </c>
      <c r="D151" s="26" t="n">
        <v>0.7989</v>
      </c>
      <c r="E151" s="27" t="n">
        <v>1</v>
      </c>
      <c r="F151" s="28" t="n">
        <f aca="false">ROUND(B151*E151,2)</f>
        <v>1</v>
      </c>
      <c r="H151" s="29" t="n">
        <v>1</v>
      </c>
      <c r="I151" s="30" t="n">
        <v>1</v>
      </c>
      <c r="J151" s="31" t="n">
        <f aca="false">ROUND(H151*I151,2)</f>
        <v>1</v>
      </c>
      <c r="L151" s="32" t="n">
        <v>1</v>
      </c>
      <c r="M151" s="33" t="n">
        <v>1</v>
      </c>
      <c r="N151" s="34" t="n">
        <f aca="false">ROUND(L151*M151,2)</f>
        <v>1</v>
      </c>
    </row>
    <row r="152" customFormat="false" ht="15" hidden="false" customHeight="false" outlineLevel="0" collapsed="false">
      <c r="A152" s="24" t="s">
        <v>267</v>
      </c>
      <c r="B152" s="25" t="n">
        <v>30</v>
      </c>
      <c r="C152" s="25" t="n">
        <v>30</v>
      </c>
      <c r="D152" s="26" t="n">
        <v>0.5736</v>
      </c>
      <c r="E152" s="27" t="n">
        <v>0.01274</v>
      </c>
      <c r="F152" s="28" t="n">
        <f aca="false">ROUND(B152*E152,2)</f>
        <v>0.38</v>
      </c>
      <c r="H152" s="29" t="n">
        <v>30</v>
      </c>
      <c r="I152" s="30" t="n">
        <v>0.01274</v>
      </c>
      <c r="J152" s="31" t="n">
        <f aca="false">ROUND(H152*I152,2)</f>
        <v>0.38</v>
      </c>
      <c r="L152" s="32" t="n">
        <v>30</v>
      </c>
      <c r="M152" s="33" t="n">
        <v>0.00685</v>
      </c>
      <c r="N152" s="34" t="n">
        <f aca="false">ROUND(L152*M152,2)</f>
        <v>0.21</v>
      </c>
    </row>
    <row r="153" customFormat="false" ht="15" hidden="false" customHeight="false" outlineLevel="0" collapsed="false">
      <c r="A153" s="24" t="s">
        <v>268</v>
      </c>
      <c r="B153" s="25" t="n">
        <v>5.85</v>
      </c>
      <c r="C153" s="25" t="n">
        <v>30</v>
      </c>
      <c r="D153" s="26" t="n">
        <v>0.27312</v>
      </c>
      <c r="E153" s="27" t="n">
        <v>1</v>
      </c>
      <c r="F153" s="28" t="n">
        <f aca="false">ROUND(B153*E153,2)</f>
        <v>5.85</v>
      </c>
      <c r="H153" s="29" t="n">
        <v>9.33</v>
      </c>
      <c r="I153" s="30" t="n">
        <v>1</v>
      </c>
      <c r="J153" s="31" t="n">
        <f aca="false">ROUND(H153*I153,2)</f>
        <v>9.33</v>
      </c>
      <c r="L153" s="32" t="n">
        <v>4.4</v>
      </c>
      <c r="M153" s="33" t="n">
        <v>1</v>
      </c>
      <c r="N153" s="34" t="n">
        <f aca="false">ROUND(L153*M153,2)</f>
        <v>4.4</v>
      </c>
    </row>
    <row r="154" customFormat="false" ht="15" hidden="false" customHeight="false" outlineLevel="0" collapsed="false">
      <c r="A154" s="37" t="s">
        <v>269</v>
      </c>
      <c r="F154" s="38" t="n">
        <f aca="false">ROUND((SUM(F146:F153)-F153)*1.1+F153,2)</f>
        <v>126.99</v>
      </c>
      <c r="J154" s="39" t="n">
        <f aca="false">ROUND(SUM(J146:J153),2)</f>
        <v>185.75</v>
      </c>
      <c r="N154" s="40" t="n">
        <f aca="false">ROUND(SUM(N146:N153),2)</f>
        <v>91.61</v>
      </c>
    </row>
    <row r="155" customFormat="false" ht="15" hidden="false" customHeight="false" outlineLevel="0" collapsed="false">
      <c r="A155" s="15" t="s">
        <v>270</v>
      </c>
      <c r="B155" s="41" t="n">
        <f aca="false">IF((F148+F146+F150+F147+F149)=0,"",((F148+F146+F150+F147+F149)-(B148*D148+B146*D146+B150*D150+B147*D147+B149*D149))/(F148+F146+F150+F147+F149))</f>
        <v>0.326544549875862</v>
      </c>
      <c r="D155" s="42" t="str">
        <f aca="false">IF(B155="","SIN PC",IF(B155&gt;=Detalle!$G$1,"APROBAR",IF(B155&gt;=0.2,"REVISAR","RECHAZAR")))</f>
        <v>APROBAR</v>
      </c>
      <c r="E155" s="42"/>
      <c r="F155" s="42"/>
    </row>
    <row r="157" customFormat="false" ht="15" hidden="false" customHeight="false" outlineLevel="0" collapsed="false">
      <c r="A157" s="11" t="s">
        <v>347</v>
      </c>
      <c r="B157" s="11"/>
      <c r="C157" s="11"/>
      <c r="D157" s="11"/>
      <c r="E157" s="11"/>
      <c r="F157" s="11"/>
      <c r="H157" s="11" t="s">
        <v>348</v>
      </c>
      <c r="I157" s="11"/>
      <c r="J157" s="11"/>
      <c r="K157" s="11"/>
      <c r="L157" s="11"/>
      <c r="M157" s="11"/>
      <c r="N157" s="11"/>
      <c r="P157" s="14" t="s">
        <v>246</v>
      </c>
    </row>
    <row r="158" customFormat="false" ht="15" hidden="false" customHeight="false" outlineLevel="0" collapsed="false">
      <c r="A158" s="15" t="s">
        <v>247</v>
      </c>
      <c r="B158" s="16" t="s">
        <v>248</v>
      </c>
      <c r="C158" s="17"/>
      <c r="D158" s="17"/>
      <c r="E158" s="17"/>
      <c r="F158" s="17"/>
      <c r="H158" s="18" t="s">
        <v>349</v>
      </c>
      <c r="I158" s="19"/>
      <c r="J158" s="19"/>
      <c r="L158" s="20" t="s">
        <v>350</v>
      </c>
      <c r="M158" s="21"/>
      <c r="N158" s="21"/>
      <c r="P158" s="14" t="s">
        <v>351</v>
      </c>
    </row>
    <row r="159" customFormat="false" ht="15" hidden="false" customHeight="false" outlineLevel="0" collapsed="false">
      <c r="B159" s="3" t="s">
        <v>252</v>
      </c>
      <c r="C159" s="3" t="s">
        <v>253</v>
      </c>
      <c r="D159" s="3" t="s">
        <v>254</v>
      </c>
      <c r="E159" s="3" t="s">
        <v>255</v>
      </c>
      <c r="F159" s="3" t="s">
        <v>256</v>
      </c>
      <c r="H159" s="22" t="s">
        <v>252</v>
      </c>
      <c r="I159" s="22" t="s">
        <v>255</v>
      </c>
      <c r="J159" s="22" t="s">
        <v>256</v>
      </c>
      <c r="L159" s="23" t="s">
        <v>252</v>
      </c>
      <c r="M159" s="23" t="s">
        <v>255</v>
      </c>
      <c r="N159" s="23" t="s">
        <v>256</v>
      </c>
      <c r="P159" s="14" t="s">
        <v>352</v>
      </c>
    </row>
    <row r="160" customFormat="false" ht="15" hidden="false" customHeight="false" outlineLevel="0" collapsed="false">
      <c r="A160" s="24" t="s">
        <v>258</v>
      </c>
      <c r="B160" s="25" t="n">
        <v>6.928</v>
      </c>
      <c r="C160" s="25" t="n">
        <v>30</v>
      </c>
      <c r="D160" s="26" t="n">
        <v>3.68919</v>
      </c>
      <c r="E160" s="27" t="n">
        <v>4.82</v>
      </c>
      <c r="F160" s="28" t="n">
        <f aca="false">ROUND(B160*E160,2)</f>
        <v>33.39</v>
      </c>
      <c r="H160" s="29" t="n">
        <v>6.928</v>
      </c>
      <c r="I160" s="30" t="n">
        <v>4.82</v>
      </c>
      <c r="J160" s="31" t="n">
        <f aca="false">ROUND(H160*I160,2)</f>
        <v>33.39</v>
      </c>
      <c r="L160" s="32" t="n">
        <v>6.928</v>
      </c>
      <c r="M160" s="33" t="n">
        <v>4.82</v>
      </c>
      <c r="N160" s="34" t="n">
        <f aca="false">ROUND(L160*M160,2)</f>
        <v>33.39</v>
      </c>
      <c r="P160" s="35" t="s">
        <v>353</v>
      </c>
    </row>
    <row r="161" customFormat="false" ht="15" hidden="false" customHeight="false" outlineLevel="0" collapsed="false">
      <c r="A161" s="24" t="s">
        <v>260</v>
      </c>
      <c r="B161" s="25" t="n">
        <v>6.928</v>
      </c>
      <c r="C161" s="25" t="n">
        <v>30</v>
      </c>
      <c r="D161" s="26" t="n">
        <v>1.31928</v>
      </c>
      <c r="E161" s="27" t="n">
        <v>2.37</v>
      </c>
      <c r="F161" s="28" t="n">
        <f aca="false">ROUND(B161*E161,2)</f>
        <v>16.42</v>
      </c>
      <c r="H161" s="29" t="n">
        <v>6.928</v>
      </c>
      <c r="I161" s="30" t="n">
        <v>2.37</v>
      </c>
      <c r="J161" s="31" t="n">
        <f aca="false">ROUND(H161*I161,2)</f>
        <v>16.42</v>
      </c>
      <c r="L161" s="32" t="n">
        <v>6.928</v>
      </c>
      <c r="M161" s="33" t="n">
        <v>2.37</v>
      </c>
      <c r="N161" s="34" t="n">
        <f aca="false">ROUND(L161*M161,2)</f>
        <v>16.42</v>
      </c>
      <c r="P161" s="36" t="s">
        <v>261</v>
      </c>
    </row>
    <row r="162" customFormat="false" ht="15" hidden="false" customHeight="false" outlineLevel="0" collapsed="false">
      <c r="A162" s="24" t="s">
        <v>262</v>
      </c>
      <c r="B162" s="25" t="n">
        <v>271.4</v>
      </c>
      <c r="C162" s="25" t="n">
        <v>30</v>
      </c>
      <c r="D162" s="26" t="n">
        <v>0.111171</v>
      </c>
      <c r="E162" s="27" t="n">
        <v>0.17</v>
      </c>
      <c r="F162" s="28" t="n">
        <f aca="false">ROUND(B162*E162,2)</f>
        <v>46.14</v>
      </c>
      <c r="H162" s="29" t="n">
        <v>391.159</v>
      </c>
      <c r="I162" s="30" t="n">
        <v>0.175</v>
      </c>
      <c r="J162" s="31" t="n">
        <f aca="false">ROUND(H162*I162,2)</f>
        <v>68.45</v>
      </c>
      <c r="L162" s="32" t="n">
        <v>173.6</v>
      </c>
      <c r="M162" s="33" t="n">
        <v>0.175</v>
      </c>
      <c r="N162" s="34" t="n">
        <f aca="false">ROUND(L162*M162,2)</f>
        <v>30.38</v>
      </c>
      <c r="P162" s="35" t="s">
        <v>354</v>
      </c>
    </row>
    <row r="163" customFormat="false" ht="15" hidden="false" customHeight="false" outlineLevel="0" collapsed="false">
      <c r="A163" s="24" t="s">
        <v>264</v>
      </c>
      <c r="B163" s="25" t="n">
        <v>278.922</v>
      </c>
      <c r="C163" s="25" t="n">
        <v>30</v>
      </c>
      <c r="D163" s="26" t="n">
        <v>0.111171</v>
      </c>
      <c r="E163" s="27" t="n">
        <v>0.17</v>
      </c>
      <c r="F163" s="28" t="n">
        <f aca="false">ROUND(B163*E163,2)</f>
        <v>47.42</v>
      </c>
      <c r="H163" s="29" t="n">
        <v>483.221</v>
      </c>
      <c r="I163" s="30" t="n">
        <v>0.175</v>
      </c>
      <c r="J163" s="31" t="n">
        <f aca="false">ROUND(H163*I163,2)</f>
        <v>84.56</v>
      </c>
      <c r="L163" s="32" t="n">
        <v>168.922</v>
      </c>
      <c r="M163" s="33" t="n">
        <v>0.175</v>
      </c>
      <c r="N163" s="34" t="n">
        <f aca="false">ROUND(L163*M163,2)</f>
        <v>29.56</v>
      </c>
    </row>
    <row r="164" customFormat="false" ht="15" hidden="false" customHeight="false" outlineLevel="0" collapsed="false">
      <c r="A164" s="24" t="s">
        <v>265</v>
      </c>
      <c r="B164" s="25" t="n">
        <v>551.123</v>
      </c>
      <c r="C164" s="25" t="n">
        <v>30</v>
      </c>
      <c r="D164" s="26" t="n">
        <v>0.111171</v>
      </c>
      <c r="E164" s="27" t="n">
        <v>0.17</v>
      </c>
      <c r="F164" s="28" t="n">
        <f aca="false">ROUND(B164*E164,2)</f>
        <v>93.69</v>
      </c>
      <c r="H164" s="29" t="n">
        <v>671.558</v>
      </c>
      <c r="I164" s="30" t="n">
        <v>0.175</v>
      </c>
      <c r="J164" s="31" t="n">
        <f aca="false">ROUND(H164*I164,2)</f>
        <v>117.52</v>
      </c>
      <c r="L164" s="32" t="n">
        <v>341.123</v>
      </c>
      <c r="M164" s="33" t="n">
        <v>0.175</v>
      </c>
      <c r="N164" s="34" t="n">
        <f aca="false">ROUND(L164*M164,2)</f>
        <v>59.7</v>
      </c>
    </row>
    <row r="165" customFormat="false" ht="15" hidden="false" customHeight="false" outlineLevel="0" collapsed="false">
      <c r="A165" s="24" t="s">
        <v>266</v>
      </c>
      <c r="B165" s="25" t="n">
        <v>1</v>
      </c>
      <c r="C165" s="25" t="n">
        <v>30</v>
      </c>
      <c r="D165" s="26" t="n">
        <v>1.3414</v>
      </c>
      <c r="E165" s="27" t="n">
        <v>1</v>
      </c>
      <c r="F165" s="28" t="n">
        <f aca="false">ROUND(B165*E165,2)</f>
        <v>1</v>
      </c>
      <c r="H165" s="29" t="n">
        <v>1</v>
      </c>
      <c r="I165" s="30" t="n">
        <v>1</v>
      </c>
      <c r="J165" s="31" t="n">
        <f aca="false">ROUND(H165*I165,2)</f>
        <v>1</v>
      </c>
      <c r="L165" s="32" t="n">
        <v>1</v>
      </c>
      <c r="M165" s="33" t="n">
        <v>1</v>
      </c>
      <c r="N165" s="34" t="n">
        <f aca="false">ROUND(L165*M165,2)</f>
        <v>1</v>
      </c>
    </row>
    <row r="166" customFormat="false" ht="15" hidden="false" customHeight="false" outlineLevel="0" collapsed="false">
      <c r="A166" s="24" t="s">
        <v>267</v>
      </c>
      <c r="B166" s="25" t="n">
        <v>30</v>
      </c>
      <c r="C166" s="25" t="n">
        <v>30</v>
      </c>
      <c r="D166" s="26" t="n">
        <v>0.5736</v>
      </c>
      <c r="E166" s="27" t="n">
        <v>0.01274</v>
      </c>
      <c r="F166" s="28" t="n">
        <f aca="false">ROUND(B166*E166,2)</f>
        <v>0.38</v>
      </c>
      <c r="H166" s="29" t="n">
        <v>30</v>
      </c>
      <c r="I166" s="30" t="n">
        <v>0.01274</v>
      </c>
      <c r="J166" s="31" t="n">
        <f aca="false">ROUND(H166*I166,2)</f>
        <v>0.38</v>
      </c>
      <c r="L166" s="32" t="n">
        <v>30</v>
      </c>
      <c r="M166" s="33" t="n">
        <v>0.00685</v>
      </c>
      <c r="N166" s="34" t="n">
        <f aca="false">ROUND(L166*M166,2)</f>
        <v>0.21</v>
      </c>
    </row>
    <row r="167" customFormat="false" ht="15" hidden="false" customHeight="false" outlineLevel="0" collapsed="false">
      <c r="A167" s="24" t="s">
        <v>268</v>
      </c>
      <c r="B167" s="25" t="n">
        <v>12.63</v>
      </c>
      <c r="C167" s="25" t="n">
        <v>30</v>
      </c>
      <c r="D167" s="26" t="n">
        <v>0.27312</v>
      </c>
      <c r="E167" s="27" t="n">
        <v>1</v>
      </c>
      <c r="F167" s="28" t="n">
        <f aca="false">ROUND(B167*E167,2)</f>
        <v>12.63</v>
      </c>
      <c r="H167" s="29" t="n">
        <v>17.29</v>
      </c>
      <c r="I167" s="30" t="n">
        <v>1</v>
      </c>
      <c r="J167" s="31" t="n">
        <f aca="false">ROUND(H167*I167,2)</f>
        <v>17.29</v>
      </c>
      <c r="L167" s="32" t="n">
        <v>8.67</v>
      </c>
      <c r="M167" s="33" t="n">
        <v>1</v>
      </c>
      <c r="N167" s="34" t="n">
        <f aca="false">ROUND(L167*M167,2)</f>
        <v>8.67</v>
      </c>
    </row>
    <row r="168" customFormat="false" ht="15" hidden="false" customHeight="false" outlineLevel="0" collapsed="false">
      <c r="A168" s="37" t="s">
        <v>269</v>
      </c>
      <c r="F168" s="38" t="n">
        <f aca="false">ROUND((SUM(F160:F167)-F167)*1.1+F167,2)</f>
        <v>274.91</v>
      </c>
      <c r="J168" s="39" t="n">
        <f aca="false">ROUND(SUM(J160:J167),2)</f>
        <v>339.01</v>
      </c>
      <c r="N168" s="40" t="n">
        <f aca="false">ROUND(SUM(N160:N167),2)</f>
        <v>179.33</v>
      </c>
    </row>
    <row r="169" customFormat="false" ht="15" hidden="false" customHeight="false" outlineLevel="0" collapsed="false">
      <c r="A169" s="15" t="s">
        <v>270</v>
      </c>
      <c r="B169" s="41" t="n">
        <f aca="false">IF((F162+F160+F164+F161+F163)=0,"",((F162+F160+F164+F161+F163)-(B162*D162+B160*D160+B164*D164+B161*D161+B163*D163))/(F162+F160+F164+F161+F163))</f>
        <v>0.337098530941534</v>
      </c>
      <c r="D169" s="42" t="str">
        <f aca="false">IF(B169="","SIN PC",IF(B169&gt;=Detalle!$G$1,"APROBAR",IF(B169&gt;=0.2,"REVISAR","RECHAZAR")))</f>
        <v>APROBAR</v>
      </c>
      <c r="E169" s="42"/>
      <c r="F169" s="42"/>
    </row>
    <row r="171" customFormat="false" ht="15" hidden="false" customHeight="false" outlineLevel="0" collapsed="false">
      <c r="A171" s="11" t="s">
        <v>355</v>
      </c>
      <c r="B171" s="11"/>
      <c r="C171" s="11"/>
      <c r="D171" s="11"/>
      <c r="E171" s="11"/>
      <c r="F171" s="11"/>
      <c r="H171" s="11" t="s">
        <v>356</v>
      </c>
      <c r="I171" s="11"/>
      <c r="J171" s="11"/>
      <c r="K171" s="11"/>
      <c r="L171" s="11"/>
      <c r="M171" s="11"/>
      <c r="N171" s="11"/>
      <c r="P171" s="14" t="s">
        <v>246</v>
      </c>
    </row>
    <row r="172" customFormat="false" ht="15" hidden="false" customHeight="false" outlineLevel="0" collapsed="false">
      <c r="A172" s="15" t="s">
        <v>247</v>
      </c>
      <c r="B172" s="16" t="s">
        <v>248</v>
      </c>
      <c r="C172" s="17"/>
      <c r="D172" s="17"/>
      <c r="E172" s="17"/>
      <c r="F172" s="17"/>
      <c r="H172" s="18" t="s">
        <v>357</v>
      </c>
      <c r="I172" s="19"/>
      <c r="J172" s="19"/>
      <c r="L172" s="20" t="s">
        <v>358</v>
      </c>
      <c r="M172" s="21"/>
      <c r="N172" s="21"/>
      <c r="P172" s="14" t="s">
        <v>359</v>
      </c>
    </row>
    <row r="173" customFormat="false" ht="15" hidden="false" customHeight="false" outlineLevel="0" collapsed="false">
      <c r="B173" s="3" t="s">
        <v>252</v>
      </c>
      <c r="C173" s="3" t="s">
        <v>253</v>
      </c>
      <c r="D173" s="3" t="s">
        <v>254</v>
      </c>
      <c r="E173" s="3" t="s">
        <v>255</v>
      </c>
      <c r="F173" s="3" t="s">
        <v>256</v>
      </c>
      <c r="H173" s="22" t="s">
        <v>252</v>
      </c>
      <c r="I173" s="22" t="s">
        <v>255</v>
      </c>
      <c r="J173" s="22" t="s">
        <v>256</v>
      </c>
      <c r="L173" s="23" t="s">
        <v>252</v>
      </c>
      <c r="M173" s="23" t="s">
        <v>255</v>
      </c>
      <c r="N173" s="23" t="s">
        <v>256</v>
      </c>
      <c r="P173" s="14" t="s">
        <v>360</v>
      </c>
    </row>
    <row r="174" customFormat="false" ht="15" hidden="false" customHeight="false" outlineLevel="0" collapsed="false">
      <c r="A174" s="24" t="s">
        <v>258</v>
      </c>
      <c r="B174" s="25" t="n">
        <v>13.856</v>
      </c>
      <c r="C174" s="25" t="n">
        <v>30</v>
      </c>
      <c r="D174" s="26" t="n">
        <v>3.68919</v>
      </c>
      <c r="E174" s="27" t="n">
        <v>4.82</v>
      </c>
      <c r="F174" s="28" t="n">
        <f aca="false">ROUND(B174*E174,2)</f>
        <v>66.79</v>
      </c>
      <c r="H174" s="29" t="n">
        <v>13.856</v>
      </c>
      <c r="I174" s="30" t="n">
        <v>4.82</v>
      </c>
      <c r="J174" s="31" t="n">
        <f aca="false">ROUND(H174*I174,2)</f>
        <v>66.79</v>
      </c>
      <c r="L174" s="32" t="n">
        <v>13.856</v>
      </c>
      <c r="M174" s="33" t="n">
        <v>4.82</v>
      </c>
      <c r="N174" s="34" t="n">
        <f aca="false">ROUND(L174*M174,2)</f>
        <v>66.79</v>
      </c>
      <c r="P174" s="35" t="s">
        <v>361</v>
      </c>
    </row>
    <row r="175" customFormat="false" ht="15" hidden="false" customHeight="false" outlineLevel="0" collapsed="false">
      <c r="A175" s="24" t="s">
        <v>260</v>
      </c>
      <c r="B175" s="25" t="n">
        <v>13.856</v>
      </c>
      <c r="C175" s="25" t="n">
        <v>30</v>
      </c>
      <c r="D175" s="26" t="n">
        <v>1.31928</v>
      </c>
      <c r="E175" s="27" t="n">
        <v>2.37</v>
      </c>
      <c r="F175" s="28" t="n">
        <f aca="false">ROUND(B175*E175,2)</f>
        <v>32.84</v>
      </c>
      <c r="H175" s="29" t="n">
        <v>13.856</v>
      </c>
      <c r="I175" s="30" t="n">
        <v>2.37</v>
      </c>
      <c r="J175" s="31" t="n">
        <f aca="false">ROUND(H175*I175,2)</f>
        <v>32.84</v>
      </c>
      <c r="L175" s="32" t="n">
        <v>13.856</v>
      </c>
      <c r="M175" s="33" t="n">
        <v>2.37</v>
      </c>
      <c r="N175" s="34" t="n">
        <f aca="false">ROUND(L175*M175,2)</f>
        <v>32.84</v>
      </c>
      <c r="P175" s="36" t="s">
        <v>261</v>
      </c>
    </row>
    <row r="176" customFormat="false" ht="15" hidden="false" customHeight="false" outlineLevel="0" collapsed="false">
      <c r="A176" s="24" t="s">
        <v>262</v>
      </c>
      <c r="B176" s="25" t="n">
        <v>285.219</v>
      </c>
      <c r="C176" s="25" t="n">
        <v>30</v>
      </c>
      <c r="D176" s="26" t="n">
        <v>0.111171</v>
      </c>
      <c r="E176" s="27" t="n">
        <v>0.17</v>
      </c>
      <c r="F176" s="28" t="n">
        <f aca="false">ROUND(B176*E176,2)</f>
        <v>48.49</v>
      </c>
      <c r="H176" s="29" t="n">
        <v>482.776</v>
      </c>
      <c r="I176" s="30" t="n">
        <v>0.175</v>
      </c>
      <c r="J176" s="31" t="n">
        <f aca="false">ROUND(H176*I176,2)</f>
        <v>84.49</v>
      </c>
      <c r="L176" s="32" t="n">
        <v>183.219</v>
      </c>
      <c r="M176" s="33" t="n">
        <v>0.175</v>
      </c>
      <c r="N176" s="34" t="n">
        <f aca="false">ROUND(L176*M176,2)</f>
        <v>32.06</v>
      </c>
      <c r="P176" s="35" t="s">
        <v>362</v>
      </c>
    </row>
    <row r="177" customFormat="false" ht="15" hidden="false" customHeight="false" outlineLevel="0" collapsed="false">
      <c r="A177" s="24" t="s">
        <v>264</v>
      </c>
      <c r="B177" s="25" t="n">
        <v>266.554</v>
      </c>
      <c r="C177" s="25" t="n">
        <v>30</v>
      </c>
      <c r="D177" s="26" t="n">
        <v>0.111171</v>
      </c>
      <c r="E177" s="27" t="n">
        <v>0.17</v>
      </c>
      <c r="F177" s="28" t="n">
        <f aca="false">ROUND(B177*E177,2)</f>
        <v>45.31</v>
      </c>
      <c r="H177" s="29" t="n">
        <v>456.212</v>
      </c>
      <c r="I177" s="30" t="n">
        <v>0.175</v>
      </c>
      <c r="J177" s="31" t="n">
        <f aca="false">ROUND(H177*I177,2)</f>
        <v>79.84</v>
      </c>
      <c r="L177" s="32" t="n">
        <v>180.554</v>
      </c>
      <c r="M177" s="33" t="n">
        <v>0.175</v>
      </c>
      <c r="N177" s="34" t="n">
        <f aca="false">ROUND(L177*M177,2)</f>
        <v>31.6</v>
      </c>
    </row>
    <row r="178" customFormat="false" ht="15" hidden="false" customHeight="false" outlineLevel="0" collapsed="false">
      <c r="A178" s="24" t="s">
        <v>265</v>
      </c>
      <c r="B178" s="25" t="n">
        <v>524.518</v>
      </c>
      <c r="C178" s="25" t="n">
        <v>30</v>
      </c>
      <c r="D178" s="26" t="n">
        <v>0.111171</v>
      </c>
      <c r="E178" s="27" t="n">
        <v>0.17</v>
      </c>
      <c r="F178" s="28" t="n">
        <f aca="false">ROUND(B178*E178,2)</f>
        <v>89.17</v>
      </c>
      <c r="H178" s="29" t="n">
        <v>661.457</v>
      </c>
      <c r="I178" s="30" t="n">
        <v>0.175</v>
      </c>
      <c r="J178" s="31" t="n">
        <f aca="false">ROUND(H178*I178,2)</f>
        <v>115.75</v>
      </c>
      <c r="L178" s="32" t="n">
        <v>320.618</v>
      </c>
      <c r="M178" s="33" t="n">
        <v>0.175</v>
      </c>
      <c r="N178" s="34" t="n">
        <f aca="false">ROUND(L178*M178,2)</f>
        <v>56.11</v>
      </c>
    </row>
    <row r="179" customFormat="false" ht="15" hidden="false" customHeight="false" outlineLevel="0" collapsed="false">
      <c r="A179" s="24" t="s">
        <v>266</v>
      </c>
      <c r="B179" s="25" t="n">
        <v>1</v>
      </c>
      <c r="C179" s="25" t="n">
        <v>30</v>
      </c>
      <c r="D179" s="26" t="n">
        <v>1.3414</v>
      </c>
      <c r="E179" s="27" t="n">
        <v>1</v>
      </c>
      <c r="F179" s="28" t="n">
        <f aca="false">ROUND(B179*E179,2)</f>
        <v>1</v>
      </c>
      <c r="H179" s="29" t="n">
        <v>1</v>
      </c>
      <c r="I179" s="30" t="n">
        <v>1</v>
      </c>
      <c r="J179" s="31" t="n">
        <f aca="false">ROUND(H179*I179,2)</f>
        <v>1</v>
      </c>
      <c r="L179" s="32" t="n">
        <v>1</v>
      </c>
      <c r="M179" s="33" t="n">
        <v>1</v>
      </c>
      <c r="N179" s="34" t="n">
        <f aca="false">ROUND(L179*M179,2)</f>
        <v>1</v>
      </c>
    </row>
    <row r="180" customFormat="false" ht="15" hidden="false" customHeight="false" outlineLevel="0" collapsed="false">
      <c r="A180" s="24" t="s">
        <v>267</v>
      </c>
      <c r="B180" s="25" t="n">
        <v>30</v>
      </c>
      <c r="C180" s="25" t="n">
        <v>30</v>
      </c>
      <c r="D180" s="26" t="n">
        <v>0.5736</v>
      </c>
      <c r="E180" s="27" t="n">
        <v>0.00685</v>
      </c>
      <c r="F180" s="28" t="n">
        <f aca="false">ROUND(B180*E180,2)</f>
        <v>0.21</v>
      </c>
      <c r="H180" s="29" t="n">
        <v>30</v>
      </c>
      <c r="I180" s="30" t="n">
        <v>0.01274</v>
      </c>
      <c r="J180" s="31" t="n">
        <f aca="false">ROUND(H180*I180,2)</f>
        <v>0.38</v>
      </c>
      <c r="L180" s="32" t="n">
        <v>30</v>
      </c>
      <c r="M180" s="33" t="n">
        <v>0.00685</v>
      </c>
      <c r="N180" s="34" t="n">
        <f aca="false">ROUND(L180*M180,2)</f>
        <v>0.21</v>
      </c>
    </row>
    <row r="181" customFormat="false" ht="15" hidden="false" customHeight="false" outlineLevel="0" collapsed="false">
      <c r="A181" s="24" t="s">
        <v>268</v>
      </c>
      <c r="B181" s="25" t="n">
        <v>15.11</v>
      </c>
      <c r="C181" s="25" t="n">
        <v>30</v>
      </c>
      <c r="D181" s="26" t="n">
        <v>0.27312</v>
      </c>
      <c r="E181" s="27" t="n">
        <v>1</v>
      </c>
      <c r="F181" s="28" t="n">
        <f aca="false">ROUND(B181*E181,2)</f>
        <v>15.11</v>
      </c>
      <c r="H181" s="29" t="n">
        <v>20.3</v>
      </c>
      <c r="I181" s="30" t="n">
        <v>1</v>
      </c>
      <c r="J181" s="31" t="n">
        <f aca="false">ROUND(H181*I181,2)</f>
        <v>20.3</v>
      </c>
      <c r="L181" s="32" t="n">
        <v>11.79</v>
      </c>
      <c r="M181" s="33" t="n">
        <v>1</v>
      </c>
      <c r="N181" s="34" t="n">
        <f aca="false">ROUND(L181*M181,2)</f>
        <v>11.79</v>
      </c>
    </row>
    <row r="182" customFormat="false" ht="15" hidden="false" customHeight="false" outlineLevel="0" collapsed="false">
      <c r="A182" s="37" t="s">
        <v>269</v>
      </c>
      <c r="F182" s="38" t="n">
        <f aca="false">ROUND((SUM(F174:F181)-F181)*1.1+F181,2)</f>
        <v>327.3</v>
      </c>
      <c r="J182" s="39" t="n">
        <f aca="false">ROUND(SUM(J174:J181),2)</f>
        <v>401.39</v>
      </c>
      <c r="N182" s="40" t="n">
        <f aca="false">ROUND(SUM(N174:N181),2)</f>
        <v>232.4</v>
      </c>
    </row>
    <row r="183" customFormat="false" ht="15" hidden="false" customHeight="false" outlineLevel="0" collapsed="false">
      <c r="A183" s="15" t="s">
        <v>270</v>
      </c>
      <c r="B183" s="41" t="n">
        <f aca="false">IF((F176+F174+F178+F175+F177)=0,"",((F176+F174+F178+F175+F177)-(B176*D176+B174*D174+B178*D178+B175*D175+B177*D177))/(F176+F174+F178+F175+F177))</f>
        <v>0.331034299076433</v>
      </c>
      <c r="D183" s="42" t="str">
        <f aca="false">IF(B183="","SIN PC",IF(B183&gt;=Detalle!$G$1,"APROBAR",IF(B183&gt;=0.2,"REVISAR","RECHAZAR")))</f>
        <v>APROBAR</v>
      </c>
      <c r="E183" s="42"/>
      <c r="F183" s="42"/>
    </row>
    <row r="185" customFormat="false" ht="15" hidden="false" customHeight="false" outlineLevel="0" collapsed="false">
      <c r="A185" s="11" t="s">
        <v>363</v>
      </c>
      <c r="B185" s="11"/>
      <c r="C185" s="11"/>
      <c r="D185" s="11"/>
      <c r="E185" s="11"/>
      <c r="F185" s="11"/>
      <c r="H185" s="11" t="s">
        <v>364</v>
      </c>
      <c r="I185" s="11"/>
      <c r="J185" s="11"/>
      <c r="K185" s="11"/>
      <c r="L185" s="11"/>
      <c r="M185" s="11"/>
      <c r="N185" s="11"/>
      <c r="P185" s="14" t="s">
        <v>246</v>
      </c>
    </row>
    <row r="186" customFormat="false" ht="15" hidden="false" customHeight="false" outlineLevel="0" collapsed="false">
      <c r="A186" s="15" t="s">
        <v>247</v>
      </c>
      <c r="B186" s="16" t="s">
        <v>248</v>
      </c>
      <c r="C186" s="17"/>
      <c r="D186" s="17"/>
      <c r="E186" s="17"/>
      <c r="F186" s="17"/>
      <c r="H186" s="18" t="s">
        <v>365</v>
      </c>
      <c r="I186" s="19"/>
      <c r="J186" s="19"/>
      <c r="L186" s="20" t="s">
        <v>366</v>
      </c>
      <c r="M186" s="21"/>
      <c r="N186" s="21"/>
      <c r="P186" s="14" t="s">
        <v>367</v>
      </c>
    </row>
    <row r="187" customFormat="false" ht="15" hidden="false" customHeight="false" outlineLevel="0" collapsed="false">
      <c r="B187" s="3" t="s">
        <v>252</v>
      </c>
      <c r="C187" s="3" t="s">
        <v>253</v>
      </c>
      <c r="D187" s="3" t="s">
        <v>254</v>
      </c>
      <c r="E187" s="3" t="s">
        <v>255</v>
      </c>
      <c r="F187" s="3" t="s">
        <v>256</v>
      </c>
      <c r="H187" s="22" t="s">
        <v>252</v>
      </c>
      <c r="I187" s="22" t="s">
        <v>255</v>
      </c>
      <c r="J187" s="22" t="s">
        <v>256</v>
      </c>
      <c r="L187" s="23" t="s">
        <v>252</v>
      </c>
      <c r="M187" s="23" t="s">
        <v>255</v>
      </c>
      <c r="N187" s="23" t="s">
        <v>256</v>
      </c>
      <c r="P187" s="14" t="s">
        <v>368</v>
      </c>
    </row>
    <row r="188" customFormat="false" ht="15" hidden="false" customHeight="false" outlineLevel="0" collapsed="false">
      <c r="A188" s="24" t="s">
        <v>258</v>
      </c>
      <c r="B188" s="25" t="n">
        <v>13.856</v>
      </c>
      <c r="C188" s="25" t="n">
        <v>30</v>
      </c>
      <c r="D188" s="26" t="n">
        <v>3.68919</v>
      </c>
      <c r="E188" s="27" t="n">
        <v>4.82</v>
      </c>
      <c r="F188" s="28" t="n">
        <f aca="false">ROUND(B188*E188,2)</f>
        <v>66.79</v>
      </c>
      <c r="H188" s="29" t="n">
        <v>13.856</v>
      </c>
      <c r="I188" s="30" t="n">
        <v>4.82</v>
      </c>
      <c r="J188" s="31" t="n">
        <f aca="false">ROUND(H188*I188,2)</f>
        <v>66.79</v>
      </c>
      <c r="L188" s="32" t="n">
        <v>13.856</v>
      </c>
      <c r="M188" s="33" t="n">
        <v>4.82</v>
      </c>
      <c r="N188" s="34" t="n">
        <f aca="false">ROUND(L188*M188,2)</f>
        <v>66.79</v>
      </c>
      <c r="P188" s="35" t="s">
        <v>369</v>
      </c>
    </row>
    <row r="189" customFormat="false" ht="15" hidden="false" customHeight="false" outlineLevel="0" collapsed="false">
      <c r="A189" s="24" t="s">
        <v>260</v>
      </c>
      <c r="B189" s="25" t="n">
        <v>13.856</v>
      </c>
      <c r="C189" s="25" t="n">
        <v>30</v>
      </c>
      <c r="D189" s="26" t="n">
        <v>1.31928</v>
      </c>
      <c r="E189" s="27" t="n">
        <v>2.37</v>
      </c>
      <c r="F189" s="28" t="n">
        <f aca="false">ROUND(B189*E189,2)</f>
        <v>32.84</v>
      </c>
      <c r="H189" s="29" t="n">
        <v>13.856</v>
      </c>
      <c r="I189" s="30" t="n">
        <v>2.37</v>
      </c>
      <c r="J189" s="31" t="n">
        <f aca="false">ROUND(H189*I189,2)</f>
        <v>32.84</v>
      </c>
      <c r="L189" s="32" t="n">
        <v>13.856</v>
      </c>
      <c r="M189" s="33" t="n">
        <v>2.37</v>
      </c>
      <c r="N189" s="34" t="n">
        <f aca="false">ROUND(L189*M189,2)</f>
        <v>32.84</v>
      </c>
      <c r="P189" s="36" t="s">
        <v>261</v>
      </c>
    </row>
    <row r="190" customFormat="false" ht="15" hidden="false" customHeight="false" outlineLevel="0" collapsed="false">
      <c r="A190" s="24" t="s">
        <v>262</v>
      </c>
      <c r="B190" s="25" t="n">
        <v>384.176</v>
      </c>
      <c r="C190" s="25" t="n">
        <v>30</v>
      </c>
      <c r="D190" s="26" t="n">
        <v>0.111171</v>
      </c>
      <c r="E190" s="27" t="n">
        <v>0.17</v>
      </c>
      <c r="F190" s="28" t="n">
        <f aca="false">ROUND(B190*E190,2)</f>
        <v>65.31</v>
      </c>
      <c r="H190" s="29" t="n">
        <v>580.445</v>
      </c>
      <c r="I190" s="30" t="n">
        <v>0.1724</v>
      </c>
      <c r="J190" s="31" t="n">
        <f aca="false">ROUND(H190*I190,2)</f>
        <v>100.07</v>
      </c>
      <c r="L190" s="32" t="n">
        <v>292.176</v>
      </c>
      <c r="M190" s="33" t="n">
        <v>0.175</v>
      </c>
      <c r="N190" s="34" t="n">
        <f aca="false">ROUND(L190*M190,2)</f>
        <v>51.13</v>
      </c>
      <c r="P190" s="35" t="s">
        <v>370</v>
      </c>
    </row>
    <row r="191" customFormat="false" ht="15" hidden="false" customHeight="false" outlineLevel="0" collapsed="false">
      <c r="A191" s="24" t="s">
        <v>264</v>
      </c>
      <c r="B191" s="25" t="n">
        <v>331.91</v>
      </c>
      <c r="C191" s="25" t="n">
        <v>30</v>
      </c>
      <c r="D191" s="26" t="n">
        <v>0.111171</v>
      </c>
      <c r="E191" s="27" t="n">
        <v>0.17</v>
      </c>
      <c r="F191" s="28" t="n">
        <f aca="false">ROUND(B191*E191,2)</f>
        <v>56.42</v>
      </c>
      <c r="H191" s="29" t="n">
        <v>691.221</v>
      </c>
      <c r="I191" s="30" t="n">
        <v>0.1724</v>
      </c>
      <c r="J191" s="31" t="n">
        <f aca="false">ROUND(H191*I191,2)</f>
        <v>119.17</v>
      </c>
      <c r="L191" s="32" t="n">
        <v>232.91</v>
      </c>
      <c r="M191" s="33" t="n">
        <v>0.175</v>
      </c>
      <c r="N191" s="34" t="n">
        <f aca="false">ROUND(L191*M191,2)</f>
        <v>40.76</v>
      </c>
    </row>
    <row r="192" customFormat="false" ht="15" hidden="false" customHeight="false" outlineLevel="0" collapsed="false">
      <c r="A192" s="24" t="s">
        <v>265</v>
      </c>
      <c r="B192" s="25" t="n">
        <v>621.524</v>
      </c>
      <c r="C192" s="25" t="n">
        <v>30</v>
      </c>
      <c r="D192" s="26" t="n">
        <v>0.111171</v>
      </c>
      <c r="E192" s="27" t="n">
        <v>0.17</v>
      </c>
      <c r="F192" s="28" t="n">
        <f aca="false">ROUND(B192*E192,2)</f>
        <v>105.66</v>
      </c>
      <c r="H192" s="29" t="n">
        <v>1029.513</v>
      </c>
      <c r="I192" s="30" t="n">
        <v>0.1724</v>
      </c>
      <c r="J192" s="31" t="n">
        <f aca="false">ROUND(H192*I192,2)</f>
        <v>177.49</v>
      </c>
      <c r="L192" s="32" t="n">
        <v>421.524</v>
      </c>
      <c r="M192" s="33" t="n">
        <v>0.175</v>
      </c>
      <c r="N192" s="34" t="n">
        <f aca="false">ROUND(L192*M192,2)</f>
        <v>73.77</v>
      </c>
    </row>
    <row r="193" customFormat="false" ht="15" hidden="false" customHeight="false" outlineLevel="0" collapsed="false">
      <c r="A193" s="24" t="s">
        <v>266</v>
      </c>
      <c r="B193" s="25" t="n">
        <v>1</v>
      </c>
      <c r="C193" s="25" t="n">
        <v>30</v>
      </c>
      <c r="D193" s="26" t="n">
        <v>1.3414</v>
      </c>
      <c r="E193" s="27" t="n">
        <v>1</v>
      </c>
      <c r="F193" s="28" t="n">
        <f aca="false">ROUND(B193*E193,2)</f>
        <v>1</v>
      </c>
      <c r="H193" s="29" t="n">
        <v>1</v>
      </c>
      <c r="I193" s="30" t="n">
        <v>1</v>
      </c>
      <c r="J193" s="31" t="n">
        <f aca="false">ROUND(H193*I193,2)</f>
        <v>1</v>
      </c>
      <c r="L193" s="32" t="n">
        <v>1</v>
      </c>
      <c r="M193" s="33" t="n">
        <v>1</v>
      </c>
      <c r="N193" s="34" t="n">
        <f aca="false">ROUND(L193*M193,2)</f>
        <v>1</v>
      </c>
    </row>
    <row r="194" customFormat="false" ht="15" hidden="false" customHeight="false" outlineLevel="0" collapsed="false">
      <c r="A194" s="24" t="s">
        <v>267</v>
      </c>
      <c r="B194" s="25" t="n">
        <v>30</v>
      </c>
      <c r="C194" s="25" t="n">
        <v>30</v>
      </c>
      <c r="D194" s="26" t="n">
        <v>0.5736</v>
      </c>
      <c r="E194" s="27" t="n">
        <v>0.01274</v>
      </c>
      <c r="F194" s="28" t="n">
        <f aca="false">ROUND(B194*E194,2)</f>
        <v>0.38</v>
      </c>
      <c r="H194" s="29" t="n">
        <v>30</v>
      </c>
      <c r="I194" s="30" t="n">
        <v>0.01274</v>
      </c>
      <c r="J194" s="31" t="n">
        <f aca="false">ROUND(H194*I194,2)</f>
        <v>0.38</v>
      </c>
      <c r="L194" s="32" t="n">
        <v>30</v>
      </c>
      <c r="M194" s="33" t="n">
        <v>0.00685</v>
      </c>
      <c r="N194" s="34" t="n">
        <f aca="false">ROUND(L194*M194,2)</f>
        <v>0.21</v>
      </c>
    </row>
    <row r="195" customFormat="false" ht="15" hidden="false" customHeight="false" outlineLevel="0" collapsed="false">
      <c r="A195" s="24" t="s">
        <v>268</v>
      </c>
      <c r="B195" s="25" t="n">
        <v>17.47</v>
      </c>
      <c r="C195" s="25" t="n">
        <v>30</v>
      </c>
      <c r="D195" s="26" t="n">
        <v>0.27312</v>
      </c>
      <c r="E195" s="27" t="n">
        <v>1</v>
      </c>
      <c r="F195" s="28" t="n">
        <f aca="false">ROUND(B195*E195,2)</f>
        <v>17.47</v>
      </c>
      <c r="H195" s="29" t="n">
        <v>26.21</v>
      </c>
      <c r="I195" s="30" t="n">
        <v>1</v>
      </c>
      <c r="J195" s="31" t="n">
        <f aca="false">ROUND(H195*I195,2)</f>
        <v>26.21</v>
      </c>
      <c r="L195" s="32" t="n">
        <v>13.57</v>
      </c>
      <c r="M195" s="33" t="n">
        <v>1</v>
      </c>
      <c r="N195" s="34" t="n">
        <f aca="false">ROUND(L195*M195,2)</f>
        <v>13.57</v>
      </c>
    </row>
    <row r="196" customFormat="false" ht="15" hidden="false" customHeight="false" outlineLevel="0" collapsed="false">
      <c r="A196" s="37" t="s">
        <v>269</v>
      </c>
      <c r="F196" s="38" t="n">
        <f aca="false">ROUND((SUM(F188:F195)-F195)*1.1+F195,2)</f>
        <v>378.71</v>
      </c>
      <c r="J196" s="39" t="n">
        <f aca="false">ROUND(SUM(J188:J195),2)</f>
        <v>523.95</v>
      </c>
      <c r="N196" s="40" t="n">
        <f aca="false">ROUND(SUM(N188:N195),2)</f>
        <v>280.07</v>
      </c>
    </row>
    <row r="197" customFormat="false" ht="15" hidden="false" customHeight="false" outlineLevel="0" collapsed="false">
      <c r="A197" s="15" t="s">
        <v>270</v>
      </c>
      <c r="B197" s="41" t="n">
        <f aca="false">IF((F190+F188+F192+F189+F191)=0,"",((F190+F188+F192+F189+F191)-(B190*D190+B188*D188+B192*D192+B189*D189+B191*D191))/(F190+F188+F192+F189+F191))</f>
        <v>0.333065862546633</v>
      </c>
      <c r="D197" s="42" t="str">
        <f aca="false">IF(B197="","SIN PC",IF(B197&gt;=Detalle!$G$1,"APROBAR",IF(B197&gt;=0.2,"REVISAR","RECHAZAR")))</f>
        <v>APROBAR</v>
      </c>
      <c r="E197" s="42"/>
      <c r="F197" s="42"/>
    </row>
    <row r="199" customFormat="false" ht="15" hidden="false" customHeight="false" outlineLevel="0" collapsed="false">
      <c r="A199" s="11" t="s">
        <v>371</v>
      </c>
      <c r="B199" s="11"/>
      <c r="C199" s="11"/>
      <c r="D199" s="11"/>
      <c r="E199" s="11"/>
      <c r="F199" s="11"/>
      <c r="H199" s="11" t="s">
        <v>372</v>
      </c>
      <c r="I199" s="11"/>
      <c r="J199" s="11"/>
      <c r="K199" s="11"/>
      <c r="L199" s="11"/>
      <c r="M199" s="11"/>
      <c r="N199" s="11"/>
      <c r="P199" s="14" t="s">
        <v>246</v>
      </c>
    </row>
    <row r="200" customFormat="false" ht="15" hidden="false" customHeight="false" outlineLevel="0" collapsed="false">
      <c r="A200" s="15" t="s">
        <v>247</v>
      </c>
      <c r="B200" s="16" t="s">
        <v>248</v>
      </c>
      <c r="C200" s="17"/>
      <c r="D200" s="17"/>
      <c r="E200" s="17"/>
      <c r="F200" s="17"/>
      <c r="H200" s="18" t="s">
        <v>373</v>
      </c>
      <c r="I200" s="19"/>
      <c r="J200" s="19"/>
      <c r="L200" s="20" t="s">
        <v>374</v>
      </c>
      <c r="M200" s="21"/>
      <c r="N200" s="21"/>
      <c r="P200" s="14" t="s">
        <v>375</v>
      </c>
    </row>
    <row r="201" customFormat="false" ht="15" hidden="false" customHeight="false" outlineLevel="0" collapsed="false">
      <c r="B201" s="3" t="s">
        <v>252</v>
      </c>
      <c r="C201" s="3" t="s">
        <v>253</v>
      </c>
      <c r="D201" s="3" t="s">
        <v>254</v>
      </c>
      <c r="E201" s="3" t="s">
        <v>255</v>
      </c>
      <c r="F201" s="3" t="s">
        <v>256</v>
      </c>
      <c r="H201" s="22" t="s">
        <v>252</v>
      </c>
      <c r="I201" s="22" t="s">
        <v>255</v>
      </c>
      <c r="J201" s="22" t="s">
        <v>256</v>
      </c>
      <c r="L201" s="23" t="s">
        <v>252</v>
      </c>
      <c r="M201" s="23" t="s">
        <v>255</v>
      </c>
      <c r="N201" s="23" t="s">
        <v>256</v>
      </c>
      <c r="P201" s="14" t="s">
        <v>376</v>
      </c>
    </row>
    <row r="202" customFormat="false" ht="15" hidden="false" customHeight="false" outlineLevel="0" collapsed="false">
      <c r="A202" s="24" t="s">
        <v>258</v>
      </c>
      <c r="B202" s="25" t="n">
        <v>9.2</v>
      </c>
      <c r="C202" s="25" t="n">
        <v>30</v>
      </c>
      <c r="D202" s="26" t="n">
        <v>3.4086</v>
      </c>
      <c r="E202" s="27" t="n">
        <v>4.17</v>
      </c>
      <c r="F202" s="28" t="n">
        <f aca="false">ROUND(B202*E202,2)</f>
        <v>38.36</v>
      </c>
      <c r="H202" s="29" t="n">
        <v>9.2</v>
      </c>
      <c r="I202" s="30" t="n">
        <v>4.17</v>
      </c>
      <c r="J202" s="31" t="n">
        <f aca="false">ROUND(H202*I202,2)</f>
        <v>38.36</v>
      </c>
      <c r="L202" s="32" t="n">
        <v>9.2</v>
      </c>
      <c r="M202" s="33" t="n">
        <v>4.17</v>
      </c>
      <c r="N202" s="34" t="n">
        <f aca="false">ROUND(L202*M202,2)</f>
        <v>38.36</v>
      </c>
      <c r="P202" s="35" t="s">
        <v>377</v>
      </c>
    </row>
    <row r="203" customFormat="false" ht="15" hidden="false" customHeight="false" outlineLevel="0" collapsed="false">
      <c r="A203" s="24" t="s">
        <v>260</v>
      </c>
      <c r="B203" s="25" t="n">
        <v>9.2</v>
      </c>
      <c r="C203" s="25" t="n">
        <v>30</v>
      </c>
      <c r="D203" s="26" t="n">
        <v>1.09728</v>
      </c>
      <c r="E203" s="27" t="n">
        <v>1.37</v>
      </c>
      <c r="F203" s="28" t="n">
        <f aca="false">ROUND(B203*E203,2)</f>
        <v>12.6</v>
      </c>
      <c r="H203" s="29" t="n">
        <v>9.2</v>
      </c>
      <c r="I203" s="30" t="n">
        <v>1.37</v>
      </c>
      <c r="J203" s="31" t="n">
        <f aca="false">ROUND(H203*I203,2)</f>
        <v>12.6</v>
      </c>
      <c r="L203" s="32" t="n">
        <v>9.2</v>
      </c>
      <c r="M203" s="33" t="n">
        <v>1.37</v>
      </c>
      <c r="N203" s="34" t="n">
        <f aca="false">ROUND(L203*M203,2)</f>
        <v>12.6</v>
      </c>
      <c r="P203" s="36" t="s">
        <v>261</v>
      </c>
    </row>
    <row r="204" customFormat="false" ht="15" hidden="false" customHeight="false" outlineLevel="0" collapsed="false">
      <c r="A204" s="24" t="s">
        <v>262</v>
      </c>
      <c r="B204" s="25" t="n">
        <v>113.96</v>
      </c>
      <c r="C204" s="25" t="n">
        <v>30</v>
      </c>
      <c r="D204" s="26" t="n">
        <v>0.110306</v>
      </c>
      <c r="E204" s="27" t="n">
        <v>0.14937</v>
      </c>
      <c r="F204" s="28" t="n">
        <f aca="false">ROUND(B204*E204,2)</f>
        <v>17.02</v>
      </c>
      <c r="H204" s="29" t="n">
        <v>96.082</v>
      </c>
      <c r="I204" s="30" t="n">
        <v>0.14937</v>
      </c>
      <c r="J204" s="31" t="n">
        <f aca="false">ROUND(H204*I204,2)</f>
        <v>14.35</v>
      </c>
      <c r="L204" s="32" t="n">
        <v>106.421</v>
      </c>
      <c r="M204" s="33" t="n">
        <v>0.14937</v>
      </c>
      <c r="N204" s="34" t="n">
        <f aca="false">ROUND(L204*M204,2)</f>
        <v>15.9</v>
      </c>
      <c r="P204" s="35" t="s">
        <v>378</v>
      </c>
    </row>
    <row r="205" customFormat="false" ht="15" hidden="false" customHeight="false" outlineLevel="0" collapsed="false">
      <c r="A205" s="24" t="s">
        <v>264</v>
      </c>
      <c r="B205" s="25" t="n">
        <v>192.413</v>
      </c>
      <c r="C205" s="25" t="n">
        <v>30</v>
      </c>
      <c r="D205" s="26" t="n">
        <v>0.110306</v>
      </c>
      <c r="E205" s="27" t="n">
        <v>0.14937</v>
      </c>
      <c r="F205" s="28" t="n">
        <f aca="false">ROUND(B205*E205,2)</f>
        <v>28.74</v>
      </c>
      <c r="H205" s="29" t="n">
        <v>96.138</v>
      </c>
      <c r="I205" s="30" t="n">
        <v>0.14937</v>
      </c>
      <c r="J205" s="31" t="n">
        <f aca="false">ROUND(H205*I205,2)</f>
        <v>14.36</v>
      </c>
      <c r="L205" s="32" t="n">
        <v>134.85</v>
      </c>
      <c r="M205" s="33" t="n">
        <v>0.14937</v>
      </c>
      <c r="N205" s="34" t="n">
        <f aca="false">ROUND(L205*M205,2)</f>
        <v>20.14</v>
      </c>
    </row>
    <row r="206" customFormat="false" ht="15" hidden="false" customHeight="false" outlineLevel="0" collapsed="false">
      <c r="A206" s="24" t="s">
        <v>265</v>
      </c>
      <c r="B206" s="25" t="n">
        <v>705.495</v>
      </c>
      <c r="C206" s="25" t="n">
        <v>30</v>
      </c>
      <c r="D206" s="26" t="n">
        <v>0.110306</v>
      </c>
      <c r="E206" s="27" t="n">
        <v>0.14937</v>
      </c>
      <c r="F206" s="28" t="n">
        <f aca="false">ROUND(B206*E206,2)</f>
        <v>105.38</v>
      </c>
      <c r="H206" s="29" t="n">
        <v>293.989</v>
      </c>
      <c r="I206" s="30" t="n">
        <v>0.14937</v>
      </c>
      <c r="J206" s="31" t="n">
        <f aca="false">ROUND(H206*I206,2)</f>
        <v>43.91</v>
      </c>
      <c r="L206" s="32" t="n">
        <v>432.121</v>
      </c>
      <c r="M206" s="33" t="n">
        <v>0.14937</v>
      </c>
      <c r="N206" s="34" t="n">
        <f aca="false">ROUND(L206*M206,2)</f>
        <v>64.55</v>
      </c>
    </row>
    <row r="207" customFormat="false" ht="15" hidden="false" customHeight="false" outlineLevel="0" collapsed="false">
      <c r="A207" s="24" t="s">
        <v>266</v>
      </c>
      <c r="B207" s="25" t="n">
        <v>1</v>
      </c>
      <c r="C207" s="25" t="n">
        <v>30</v>
      </c>
      <c r="D207" s="26" t="n">
        <v>0.7989</v>
      </c>
      <c r="E207" s="27" t="n">
        <v>4</v>
      </c>
      <c r="F207" s="28" t="n">
        <f aca="false">ROUND(B207*E207,2)</f>
        <v>4</v>
      </c>
      <c r="H207" s="29" t="n">
        <v>1</v>
      </c>
      <c r="I207" s="30" t="n">
        <v>4</v>
      </c>
      <c r="J207" s="31" t="n">
        <f aca="false">ROUND(H207*I207,2)</f>
        <v>4</v>
      </c>
      <c r="L207" s="32" t="n">
        <v>1</v>
      </c>
      <c r="M207" s="33" t="n">
        <v>4</v>
      </c>
      <c r="N207" s="34" t="n">
        <f aca="false">ROUND(L207*M207,2)</f>
        <v>4</v>
      </c>
    </row>
    <row r="208" customFormat="false" ht="15" hidden="false" customHeight="false" outlineLevel="0" collapsed="false">
      <c r="A208" s="24" t="s">
        <v>267</v>
      </c>
      <c r="B208" s="25" t="n">
        <v>30</v>
      </c>
      <c r="C208" s="25" t="n">
        <v>30</v>
      </c>
      <c r="D208" s="26" t="n">
        <v>0.5736</v>
      </c>
      <c r="E208" s="27" t="n">
        <v>0.01274</v>
      </c>
      <c r="F208" s="28" t="n">
        <f aca="false">ROUND(B208*E208,2)</f>
        <v>0.38</v>
      </c>
      <c r="H208" s="29" t="n">
        <v>30</v>
      </c>
      <c r="I208" s="30" t="n">
        <v>0.01274</v>
      </c>
      <c r="J208" s="31" t="n">
        <f aca="false">ROUND(H208*I208,2)</f>
        <v>0.38</v>
      </c>
      <c r="L208" s="32" t="n">
        <v>30</v>
      </c>
      <c r="M208" s="33" t="n">
        <v>0.00629</v>
      </c>
      <c r="N208" s="34" t="n">
        <f aca="false">ROUND(L208*M208,2)</f>
        <v>0.19</v>
      </c>
    </row>
    <row r="209" customFormat="false" ht="15" hidden="false" customHeight="false" outlineLevel="0" collapsed="false">
      <c r="A209" s="24" t="s">
        <v>268</v>
      </c>
      <c r="B209" s="25" t="n">
        <v>10.21</v>
      </c>
      <c r="C209" s="25" t="n">
        <v>30</v>
      </c>
      <c r="D209" s="26" t="n">
        <v>0.24729</v>
      </c>
      <c r="E209" s="27" t="n">
        <v>1</v>
      </c>
      <c r="F209" s="28" t="n">
        <f aca="false">ROUND(B209*E209,2)</f>
        <v>10.21</v>
      </c>
      <c r="H209" s="29" t="n">
        <v>6.2</v>
      </c>
      <c r="I209" s="30" t="n">
        <v>1</v>
      </c>
      <c r="J209" s="31" t="n">
        <f aca="false">ROUND(H209*I209,2)</f>
        <v>6.2</v>
      </c>
      <c r="L209" s="32" t="n">
        <v>7.41</v>
      </c>
      <c r="M209" s="33" t="n">
        <v>1</v>
      </c>
      <c r="N209" s="34" t="n">
        <f aca="false">ROUND(L209*M209,2)</f>
        <v>7.41</v>
      </c>
    </row>
    <row r="210" customFormat="false" ht="15" hidden="false" customHeight="false" outlineLevel="0" collapsed="false">
      <c r="A210" s="37" t="s">
        <v>269</v>
      </c>
      <c r="F210" s="38" t="n">
        <f aca="false">ROUND((SUM(F202:F209)-F209)*1.1+F209,2)</f>
        <v>237.34</v>
      </c>
      <c r="J210" s="39" t="n">
        <f aca="false">ROUND(SUM(J202:J209),2)</f>
        <v>134.16</v>
      </c>
      <c r="N210" s="40" t="n">
        <f aca="false">ROUND(SUM(N202:N209),2)</f>
        <v>163.15</v>
      </c>
    </row>
    <row r="211" customFormat="false" ht="15" hidden="false" customHeight="false" outlineLevel="0" collapsed="false">
      <c r="A211" s="15" t="s">
        <v>270</v>
      </c>
      <c r="B211" s="41" t="n">
        <f aca="false">IF((F204+F202+F206+F203+F205)=0,"",((F204+F202+F206+F203+F205)-(B204*D204+B202*D202+B206*D206+B203*D203+B205*D205))/(F204+F202+F206+F203+F205))</f>
        <v>0.242606592736269</v>
      </c>
      <c r="D211" s="42" t="str">
        <f aca="false">IF(B211="","SIN PC",IF(B211&gt;=Detalle!$G$1,"APROBAR",IF(B211&gt;=0.2,"REVISAR","RECHAZAR")))</f>
        <v>REVISAR</v>
      </c>
      <c r="E211" s="42"/>
      <c r="F211" s="42"/>
    </row>
    <row r="212" customFormat="false" ht="15" hidden="false" customHeight="false" outlineLevel="0" collapsed="false">
      <c r="A212" s="44" t="s">
        <v>379</v>
      </c>
      <c r="B212" s="44"/>
      <c r="C212" s="44"/>
      <c r="D212" s="44"/>
      <c r="E212" s="44"/>
      <c r="F212" s="44"/>
    </row>
    <row r="213" customFormat="false" ht="15" hidden="false" customHeight="false" outlineLevel="0" collapsed="false">
      <c r="A213" s="45" t="s">
        <v>247</v>
      </c>
      <c r="B213" s="45" t="s">
        <v>380</v>
      </c>
      <c r="D213" s="45" t="s">
        <v>381</v>
      </c>
      <c r="E213" s="45" t="s">
        <v>382</v>
      </c>
      <c r="F213" s="45" t="s">
        <v>256</v>
      </c>
    </row>
    <row r="214" customFormat="false" ht="15" hidden="false" customHeight="false" outlineLevel="0" collapsed="false">
      <c r="A214" s="46" t="s">
        <v>383</v>
      </c>
      <c r="B214" s="47" t="n">
        <v>43</v>
      </c>
      <c r="C214" s="48"/>
      <c r="D214" s="26" t="n">
        <v>0.06</v>
      </c>
      <c r="E214" s="48"/>
      <c r="F214" s="49" t="n">
        <f aca="false">ROUND(B214*D214,2)</f>
        <v>2.58</v>
      </c>
    </row>
    <row r="215" customFormat="false" ht="15" hidden="false" customHeight="false" outlineLevel="0" collapsed="false">
      <c r="A215" s="46" t="s">
        <v>384</v>
      </c>
      <c r="B215" s="48"/>
      <c r="C215" s="48"/>
      <c r="D215" s="48"/>
      <c r="E215" s="50" t="n">
        <v>0.06</v>
      </c>
      <c r="F215" s="49" t="n">
        <v>2.53</v>
      </c>
    </row>
    <row r="216" customFormat="false" ht="15" hidden="false" customHeight="false" outlineLevel="0" collapsed="false">
      <c r="A216" s="51" t="s">
        <v>385</v>
      </c>
      <c r="B216" s="48"/>
      <c r="C216" s="48"/>
      <c r="D216" s="48"/>
      <c r="E216" s="48"/>
      <c r="F216" s="52" t="n">
        <f aca="false">F214-F215</f>
        <v>0.0500000000000003</v>
      </c>
    </row>
    <row r="218" customFormat="false" ht="15" hidden="false" customHeight="false" outlineLevel="0" collapsed="false">
      <c r="A218" s="11" t="s">
        <v>386</v>
      </c>
      <c r="B218" s="11"/>
      <c r="C218" s="11"/>
      <c r="D218" s="11"/>
      <c r="E218" s="11"/>
      <c r="F218" s="11"/>
      <c r="H218" s="11" t="s">
        <v>387</v>
      </c>
      <c r="I218" s="11"/>
      <c r="J218" s="11"/>
      <c r="K218" s="11"/>
      <c r="L218" s="11"/>
      <c r="M218" s="11"/>
      <c r="N218" s="11"/>
      <c r="P218" s="14" t="s">
        <v>246</v>
      </c>
    </row>
    <row r="219" customFormat="false" ht="15" hidden="false" customHeight="false" outlineLevel="0" collapsed="false">
      <c r="A219" s="15" t="s">
        <v>247</v>
      </c>
      <c r="B219" s="16" t="s">
        <v>248</v>
      </c>
      <c r="C219" s="17"/>
      <c r="D219" s="17"/>
      <c r="E219" s="17"/>
      <c r="F219" s="17"/>
      <c r="H219" s="18" t="s">
        <v>388</v>
      </c>
      <c r="I219" s="19"/>
      <c r="J219" s="19"/>
      <c r="L219" s="20" t="s">
        <v>389</v>
      </c>
      <c r="M219" s="21"/>
      <c r="N219" s="21"/>
      <c r="P219" s="14" t="s">
        <v>390</v>
      </c>
    </row>
    <row r="220" customFormat="false" ht="15" hidden="false" customHeight="false" outlineLevel="0" collapsed="false">
      <c r="B220" s="3" t="s">
        <v>252</v>
      </c>
      <c r="C220" s="3" t="s">
        <v>253</v>
      </c>
      <c r="D220" s="3" t="s">
        <v>254</v>
      </c>
      <c r="E220" s="3" t="s">
        <v>255</v>
      </c>
      <c r="F220" s="3" t="s">
        <v>256</v>
      </c>
      <c r="H220" s="22" t="s">
        <v>252</v>
      </c>
      <c r="I220" s="22" t="s">
        <v>255</v>
      </c>
      <c r="J220" s="22" t="s">
        <v>256</v>
      </c>
      <c r="L220" s="23" t="s">
        <v>252</v>
      </c>
      <c r="M220" s="23" t="s">
        <v>255</v>
      </c>
      <c r="N220" s="23" t="s">
        <v>256</v>
      </c>
      <c r="P220" s="14" t="s">
        <v>391</v>
      </c>
    </row>
    <row r="221" customFormat="false" ht="15" hidden="false" customHeight="false" outlineLevel="0" collapsed="false">
      <c r="A221" s="24" t="s">
        <v>258</v>
      </c>
      <c r="B221" s="25" t="n">
        <v>13.2</v>
      </c>
      <c r="C221" s="25" t="n">
        <v>30</v>
      </c>
      <c r="D221" s="26" t="n">
        <v>3.68919</v>
      </c>
      <c r="E221" s="27" t="n">
        <v>3.85</v>
      </c>
      <c r="F221" s="28" t="n">
        <f aca="false">ROUND(B221*E221,2)</f>
        <v>50.82</v>
      </c>
      <c r="H221" s="29" t="n">
        <v>13.2</v>
      </c>
      <c r="I221" s="30" t="n">
        <v>3.85</v>
      </c>
      <c r="J221" s="31" t="n">
        <f aca="false">ROUND(H221*I221,2)</f>
        <v>50.82</v>
      </c>
      <c r="L221" s="32" t="n">
        <v>13.2</v>
      </c>
      <c r="M221" s="33" t="n">
        <v>3.85</v>
      </c>
      <c r="N221" s="34" t="n">
        <f aca="false">ROUND(L221*M221,2)</f>
        <v>50.82</v>
      </c>
      <c r="P221" s="35" t="s">
        <v>392</v>
      </c>
    </row>
    <row r="222" customFormat="false" ht="15" hidden="false" customHeight="false" outlineLevel="0" collapsed="false">
      <c r="A222" s="24" t="s">
        <v>260</v>
      </c>
      <c r="B222" s="25" t="n">
        <v>13.2</v>
      </c>
      <c r="C222" s="25" t="n">
        <v>30</v>
      </c>
      <c r="D222" s="26" t="n">
        <v>1.31928</v>
      </c>
      <c r="E222" s="27" t="n">
        <v>1.33</v>
      </c>
      <c r="F222" s="28" t="n">
        <f aca="false">ROUND(B222*E222,2)</f>
        <v>17.56</v>
      </c>
      <c r="H222" s="29" t="n">
        <v>13.2</v>
      </c>
      <c r="I222" s="30" t="n">
        <v>1.33</v>
      </c>
      <c r="J222" s="31" t="n">
        <f aca="false">ROUND(H222*I222,2)</f>
        <v>17.56</v>
      </c>
      <c r="L222" s="32" t="n">
        <v>13.2</v>
      </c>
      <c r="M222" s="33" t="n">
        <v>1.33</v>
      </c>
      <c r="N222" s="34" t="n">
        <f aca="false">ROUND(L222*M222,2)</f>
        <v>17.56</v>
      </c>
      <c r="P222" s="36" t="s">
        <v>261</v>
      </c>
    </row>
    <row r="223" customFormat="false" ht="15" hidden="false" customHeight="false" outlineLevel="0" collapsed="false">
      <c r="A223" s="24" t="s">
        <v>262</v>
      </c>
      <c r="B223" s="25" t="n">
        <v>258.488</v>
      </c>
      <c r="C223" s="25" t="n">
        <v>30</v>
      </c>
      <c r="D223" s="26" t="n">
        <v>0.111171</v>
      </c>
      <c r="E223" s="27" t="n">
        <v>0.13788</v>
      </c>
      <c r="F223" s="28" t="n">
        <f aca="false">ROUND(B223*E223,2)</f>
        <v>35.64</v>
      </c>
      <c r="H223" s="29" t="n">
        <v>442.536</v>
      </c>
      <c r="I223" s="30" t="n">
        <v>0.129</v>
      </c>
      <c r="J223" s="31" t="n">
        <f aca="false">ROUND(H223*I223,2)</f>
        <v>57.09</v>
      </c>
      <c r="L223" s="32" t="n">
        <v>256.232</v>
      </c>
      <c r="M223" s="33" t="n">
        <v>0.13788</v>
      </c>
      <c r="N223" s="34" t="n">
        <f aca="false">ROUND(L223*M223,2)</f>
        <v>35.33</v>
      </c>
      <c r="P223" s="35" t="s">
        <v>393</v>
      </c>
    </row>
    <row r="224" customFormat="false" ht="15" hidden="false" customHeight="false" outlineLevel="0" collapsed="false">
      <c r="A224" s="24" t="s">
        <v>264</v>
      </c>
      <c r="B224" s="25" t="n">
        <v>305.423</v>
      </c>
      <c r="C224" s="25" t="n">
        <v>30</v>
      </c>
      <c r="D224" s="26" t="n">
        <v>0.111171</v>
      </c>
      <c r="E224" s="27" t="n">
        <v>0.13788</v>
      </c>
      <c r="F224" s="28" t="n">
        <f aca="false">ROUND(B224*E224,2)</f>
        <v>42.11</v>
      </c>
      <c r="H224" s="29" t="n">
        <v>441.527</v>
      </c>
      <c r="I224" s="30" t="n">
        <v>0.129</v>
      </c>
      <c r="J224" s="31" t="n">
        <f aca="false">ROUND(H224*I224,2)</f>
        <v>56.96</v>
      </c>
      <c r="L224" s="32" t="n">
        <v>333.72</v>
      </c>
      <c r="M224" s="33" t="n">
        <v>0.13788</v>
      </c>
      <c r="N224" s="34" t="n">
        <f aca="false">ROUND(L224*M224,2)</f>
        <v>46.01</v>
      </c>
    </row>
    <row r="225" customFormat="false" ht="15" hidden="false" customHeight="false" outlineLevel="0" collapsed="false">
      <c r="A225" s="24" t="s">
        <v>265</v>
      </c>
      <c r="B225" s="25" t="n">
        <v>326.737</v>
      </c>
      <c r="C225" s="25" t="n">
        <v>30</v>
      </c>
      <c r="D225" s="26" t="n">
        <v>0.111171</v>
      </c>
      <c r="E225" s="27" t="n">
        <v>0.13788</v>
      </c>
      <c r="F225" s="28" t="n">
        <f aca="false">ROUND(B225*E225,2)</f>
        <v>45.05</v>
      </c>
      <c r="H225" s="29" t="n">
        <v>295.773</v>
      </c>
      <c r="I225" s="30" t="n">
        <v>0.129</v>
      </c>
      <c r="J225" s="31" t="n">
        <f aca="false">ROUND(H225*I225,2)</f>
        <v>38.15</v>
      </c>
      <c r="L225" s="32" t="n">
        <v>202.335</v>
      </c>
      <c r="M225" s="33" t="n">
        <v>0.13788</v>
      </c>
      <c r="N225" s="34" t="n">
        <f aca="false">ROUND(L225*M225,2)</f>
        <v>27.9</v>
      </c>
    </row>
    <row r="226" customFormat="false" ht="15" hidden="false" customHeight="false" outlineLevel="0" collapsed="false">
      <c r="A226" s="24" t="s">
        <v>266</v>
      </c>
      <c r="B226" s="25" t="n">
        <v>1</v>
      </c>
      <c r="C226" s="25" t="n">
        <v>30</v>
      </c>
      <c r="D226" s="26" t="n">
        <v>1.3414</v>
      </c>
      <c r="E226" s="27" t="n">
        <v>3</v>
      </c>
      <c r="F226" s="28" t="n">
        <f aca="false">ROUND(B226*E226,2)</f>
        <v>3</v>
      </c>
      <c r="H226" s="29" t="n">
        <v>1</v>
      </c>
      <c r="I226" s="30" t="n">
        <v>3</v>
      </c>
      <c r="J226" s="31" t="n">
        <f aca="false">ROUND(H226*I226,2)</f>
        <v>3</v>
      </c>
      <c r="L226" s="32" t="n">
        <v>1</v>
      </c>
      <c r="M226" s="33" t="n">
        <v>3</v>
      </c>
      <c r="N226" s="34" t="n">
        <f aca="false">ROUND(L226*M226,2)</f>
        <v>3</v>
      </c>
    </row>
    <row r="227" customFormat="false" ht="15" hidden="false" customHeight="false" outlineLevel="0" collapsed="false">
      <c r="A227" s="24" t="s">
        <v>267</v>
      </c>
      <c r="B227" s="25" t="n">
        <v>30</v>
      </c>
      <c r="C227" s="25" t="n">
        <v>30</v>
      </c>
      <c r="D227" s="26" t="n">
        <v>0.5736</v>
      </c>
      <c r="E227" s="27" t="n">
        <v>0.01274</v>
      </c>
      <c r="F227" s="28" t="n">
        <f aca="false">ROUND(B227*E227,2)</f>
        <v>0.38</v>
      </c>
      <c r="H227" s="29" t="n">
        <v>30</v>
      </c>
      <c r="I227" s="30" t="n">
        <v>0.01274</v>
      </c>
      <c r="J227" s="31" t="n">
        <f aca="false">ROUND(H227*I227,2)</f>
        <v>0.38</v>
      </c>
      <c r="L227" s="32" t="n">
        <v>30</v>
      </c>
      <c r="M227" s="33" t="n">
        <v>0.00629</v>
      </c>
      <c r="N227" s="34" t="n">
        <f aca="false">ROUND(L227*M227,2)</f>
        <v>0.19</v>
      </c>
    </row>
    <row r="228" customFormat="false" ht="15" hidden="false" customHeight="false" outlineLevel="0" collapsed="false">
      <c r="A228" s="24" t="s">
        <v>268</v>
      </c>
      <c r="B228" s="25" t="n">
        <v>9.78</v>
      </c>
      <c r="C228" s="25" t="n">
        <v>30</v>
      </c>
      <c r="D228" s="26" t="n">
        <v>0.27312</v>
      </c>
      <c r="E228" s="27" t="n">
        <v>1</v>
      </c>
      <c r="F228" s="28" t="n">
        <f aca="false">ROUND(B228*E228,2)</f>
        <v>9.78</v>
      </c>
      <c r="H228" s="29" t="n">
        <v>12.04</v>
      </c>
      <c r="I228" s="30" t="n">
        <v>1</v>
      </c>
      <c r="J228" s="31" t="n">
        <f aca="false">ROUND(H228*I228,2)</f>
        <v>12.04</v>
      </c>
      <c r="L228" s="32" t="n">
        <v>9.09</v>
      </c>
      <c r="M228" s="33" t="n">
        <v>1</v>
      </c>
      <c r="N228" s="34" t="n">
        <f aca="false">ROUND(L228*M228,2)</f>
        <v>9.09</v>
      </c>
    </row>
    <row r="229" customFormat="false" ht="15" hidden="false" customHeight="false" outlineLevel="0" collapsed="false">
      <c r="A229" s="37" t="s">
        <v>269</v>
      </c>
      <c r="F229" s="38" t="n">
        <f aca="false">ROUND((SUM(F221:F228)-F228)*1.1+F228,2)</f>
        <v>223.8</v>
      </c>
      <c r="J229" s="39" t="n">
        <f aca="false">ROUND(SUM(J221:J228),2)</f>
        <v>236</v>
      </c>
      <c r="N229" s="40" t="n">
        <f aca="false">ROUND(SUM(N221:N228),2)</f>
        <v>189.9</v>
      </c>
    </row>
    <row r="230" customFormat="false" ht="15" hidden="false" customHeight="false" outlineLevel="0" collapsed="false">
      <c r="A230" s="15" t="s">
        <v>270</v>
      </c>
      <c r="B230" s="41" t="n">
        <f aca="false">IF((F223+F221+F225+F222+F224)=0,"",((F223+F221+F225+F222+F224)-(B223*D223+B221*D221+B225*D225+B222*D222+B224*D224))/(F223+F221+F225+F222+F224))</f>
        <v>0.136279773993096</v>
      </c>
      <c r="D230" s="42" t="str">
        <f aca="false">IF(B230="","SIN PC",IF(B230&gt;=Detalle!$G$1,"APROBAR",IF(B230&gt;=0.2,"REVISAR","RECHAZAR")))</f>
        <v>RECHAZAR</v>
      </c>
      <c r="E230" s="42"/>
      <c r="F230" s="42"/>
    </row>
    <row r="232" customFormat="false" ht="15" hidden="false" customHeight="false" outlineLevel="0" collapsed="false">
      <c r="A232" s="11" t="s">
        <v>394</v>
      </c>
      <c r="B232" s="11"/>
      <c r="C232" s="11"/>
      <c r="D232" s="11"/>
      <c r="E232" s="11"/>
      <c r="F232" s="11"/>
      <c r="H232" s="11" t="s">
        <v>395</v>
      </c>
      <c r="I232" s="11"/>
      <c r="J232" s="11"/>
      <c r="K232" s="11"/>
      <c r="L232" s="11"/>
      <c r="M232" s="11"/>
      <c r="N232" s="11"/>
      <c r="P232" s="14" t="s">
        <v>246</v>
      </c>
    </row>
    <row r="233" customFormat="false" ht="15" hidden="false" customHeight="false" outlineLevel="0" collapsed="false">
      <c r="A233" s="15" t="s">
        <v>247</v>
      </c>
      <c r="B233" s="16" t="s">
        <v>248</v>
      </c>
      <c r="C233" s="17"/>
      <c r="D233" s="17"/>
      <c r="E233" s="17"/>
      <c r="F233" s="17"/>
      <c r="H233" s="18" t="s">
        <v>396</v>
      </c>
      <c r="I233" s="19"/>
      <c r="J233" s="19"/>
      <c r="L233" s="20" t="s">
        <v>397</v>
      </c>
      <c r="M233" s="21"/>
      <c r="N233" s="21"/>
      <c r="P233" s="14" t="s">
        <v>398</v>
      </c>
    </row>
    <row r="234" customFormat="false" ht="15" hidden="false" customHeight="false" outlineLevel="0" collapsed="false">
      <c r="B234" s="3" t="s">
        <v>252</v>
      </c>
      <c r="C234" s="3" t="s">
        <v>253</v>
      </c>
      <c r="D234" s="3" t="s">
        <v>254</v>
      </c>
      <c r="E234" s="3" t="s">
        <v>255</v>
      </c>
      <c r="F234" s="3" t="s">
        <v>256</v>
      </c>
      <c r="H234" s="22" t="s">
        <v>252</v>
      </c>
      <c r="I234" s="22" t="s">
        <v>255</v>
      </c>
      <c r="J234" s="22" t="s">
        <v>256</v>
      </c>
      <c r="L234" s="23" t="s">
        <v>252</v>
      </c>
      <c r="M234" s="23" t="s">
        <v>255</v>
      </c>
      <c r="N234" s="23" t="s">
        <v>256</v>
      </c>
      <c r="P234" s="14" t="s">
        <v>399</v>
      </c>
    </row>
    <row r="235" customFormat="false" ht="15" hidden="false" customHeight="false" outlineLevel="0" collapsed="false">
      <c r="A235" s="24" t="s">
        <v>258</v>
      </c>
      <c r="B235" s="25" t="n">
        <v>5.5</v>
      </c>
      <c r="C235" s="25" t="n">
        <v>30</v>
      </c>
      <c r="D235" s="26" t="n">
        <v>3.68919</v>
      </c>
      <c r="E235" s="27" t="n">
        <v>3.85</v>
      </c>
      <c r="F235" s="28" t="n">
        <f aca="false">ROUND(B235*E235,2)</f>
        <v>21.18</v>
      </c>
      <c r="H235" s="29" t="n">
        <v>5.5</v>
      </c>
      <c r="I235" s="30" t="n">
        <v>3.85</v>
      </c>
      <c r="J235" s="31" t="n">
        <f aca="false">ROUND(H235*I235,2)</f>
        <v>21.18</v>
      </c>
      <c r="L235" s="32" t="n">
        <v>5.5</v>
      </c>
      <c r="M235" s="33" t="n">
        <v>3.85</v>
      </c>
      <c r="N235" s="34" t="n">
        <f aca="false">ROUND(L235*M235,2)</f>
        <v>21.18</v>
      </c>
      <c r="P235" s="35" t="s">
        <v>400</v>
      </c>
    </row>
    <row r="236" customFormat="false" ht="15" hidden="false" customHeight="false" outlineLevel="0" collapsed="false">
      <c r="A236" s="24" t="s">
        <v>260</v>
      </c>
      <c r="B236" s="25" t="n">
        <v>5.5</v>
      </c>
      <c r="C236" s="25" t="n">
        <v>30</v>
      </c>
      <c r="D236" s="26" t="n">
        <v>1.31928</v>
      </c>
      <c r="E236" s="27" t="n">
        <v>1.33</v>
      </c>
      <c r="F236" s="28" t="n">
        <f aca="false">ROUND(B236*E236,2)</f>
        <v>7.32</v>
      </c>
      <c r="H236" s="29" t="n">
        <v>5.5</v>
      </c>
      <c r="I236" s="30" t="n">
        <v>1.33</v>
      </c>
      <c r="J236" s="31" t="n">
        <f aca="false">ROUND(H236*I236,2)</f>
        <v>7.32</v>
      </c>
      <c r="L236" s="32" t="n">
        <v>5.5</v>
      </c>
      <c r="M236" s="33" t="n">
        <v>1.33</v>
      </c>
      <c r="N236" s="34" t="n">
        <f aca="false">ROUND(L236*M236,2)</f>
        <v>7.32</v>
      </c>
      <c r="P236" s="43" t="s">
        <v>261</v>
      </c>
    </row>
    <row r="237" customFormat="false" ht="15" hidden="false" customHeight="false" outlineLevel="0" collapsed="false">
      <c r="A237" s="24" t="s">
        <v>262</v>
      </c>
      <c r="B237" s="25" t="n">
        <v>131.537</v>
      </c>
      <c r="C237" s="25" t="n">
        <v>30</v>
      </c>
      <c r="D237" s="26" t="n">
        <v>0.111171</v>
      </c>
      <c r="E237" s="27" t="n">
        <v>0.13788</v>
      </c>
      <c r="F237" s="28" t="n">
        <f aca="false">ROUND(B237*E237,2)</f>
        <v>18.14</v>
      </c>
      <c r="H237" s="29" t="n">
        <v>383.007</v>
      </c>
      <c r="I237" s="30" t="n">
        <v>0.13788</v>
      </c>
      <c r="J237" s="31" t="n">
        <f aca="false">ROUND(H237*I237,2)</f>
        <v>52.81</v>
      </c>
      <c r="L237" s="32" t="n">
        <v>197.212</v>
      </c>
      <c r="M237" s="33" t="n">
        <v>0.13788</v>
      </c>
      <c r="N237" s="34" t="n">
        <f aca="false">ROUND(L237*M237,2)</f>
        <v>27.19</v>
      </c>
    </row>
    <row r="238" customFormat="false" ht="15" hidden="false" customHeight="false" outlineLevel="0" collapsed="false">
      <c r="A238" s="24" t="s">
        <v>264</v>
      </c>
      <c r="B238" s="25" t="n">
        <v>180.241</v>
      </c>
      <c r="C238" s="25" t="n">
        <v>30</v>
      </c>
      <c r="D238" s="26" t="n">
        <v>0.111171</v>
      </c>
      <c r="E238" s="27" t="n">
        <v>0.13788</v>
      </c>
      <c r="F238" s="28" t="n">
        <f aca="false">ROUND(B238*E238,2)</f>
        <v>24.85</v>
      </c>
      <c r="H238" s="29" t="n">
        <v>376.412</v>
      </c>
      <c r="I238" s="30" t="n">
        <v>0.13788</v>
      </c>
      <c r="J238" s="31" t="n">
        <f aca="false">ROUND(H238*I238,2)</f>
        <v>51.9</v>
      </c>
      <c r="L238" s="32" t="n">
        <v>187.009</v>
      </c>
      <c r="M238" s="33" t="n">
        <v>0.13788</v>
      </c>
      <c r="N238" s="34" t="n">
        <f aca="false">ROUND(L238*M238,2)</f>
        <v>25.78</v>
      </c>
    </row>
    <row r="239" customFormat="false" ht="15" hidden="false" customHeight="false" outlineLevel="0" collapsed="false">
      <c r="A239" s="24" t="s">
        <v>265</v>
      </c>
      <c r="B239" s="25" t="n">
        <v>423.07</v>
      </c>
      <c r="C239" s="25" t="n">
        <v>30</v>
      </c>
      <c r="D239" s="26" t="n">
        <v>0.111171</v>
      </c>
      <c r="E239" s="27" t="n">
        <v>0.13788</v>
      </c>
      <c r="F239" s="28" t="n">
        <f aca="false">ROUND(B239*E239,2)</f>
        <v>58.33</v>
      </c>
      <c r="H239" s="29" t="n">
        <v>918.002</v>
      </c>
      <c r="I239" s="30" t="n">
        <v>0.13788</v>
      </c>
      <c r="J239" s="31" t="n">
        <f aca="false">ROUND(H239*I239,2)</f>
        <v>126.57</v>
      </c>
      <c r="L239" s="32" t="n">
        <v>440.662</v>
      </c>
      <c r="M239" s="33" t="n">
        <v>0.13788</v>
      </c>
      <c r="N239" s="34" t="n">
        <f aca="false">ROUND(L239*M239,2)</f>
        <v>60.76</v>
      </c>
    </row>
    <row r="240" customFormat="false" ht="15" hidden="false" customHeight="false" outlineLevel="0" collapsed="false">
      <c r="A240" s="24" t="s">
        <v>266</v>
      </c>
      <c r="B240" s="25" t="n">
        <v>1</v>
      </c>
      <c r="C240" s="25" t="n">
        <v>30</v>
      </c>
      <c r="D240" s="26" t="n">
        <v>0.7989</v>
      </c>
      <c r="E240" s="27" t="n">
        <v>3</v>
      </c>
      <c r="F240" s="28" t="n">
        <f aca="false">ROUND(B240*E240,2)</f>
        <v>3</v>
      </c>
      <c r="H240" s="29" t="n">
        <v>1</v>
      </c>
      <c r="I240" s="30" t="n">
        <v>3</v>
      </c>
      <c r="J240" s="31" t="n">
        <f aca="false">ROUND(H240*I240,2)</f>
        <v>3</v>
      </c>
      <c r="L240" s="32" t="n">
        <v>1</v>
      </c>
      <c r="M240" s="33" t="n">
        <v>3</v>
      </c>
      <c r="N240" s="34" t="n">
        <f aca="false">ROUND(L240*M240,2)</f>
        <v>3</v>
      </c>
    </row>
    <row r="241" customFormat="false" ht="15" hidden="false" customHeight="false" outlineLevel="0" collapsed="false">
      <c r="A241" s="24" t="s">
        <v>267</v>
      </c>
      <c r="B241" s="25" t="n">
        <v>30</v>
      </c>
      <c r="C241" s="25" t="n">
        <v>30</v>
      </c>
      <c r="D241" s="26" t="n">
        <v>0.5736</v>
      </c>
      <c r="E241" s="27" t="n">
        <v>0.01274</v>
      </c>
      <c r="F241" s="28" t="n">
        <f aca="false">ROUND(B241*E241,2)</f>
        <v>0.38</v>
      </c>
      <c r="H241" s="29" t="n">
        <v>30</v>
      </c>
      <c r="I241" s="30" t="n">
        <v>0.01274</v>
      </c>
      <c r="J241" s="31" t="n">
        <f aca="false">ROUND(H241*I241,2)</f>
        <v>0.38</v>
      </c>
      <c r="L241" s="32" t="n">
        <v>30</v>
      </c>
      <c r="M241" s="33" t="n">
        <v>0.00629</v>
      </c>
      <c r="N241" s="34" t="n">
        <f aca="false">ROUND(L241*M241,2)</f>
        <v>0.19</v>
      </c>
    </row>
    <row r="242" customFormat="false" ht="15" hidden="false" customHeight="false" outlineLevel="0" collapsed="false">
      <c r="A242" s="24" t="s">
        <v>268</v>
      </c>
      <c r="B242" s="25" t="n">
        <v>6.64</v>
      </c>
      <c r="C242" s="25" t="n">
        <v>30</v>
      </c>
      <c r="D242" s="26" t="n">
        <v>0.27312</v>
      </c>
      <c r="E242" s="27" t="n">
        <v>1</v>
      </c>
      <c r="F242" s="28" t="n">
        <f aca="false">ROUND(B242*E242,2)</f>
        <v>6.64</v>
      </c>
      <c r="H242" s="29" t="n">
        <v>13.28</v>
      </c>
      <c r="I242" s="30" t="n">
        <v>1</v>
      </c>
      <c r="J242" s="31" t="n">
        <f aca="false">ROUND(H242*I242,2)</f>
        <v>13.28</v>
      </c>
      <c r="L242" s="32" t="n">
        <v>7.28</v>
      </c>
      <c r="M242" s="33" t="n">
        <v>1</v>
      </c>
      <c r="N242" s="34" t="n">
        <f aca="false">ROUND(L242*M242,2)</f>
        <v>7.28</v>
      </c>
    </row>
    <row r="243" customFormat="false" ht="15" hidden="false" customHeight="false" outlineLevel="0" collapsed="false">
      <c r="A243" s="37" t="s">
        <v>269</v>
      </c>
      <c r="F243" s="38" t="n">
        <f aca="false">ROUND((SUM(F235:F242)-F242)*1.1+F242,2)</f>
        <v>153.16</v>
      </c>
      <c r="J243" s="39" t="n">
        <f aca="false">ROUND(SUM(J235:J242),2)</f>
        <v>276.44</v>
      </c>
      <c r="N243" s="40" t="n">
        <f aca="false">ROUND(SUM(N235:N242),2)</f>
        <v>152.7</v>
      </c>
    </row>
    <row r="244" customFormat="false" ht="15" hidden="false" customHeight="false" outlineLevel="0" collapsed="false">
      <c r="A244" s="15" t="s">
        <v>270</v>
      </c>
      <c r="B244" s="41" t="n">
        <f aca="false">IF((F237+F235+F239+F236+F238)=0,"",((F237+F235+F239+F236+F238)-(B237*D237+B235*D235+B239*D239+B236*D236+B238*D238))/(F237+F235+F239+F236+F238))</f>
        <v>0.158524325928208</v>
      </c>
      <c r="D244" s="42" t="str">
        <f aca="false">IF(B244="","SIN PC",IF(B244&gt;=Detalle!$G$1,"APROBAR",IF(B244&gt;=0.2,"REVISAR","RECHAZAR")))</f>
        <v>RECHAZAR</v>
      </c>
      <c r="E244" s="42"/>
      <c r="F244" s="42"/>
    </row>
    <row r="246" customFormat="false" ht="15" hidden="false" customHeight="false" outlineLevel="0" collapsed="false">
      <c r="A246" s="11" t="s">
        <v>401</v>
      </c>
      <c r="B246" s="11"/>
      <c r="C246" s="11"/>
      <c r="D246" s="11"/>
      <c r="E246" s="11"/>
      <c r="F246" s="11"/>
      <c r="H246" s="11" t="s">
        <v>402</v>
      </c>
      <c r="I246" s="11"/>
      <c r="J246" s="11"/>
      <c r="K246" s="11"/>
      <c r="L246" s="11"/>
      <c r="M246" s="11"/>
      <c r="N246" s="11"/>
      <c r="P246" s="14" t="s">
        <v>246</v>
      </c>
    </row>
    <row r="247" customFormat="false" ht="15" hidden="false" customHeight="false" outlineLevel="0" collapsed="false">
      <c r="A247" s="15" t="s">
        <v>247</v>
      </c>
      <c r="B247" s="16" t="s">
        <v>248</v>
      </c>
      <c r="C247" s="17"/>
      <c r="D247" s="17"/>
      <c r="E247" s="17"/>
      <c r="F247" s="17"/>
      <c r="H247" s="18" t="s">
        <v>403</v>
      </c>
      <c r="I247" s="19"/>
      <c r="J247" s="19"/>
      <c r="L247" s="20" t="s">
        <v>404</v>
      </c>
      <c r="M247" s="21"/>
      <c r="N247" s="21"/>
      <c r="P247" s="14" t="s">
        <v>405</v>
      </c>
    </row>
    <row r="248" customFormat="false" ht="15" hidden="false" customHeight="false" outlineLevel="0" collapsed="false">
      <c r="B248" s="3" t="s">
        <v>252</v>
      </c>
      <c r="C248" s="3" t="s">
        <v>253</v>
      </c>
      <c r="D248" s="3" t="s">
        <v>254</v>
      </c>
      <c r="E248" s="3" t="s">
        <v>255</v>
      </c>
      <c r="F248" s="3" t="s">
        <v>256</v>
      </c>
      <c r="H248" s="22" t="s">
        <v>252</v>
      </c>
      <c r="I248" s="22" t="s">
        <v>255</v>
      </c>
      <c r="J248" s="22" t="s">
        <v>256</v>
      </c>
      <c r="L248" s="23" t="s">
        <v>252</v>
      </c>
      <c r="M248" s="23" t="s">
        <v>255</v>
      </c>
      <c r="N248" s="23" t="s">
        <v>256</v>
      </c>
      <c r="P248" s="14" t="s">
        <v>406</v>
      </c>
    </row>
    <row r="249" customFormat="false" ht="15" hidden="false" customHeight="false" outlineLevel="0" collapsed="false">
      <c r="A249" s="24" t="s">
        <v>258</v>
      </c>
      <c r="B249" s="25" t="n">
        <v>5.75</v>
      </c>
      <c r="C249" s="25" t="n">
        <v>30</v>
      </c>
      <c r="D249" s="26" t="n">
        <v>3.4086</v>
      </c>
      <c r="E249" s="27" t="n">
        <v>4.17</v>
      </c>
      <c r="F249" s="28" t="n">
        <f aca="false">ROUND(B249*E249,2)</f>
        <v>23.98</v>
      </c>
      <c r="H249" s="29" t="n">
        <v>5.75</v>
      </c>
      <c r="I249" s="30" t="n">
        <v>4.17</v>
      </c>
      <c r="J249" s="31" t="n">
        <f aca="false">ROUND(H249*I249,2)</f>
        <v>23.98</v>
      </c>
      <c r="L249" s="32" t="n">
        <v>5.75</v>
      </c>
      <c r="M249" s="33" t="n">
        <v>4.17</v>
      </c>
      <c r="N249" s="34" t="n">
        <f aca="false">ROUND(L249*M249,2)</f>
        <v>23.98</v>
      </c>
      <c r="P249" s="35" t="s">
        <v>407</v>
      </c>
    </row>
    <row r="250" customFormat="false" ht="15" hidden="false" customHeight="false" outlineLevel="0" collapsed="false">
      <c r="A250" s="24" t="s">
        <v>260</v>
      </c>
      <c r="B250" s="25" t="n">
        <v>5.75</v>
      </c>
      <c r="C250" s="25" t="n">
        <v>30</v>
      </c>
      <c r="D250" s="26" t="n">
        <v>1.09728</v>
      </c>
      <c r="E250" s="27" t="n">
        <v>1.37</v>
      </c>
      <c r="F250" s="28" t="n">
        <f aca="false">ROUND(B250*E250,2)</f>
        <v>7.88</v>
      </c>
      <c r="H250" s="29" t="n">
        <v>5.75</v>
      </c>
      <c r="I250" s="30" t="n">
        <v>1.37</v>
      </c>
      <c r="J250" s="31" t="n">
        <f aca="false">ROUND(H250*I250,2)</f>
        <v>7.88</v>
      </c>
      <c r="L250" s="32" t="n">
        <v>5.75</v>
      </c>
      <c r="M250" s="33" t="n">
        <v>1.37</v>
      </c>
      <c r="N250" s="34" t="n">
        <f aca="false">ROUND(L250*M250,2)</f>
        <v>7.88</v>
      </c>
      <c r="P250" s="36" t="s">
        <v>261</v>
      </c>
    </row>
    <row r="251" customFormat="false" ht="15" hidden="false" customHeight="false" outlineLevel="0" collapsed="false">
      <c r="A251" s="24" t="s">
        <v>262</v>
      </c>
      <c r="B251" s="25" t="n">
        <v>71.84</v>
      </c>
      <c r="C251" s="25" t="n">
        <v>30</v>
      </c>
      <c r="D251" s="26" t="n">
        <v>0.110306</v>
      </c>
      <c r="E251" s="27" t="n">
        <v>0.14937</v>
      </c>
      <c r="F251" s="28" t="n">
        <f aca="false">ROUND(B251*E251,2)</f>
        <v>10.73</v>
      </c>
      <c r="H251" s="29" t="n">
        <v>77.319</v>
      </c>
      <c r="I251" s="30" t="n">
        <v>0.14937</v>
      </c>
      <c r="J251" s="31" t="n">
        <f aca="false">ROUND(H251*I251,2)</f>
        <v>11.55</v>
      </c>
      <c r="L251" s="32" t="n">
        <v>49.27</v>
      </c>
      <c r="M251" s="33" t="n">
        <v>0.14937</v>
      </c>
      <c r="N251" s="34" t="n">
        <f aca="false">ROUND(L251*M251,2)</f>
        <v>7.36</v>
      </c>
      <c r="P251" s="35" t="s">
        <v>408</v>
      </c>
    </row>
    <row r="252" customFormat="false" ht="15" hidden="false" customHeight="false" outlineLevel="0" collapsed="false">
      <c r="A252" s="24" t="s">
        <v>264</v>
      </c>
      <c r="B252" s="25" t="n">
        <v>38.824</v>
      </c>
      <c r="C252" s="25" t="n">
        <v>30</v>
      </c>
      <c r="D252" s="26" t="n">
        <v>0.110306</v>
      </c>
      <c r="E252" s="27" t="n">
        <v>0.14937</v>
      </c>
      <c r="F252" s="28" t="n">
        <f aca="false">ROUND(B252*E252,2)</f>
        <v>5.8</v>
      </c>
      <c r="H252" s="29" t="n">
        <v>44.498</v>
      </c>
      <c r="I252" s="30" t="n">
        <v>0.14937</v>
      </c>
      <c r="J252" s="31" t="n">
        <f aca="false">ROUND(H252*I252,2)</f>
        <v>6.65</v>
      </c>
      <c r="L252" s="32" t="n">
        <v>35.233</v>
      </c>
      <c r="M252" s="33" t="n">
        <v>0.14937</v>
      </c>
      <c r="N252" s="34" t="n">
        <f aca="false">ROUND(L252*M252,2)</f>
        <v>5.26</v>
      </c>
    </row>
    <row r="253" customFormat="false" ht="15" hidden="false" customHeight="false" outlineLevel="0" collapsed="false">
      <c r="A253" s="24" t="s">
        <v>265</v>
      </c>
      <c r="B253" s="25" t="n">
        <v>140.403</v>
      </c>
      <c r="C253" s="25" t="n">
        <v>30</v>
      </c>
      <c r="D253" s="26" t="n">
        <v>0.110306</v>
      </c>
      <c r="E253" s="27" t="n">
        <v>0.14937</v>
      </c>
      <c r="F253" s="28" t="n">
        <f aca="false">ROUND(B253*E253,2)</f>
        <v>20.97</v>
      </c>
      <c r="H253" s="29" t="n">
        <v>121.108</v>
      </c>
      <c r="I253" s="30" t="n">
        <v>0.14937</v>
      </c>
      <c r="J253" s="31" t="n">
        <f aca="false">ROUND(H253*I253,2)</f>
        <v>18.09</v>
      </c>
      <c r="L253" s="32" t="n">
        <v>94.743</v>
      </c>
      <c r="M253" s="33" t="n">
        <v>0.14937</v>
      </c>
      <c r="N253" s="34" t="n">
        <f aca="false">ROUND(L253*M253,2)</f>
        <v>14.15</v>
      </c>
    </row>
    <row r="254" customFormat="false" ht="15" hidden="false" customHeight="false" outlineLevel="0" collapsed="false">
      <c r="A254" s="24" t="s">
        <v>266</v>
      </c>
      <c r="B254" s="25" t="n">
        <v>1</v>
      </c>
      <c r="C254" s="25" t="n">
        <v>30</v>
      </c>
      <c r="D254" s="26" t="n">
        <v>0.7989</v>
      </c>
      <c r="E254" s="27" t="n">
        <v>4</v>
      </c>
      <c r="F254" s="28" t="n">
        <f aca="false">ROUND(B254*E254,2)</f>
        <v>4</v>
      </c>
      <c r="H254" s="29" t="n">
        <v>1</v>
      </c>
      <c r="I254" s="30" t="n">
        <v>4</v>
      </c>
      <c r="J254" s="31" t="n">
        <f aca="false">ROUND(H254*I254,2)</f>
        <v>4</v>
      </c>
      <c r="L254" s="32" t="n">
        <v>1</v>
      </c>
      <c r="M254" s="33" t="n">
        <v>4</v>
      </c>
      <c r="N254" s="34" t="n">
        <f aca="false">ROUND(L254*M254,2)</f>
        <v>4</v>
      </c>
    </row>
    <row r="255" customFormat="false" ht="15" hidden="false" customHeight="false" outlineLevel="0" collapsed="false">
      <c r="A255" s="24" t="s">
        <v>267</v>
      </c>
      <c r="B255" s="25" t="n">
        <v>30</v>
      </c>
      <c r="C255" s="25" t="n">
        <v>30</v>
      </c>
      <c r="D255" s="26" t="n">
        <v>0.5736</v>
      </c>
      <c r="E255" s="27" t="n">
        <v>0.01274</v>
      </c>
      <c r="F255" s="28" t="n">
        <f aca="false">ROUND(B255*E255,2)</f>
        <v>0.38</v>
      </c>
      <c r="H255" s="29" t="n">
        <v>30</v>
      </c>
      <c r="I255" s="30" t="n">
        <v>0.01274</v>
      </c>
      <c r="J255" s="31" t="n">
        <f aca="false">ROUND(H255*I255,2)</f>
        <v>0.38</v>
      </c>
      <c r="L255" s="32" t="n">
        <v>30</v>
      </c>
      <c r="M255" s="33" t="n">
        <v>0.00629</v>
      </c>
      <c r="N255" s="34" t="n">
        <f aca="false">ROUND(L255*M255,2)</f>
        <v>0.19</v>
      </c>
    </row>
    <row r="256" customFormat="false" ht="15" hidden="false" customHeight="false" outlineLevel="0" collapsed="false">
      <c r="A256" s="24" t="s">
        <v>268</v>
      </c>
      <c r="B256" s="25" t="n">
        <v>3.13</v>
      </c>
      <c r="C256" s="25" t="n">
        <v>30</v>
      </c>
      <c r="D256" s="26" t="n">
        <v>0.24729</v>
      </c>
      <c r="E256" s="27" t="n">
        <v>1</v>
      </c>
      <c r="F256" s="28" t="n">
        <f aca="false">ROUND(B256*E256,2)</f>
        <v>3.13</v>
      </c>
      <c r="H256" s="29" t="n">
        <v>3.08</v>
      </c>
      <c r="I256" s="30" t="n">
        <v>1</v>
      </c>
      <c r="J256" s="31" t="n">
        <f aca="false">ROUND(H256*I256,2)</f>
        <v>3.08</v>
      </c>
      <c r="L256" s="32" t="n">
        <v>2.43</v>
      </c>
      <c r="M256" s="33" t="n">
        <v>1</v>
      </c>
      <c r="N256" s="34" t="n">
        <f aca="false">ROUND(L256*M256,2)</f>
        <v>2.43</v>
      </c>
    </row>
    <row r="257" customFormat="false" ht="15" hidden="false" customHeight="false" outlineLevel="0" collapsed="false">
      <c r="A257" s="37" t="s">
        <v>269</v>
      </c>
      <c r="F257" s="38" t="n">
        <f aca="false">ROUND((SUM(F249:F256)-F256)*1.1+F256,2)</f>
        <v>84.24</v>
      </c>
      <c r="J257" s="39" t="n">
        <f aca="false">ROUND(SUM(J249:J256),2)</f>
        <v>75.61</v>
      </c>
      <c r="N257" s="40" t="n">
        <f aca="false">ROUND(SUM(N249:N256),2)</f>
        <v>65.25</v>
      </c>
    </row>
    <row r="258" customFormat="false" ht="15" hidden="false" customHeight="false" outlineLevel="0" collapsed="false">
      <c r="A258" s="15" t="s">
        <v>270</v>
      </c>
      <c r="B258" s="41" t="n">
        <f aca="false">IF((F251+F249+F253+F250+F252)=0,"",((F251+F249+F253+F250+F252)-(B251*D251+B249*D249+B253*D253+B250*D250+B252*D252))/(F251+F249+F253+F250+F252))</f>
        <v>0.227176953546713</v>
      </c>
      <c r="D258" s="42" t="str">
        <f aca="false">IF(B258="","SIN PC",IF(B258&gt;=Detalle!$G$1,"APROBAR",IF(B258&gt;=0.2,"REVISAR","RECHAZAR")))</f>
        <v>REVISAR</v>
      </c>
      <c r="E258" s="42"/>
      <c r="F258" s="42"/>
    </row>
    <row r="259" customFormat="false" ht="15" hidden="false" customHeight="false" outlineLevel="0" collapsed="false">
      <c r="A259" s="44" t="s">
        <v>379</v>
      </c>
      <c r="B259" s="44"/>
      <c r="C259" s="44"/>
      <c r="D259" s="44"/>
      <c r="E259" s="44"/>
      <c r="F259" s="44"/>
    </row>
    <row r="260" customFormat="false" ht="15" hidden="false" customHeight="false" outlineLevel="0" collapsed="false">
      <c r="A260" s="45" t="s">
        <v>247</v>
      </c>
      <c r="B260" s="45" t="s">
        <v>380</v>
      </c>
      <c r="D260" s="45" t="s">
        <v>381</v>
      </c>
      <c r="E260" s="45" t="s">
        <v>382</v>
      </c>
      <c r="F260" s="45" t="s">
        <v>256</v>
      </c>
    </row>
    <row r="261" customFormat="false" ht="15" hidden="false" customHeight="false" outlineLevel="0" collapsed="false">
      <c r="A261" s="46" t="s">
        <v>383</v>
      </c>
      <c r="B261" s="47" t="n">
        <v>161</v>
      </c>
      <c r="C261" s="48"/>
      <c r="D261" s="26" t="n">
        <v>0.06</v>
      </c>
      <c r="E261" s="48"/>
      <c r="F261" s="49" t="n">
        <f aca="false">ROUND(B261*D261,2)</f>
        <v>9.66</v>
      </c>
    </row>
    <row r="262" customFormat="false" ht="15" hidden="false" customHeight="false" outlineLevel="0" collapsed="false">
      <c r="A262" s="46" t="s">
        <v>384</v>
      </c>
      <c r="B262" s="48"/>
      <c r="C262" s="48"/>
      <c r="D262" s="48"/>
      <c r="E262" s="50" t="n">
        <v>0.06</v>
      </c>
      <c r="F262" s="49" t="n">
        <v>8.31</v>
      </c>
    </row>
    <row r="263" customFormat="false" ht="15" hidden="false" customHeight="false" outlineLevel="0" collapsed="false">
      <c r="A263" s="51" t="s">
        <v>385</v>
      </c>
      <c r="B263" s="48"/>
      <c r="C263" s="48"/>
      <c r="D263" s="48"/>
      <c r="E263" s="48"/>
      <c r="F263" s="52" t="n">
        <f aca="false">F261-F262</f>
        <v>1.35</v>
      </c>
    </row>
    <row r="265" customFormat="false" ht="15" hidden="false" customHeight="false" outlineLevel="0" collapsed="false">
      <c r="A265" s="11" t="s">
        <v>409</v>
      </c>
      <c r="B265" s="11"/>
      <c r="C265" s="11"/>
      <c r="D265" s="11"/>
      <c r="E265" s="11"/>
      <c r="F265" s="11"/>
      <c r="H265" s="11" t="s">
        <v>410</v>
      </c>
      <c r="I265" s="11"/>
      <c r="J265" s="11"/>
      <c r="K265" s="11"/>
      <c r="L265" s="11"/>
      <c r="M265" s="11"/>
      <c r="N265" s="11"/>
      <c r="P265" s="14" t="s">
        <v>246</v>
      </c>
    </row>
    <row r="266" customFormat="false" ht="15" hidden="false" customHeight="false" outlineLevel="0" collapsed="false">
      <c r="A266" s="15" t="s">
        <v>247</v>
      </c>
      <c r="B266" s="16" t="s">
        <v>248</v>
      </c>
      <c r="C266" s="17"/>
      <c r="D266" s="17"/>
      <c r="E266" s="17"/>
      <c r="F266" s="17"/>
      <c r="H266" s="18" t="s">
        <v>411</v>
      </c>
      <c r="I266" s="19"/>
      <c r="J266" s="19"/>
      <c r="L266" s="20" t="s">
        <v>412</v>
      </c>
      <c r="M266" s="21"/>
      <c r="N266" s="21"/>
      <c r="P266" s="14" t="s">
        <v>413</v>
      </c>
    </row>
    <row r="267" customFormat="false" ht="15" hidden="false" customHeight="false" outlineLevel="0" collapsed="false">
      <c r="B267" s="3" t="s">
        <v>252</v>
      </c>
      <c r="C267" s="3" t="s">
        <v>253</v>
      </c>
      <c r="D267" s="3" t="s">
        <v>254</v>
      </c>
      <c r="E267" s="3" t="s">
        <v>255</v>
      </c>
      <c r="F267" s="3" t="s">
        <v>256</v>
      </c>
      <c r="H267" s="22" t="s">
        <v>252</v>
      </c>
      <c r="I267" s="22" t="s">
        <v>255</v>
      </c>
      <c r="J267" s="22" t="s">
        <v>256</v>
      </c>
      <c r="L267" s="23" t="s">
        <v>252</v>
      </c>
      <c r="M267" s="23" t="s">
        <v>255</v>
      </c>
      <c r="N267" s="23" t="s">
        <v>256</v>
      </c>
      <c r="P267" s="14" t="s">
        <v>414</v>
      </c>
    </row>
    <row r="268" customFormat="false" ht="15" hidden="false" customHeight="false" outlineLevel="0" collapsed="false">
      <c r="A268" s="24" t="s">
        <v>258</v>
      </c>
      <c r="B268" s="25" t="n">
        <v>9.2</v>
      </c>
      <c r="C268" s="25" t="n">
        <v>30</v>
      </c>
      <c r="D268" s="26" t="n">
        <v>3.4086</v>
      </c>
      <c r="E268" s="27" t="n">
        <v>4.17</v>
      </c>
      <c r="F268" s="28" t="n">
        <f aca="false">ROUND(B268*E268,2)</f>
        <v>38.36</v>
      </c>
      <c r="H268" s="29" t="n">
        <v>9.2</v>
      </c>
      <c r="I268" s="30" t="n">
        <v>4.17</v>
      </c>
      <c r="J268" s="31" t="n">
        <f aca="false">ROUND(H268*I268,2)</f>
        <v>38.36</v>
      </c>
      <c r="L268" s="32" t="n">
        <v>9.2</v>
      </c>
      <c r="M268" s="33" t="n">
        <v>4.17</v>
      </c>
      <c r="N268" s="34" t="n">
        <f aca="false">ROUND(L268*M268,2)</f>
        <v>38.36</v>
      </c>
      <c r="P268" s="35" t="s">
        <v>415</v>
      </c>
    </row>
    <row r="269" customFormat="false" ht="15" hidden="false" customHeight="false" outlineLevel="0" collapsed="false">
      <c r="A269" s="24" t="s">
        <v>260</v>
      </c>
      <c r="B269" s="25" t="n">
        <v>9.2</v>
      </c>
      <c r="C269" s="25" t="n">
        <v>30</v>
      </c>
      <c r="D269" s="26" t="n">
        <v>1.09728</v>
      </c>
      <c r="E269" s="27" t="n">
        <v>1.37</v>
      </c>
      <c r="F269" s="28" t="n">
        <f aca="false">ROUND(B269*E269,2)</f>
        <v>12.6</v>
      </c>
      <c r="H269" s="29" t="n">
        <v>9.2</v>
      </c>
      <c r="I269" s="30" t="n">
        <v>1.37</v>
      </c>
      <c r="J269" s="31" t="n">
        <f aca="false">ROUND(H269*I269,2)</f>
        <v>12.6</v>
      </c>
      <c r="L269" s="32" t="n">
        <v>9.2</v>
      </c>
      <c r="M269" s="33" t="n">
        <v>1.37</v>
      </c>
      <c r="N269" s="34" t="n">
        <f aca="false">ROUND(L269*M269,2)</f>
        <v>12.6</v>
      </c>
      <c r="P269" s="36" t="s">
        <v>261</v>
      </c>
    </row>
    <row r="270" customFormat="false" ht="15" hidden="false" customHeight="false" outlineLevel="0" collapsed="false">
      <c r="A270" s="24" t="s">
        <v>262</v>
      </c>
      <c r="B270" s="25" t="n">
        <v>78.991</v>
      </c>
      <c r="C270" s="25" t="n">
        <v>30</v>
      </c>
      <c r="D270" s="26" t="n">
        <v>0.110306</v>
      </c>
      <c r="E270" s="27" t="n">
        <v>0.14937</v>
      </c>
      <c r="F270" s="28" t="n">
        <f aca="false">ROUND(B270*E270,2)</f>
        <v>11.8</v>
      </c>
      <c r="H270" s="29" t="n">
        <v>123.339</v>
      </c>
      <c r="I270" s="30" t="n">
        <v>0.14937</v>
      </c>
      <c r="J270" s="31" t="n">
        <f aca="false">ROUND(H270*I270,2)</f>
        <v>18.42</v>
      </c>
      <c r="L270" s="32" t="n">
        <v>83.493</v>
      </c>
      <c r="M270" s="33" t="n">
        <v>0.14937</v>
      </c>
      <c r="N270" s="34" t="n">
        <f aca="false">ROUND(L270*M270,2)</f>
        <v>12.47</v>
      </c>
      <c r="P270" s="35" t="s">
        <v>416</v>
      </c>
    </row>
    <row r="271" customFormat="false" ht="15" hidden="false" customHeight="false" outlineLevel="0" collapsed="false">
      <c r="A271" s="24" t="s">
        <v>264</v>
      </c>
      <c r="B271" s="25" t="n">
        <v>41.717</v>
      </c>
      <c r="C271" s="25" t="n">
        <v>30</v>
      </c>
      <c r="D271" s="26" t="n">
        <v>0.110306</v>
      </c>
      <c r="E271" s="27" t="n">
        <v>0.14937</v>
      </c>
      <c r="F271" s="28" t="n">
        <f aca="false">ROUND(B271*E271,2)</f>
        <v>6.23</v>
      </c>
      <c r="H271" s="29" t="n">
        <v>78.642</v>
      </c>
      <c r="I271" s="30" t="n">
        <v>0.14937</v>
      </c>
      <c r="J271" s="31" t="n">
        <f aca="false">ROUND(H271*I271,2)</f>
        <v>11.75</v>
      </c>
      <c r="L271" s="32" t="n">
        <v>41.141</v>
      </c>
      <c r="M271" s="33" t="n">
        <v>0.14937</v>
      </c>
      <c r="N271" s="34" t="n">
        <f aca="false">ROUND(L271*M271,2)</f>
        <v>6.15</v>
      </c>
    </row>
    <row r="272" customFormat="false" ht="15" hidden="false" customHeight="false" outlineLevel="0" collapsed="false">
      <c r="A272" s="24" t="s">
        <v>265</v>
      </c>
      <c r="B272" s="25" t="n">
        <v>113.918</v>
      </c>
      <c r="C272" s="25" t="n">
        <v>30</v>
      </c>
      <c r="D272" s="26" t="n">
        <v>0.110306</v>
      </c>
      <c r="E272" s="27" t="n">
        <v>0.14937</v>
      </c>
      <c r="F272" s="28" t="n">
        <f aca="false">ROUND(B272*E272,2)</f>
        <v>17.02</v>
      </c>
      <c r="H272" s="29" t="n">
        <v>162.137</v>
      </c>
      <c r="I272" s="30" t="n">
        <v>0.14937</v>
      </c>
      <c r="J272" s="31" t="n">
        <f aca="false">ROUND(H272*I272,2)</f>
        <v>24.22</v>
      </c>
      <c r="L272" s="32" t="n">
        <v>128.318</v>
      </c>
      <c r="M272" s="33" t="n">
        <v>0.14937</v>
      </c>
      <c r="N272" s="34" t="n">
        <f aca="false">ROUND(L272*M272,2)</f>
        <v>19.17</v>
      </c>
    </row>
    <row r="273" customFormat="false" ht="15" hidden="false" customHeight="false" outlineLevel="0" collapsed="false">
      <c r="A273" s="24" t="s">
        <v>266</v>
      </c>
      <c r="B273" s="25" t="n">
        <v>1</v>
      </c>
      <c r="C273" s="25" t="n">
        <v>30</v>
      </c>
      <c r="D273" s="26" t="n">
        <v>0.7989</v>
      </c>
      <c r="E273" s="27" t="n">
        <v>4</v>
      </c>
      <c r="F273" s="28" t="n">
        <f aca="false">ROUND(B273*E273,2)</f>
        <v>4</v>
      </c>
      <c r="H273" s="29" t="n">
        <v>1</v>
      </c>
      <c r="I273" s="30" t="n">
        <v>4</v>
      </c>
      <c r="J273" s="31" t="n">
        <f aca="false">ROUND(H273*I273,2)</f>
        <v>4</v>
      </c>
      <c r="L273" s="32" t="n">
        <v>1</v>
      </c>
      <c r="M273" s="33" t="n">
        <v>4</v>
      </c>
      <c r="N273" s="34" t="n">
        <f aca="false">ROUND(L273*M273,2)</f>
        <v>4</v>
      </c>
    </row>
    <row r="274" customFormat="false" ht="15" hidden="false" customHeight="false" outlineLevel="0" collapsed="false">
      <c r="A274" s="24" t="s">
        <v>267</v>
      </c>
      <c r="B274" s="25" t="n">
        <v>30</v>
      </c>
      <c r="C274" s="25" t="n">
        <v>30</v>
      </c>
      <c r="D274" s="26" t="n">
        <v>0.5736</v>
      </c>
      <c r="E274" s="27" t="n">
        <v>0.01274</v>
      </c>
      <c r="F274" s="28" t="n">
        <f aca="false">ROUND(B274*E274,2)</f>
        <v>0.38</v>
      </c>
      <c r="H274" s="29" t="n">
        <v>30</v>
      </c>
      <c r="I274" s="30" t="n">
        <v>0.01274</v>
      </c>
      <c r="J274" s="31" t="n">
        <f aca="false">ROUND(H274*I274,2)</f>
        <v>0.38</v>
      </c>
      <c r="L274" s="32" t="n">
        <v>30</v>
      </c>
      <c r="M274" s="33" t="n">
        <v>0.00629</v>
      </c>
      <c r="N274" s="34" t="n">
        <f aca="false">ROUND(L274*M274,2)</f>
        <v>0.19</v>
      </c>
    </row>
    <row r="275" customFormat="false" ht="15" hidden="false" customHeight="false" outlineLevel="0" collapsed="false">
      <c r="A275" s="24" t="s">
        <v>268</v>
      </c>
      <c r="B275" s="25" t="n">
        <v>2.61</v>
      </c>
      <c r="C275" s="25" t="n">
        <v>30</v>
      </c>
      <c r="D275" s="26" t="n">
        <v>0.24729</v>
      </c>
      <c r="E275" s="27" t="n">
        <v>1</v>
      </c>
      <c r="F275" s="28" t="n">
        <f aca="false">ROUND(B275*E275,2)</f>
        <v>2.61</v>
      </c>
      <c r="H275" s="29" t="n">
        <v>4.22</v>
      </c>
      <c r="I275" s="30" t="n">
        <v>1</v>
      </c>
      <c r="J275" s="31" t="n">
        <f aca="false">ROUND(H275*I275,2)</f>
        <v>4.22</v>
      </c>
      <c r="L275" s="32" t="n">
        <v>2.83</v>
      </c>
      <c r="M275" s="33" t="n">
        <v>1</v>
      </c>
      <c r="N275" s="34" t="n">
        <f aca="false">ROUND(L275*M275,2)</f>
        <v>2.83</v>
      </c>
    </row>
    <row r="276" customFormat="false" ht="15" hidden="false" customHeight="false" outlineLevel="0" collapsed="false">
      <c r="A276" s="37" t="s">
        <v>269</v>
      </c>
      <c r="F276" s="38" t="n">
        <f aca="false">ROUND((SUM(F268:F275)-F275)*1.1+F275,2)</f>
        <v>102.04</v>
      </c>
      <c r="J276" s="39" t="n">
        <f aca="false">ROUND(SUM(J268:J275),2)</f>
        <v>113.95</v>
      </c>
      <c r="N276" s="40" t="n">
        <f aca="false">ROUND(SUM(N268:N275),2)</f>
        <v>95.77</v>
      </c>
    </row>
    <row r="277" customFormat="false" ht="15" hidden="false" customHeight="false" outlineLevel="0" collapsed="false">
      <c r="A277" s="15" t="s">
        <v>270</v>
      </c>
      <c r="B277" s="41" t="n">
        <f aca="false">IF((F270+F268+F272+F269+F271)=0,"",((F270+F268+F272+F269+F271)-(B270*D270+B268*D268+B272*D272+B269*D269+B271*D271))/(F270+F268+F272+F269+F271))</f>
        <v>0.217128804139054</v>
      </c>
      <c r="D277" s="42" t="str">
        <f aca="false">IF(B277="","SIN PC",IF(B277&gt;=Detalle!$G$1,"APROBAR",IF(B277&gt;=0.2,"REVISAR","RECHAZAR")))</f>
        <v>REVISAR</v>
      </c>
      <c r="E277" s="42"/>
      <c r="F277" s="42"/>
    </row>
    <row r="278" customFormat="false" ht="15" hidden="false" customHeight="false" outlineLevel="0" collapsed="false">
      <c r="A278" s="44" t="s">
        <v>379</v>
      </c>
      <c r="B278" s="44"/>
      <c r="C278" s="44"/>
      <c r="D278" s="44"/>
      <c r="E278" s="44"/>
      <c r="F278" s="44"/>
    </row>
    <row r="279" customFormat="false" ht="15" hidden="false" customHeight="false" outlineLevel="0" collapsed="false">
      <c r="A279" s="45" t="s">
        <v>247</v>
      </c>
      <c r="B279" s="45" t="s">
        <v>380</v>
      </c>
      <c r="D279" s="45" t="s">
        <v>381</v>
      </c>
      <c r="E279" s="45" t="s">
        <v>382</v>
      </c>
      <c r="F279" s="45" t="s">
        <v>256</v>
      </c>
    </row>
    <row r="280" customFormat="false" ht="15" hidden="false" customHeight="false" outlineLevel="0" collapsed="false">
      <c r="A280" s="46" t="s">
        <v>383</v>
      </c>
      <c r="B280" s="47" t="n">
        <v>822</v>
      </c>
      <c r="C280" s="48"/>
      <c r="D280" s="26" t="n">
        <v>0.06</v>
      </c>
      <c r="E280" s="48"/>
      <c r="F280" s="49" t="n">
        <f aca="false">ROUND(B280*D280,2)</f>
        <v>49.32</v>
      </c>
    </row>
    <row r="281" customFormat="false" ht="15" hidden="false" customHeight="false" outlineLevel="0" collapsed="false">
      <c r="A281" s="46" t="s">
        <v>384</v>
      </c>
      <c r="B281" s="48"/>
      <c r="C281" s="48"/>
      <c r="D281" s="48"/>
      <c r="E281" s="50" t="n">
        <v>0.06</v>
      </c>
      <c r="F281" s="49" t="n">
        <v>35.05</v>
      </c>
    </row>
    <row r="282" customFormat="false" ht="15" hidden="false" customHeight="false" outlineLevel="0" collapsed="false">
      <c r="A282" s="51" t="s">
        <v>385</v>
      </c>
      <c r="B282" s="48"/>
      <c r="C282" s="48"/>
      <c r="D282" s="48"/>
      <c r="E282" s="48"/>
      <c r="F282" s="52" t="n">
        <f aca="false">F280-F281</f>
        <v>14.27</v>
      </c>
    </row>
    <row r="284" customFormat="false" ht="15" hidden="false" customHeight="false" outlineLevel="0" collapsed="false">
      <c r="A284" s="11" t="s">
        <v>417</v>
      </c>
      <c r="B284" s="11"/>
      <c r="C284" s="11"/>
      <c r="D284" s="11"/>
      <c r="E284" s="11"/>
      <c r="F284" s="11"/>
      <c r="H284" s="11" t="s">
        <v>418</v>
      </c>
      <c r="I284" s="11"/>
      <c r="J284" s="11"/>
      <c r="K284" s="11"/>
      <c r="L284" s="11"/>
      <c r="M284" s="11"/>
      <c r="N284" s="11"/>
      <c r="P284" s="14" t="s">
        <v>246</v>
      </c>
    </row>
    <row r="285" customFormat="false" ht="15" hidden="false" customHeight="false" outlineLevel="0" collapsed="false">
      <c r="A285" s="15" t="s">
        <v>247</v>
      </c>
      <c r="B285" s="16" t="s">
        <v>248</v>
      </c>
      <c r="C285" s="17"/>
      <c r="D285" s="17"/>
      <c r="E285" s="17"/>
      <c r="F285" s="17"/>
      <c r="H285" s="18" t="s">
        <v>419</v>
      </c>
      <c r="I285" s="19"/>
      <c r="J285" s="19"/>
      <c r="L285" s="20" t="s">
        <v>420</v>
      </c>
      <c r="M285" s="21"/>
      <c r="N285" s="21"/>
      <c r="P285" s="14" t="s">
        <v>421</v>
      </c>
    </row>
    <row r="286" customFormat="false" ht="15" hidden="false" customHeight="false" outlineLevel="0" collapsed="false">
      <c r="B286" s="3" t="s">
        <v>252</v>
      </c>
      <c r="C286" s="3" t="s">
        <v>253</v>
      </c>
      <c r="D286" s="3" t="s">
        <v>254</v>
      </c>
      <c r="E286" s="3" t="s">
        <v>255</v>
      </c>
      <c r="F286" s="3" t="s">
        <v>256</v>
      </c>
      <c r="H286" s="22" t="s">
        <v>252</v>
      </c>
      <c r="I286" s="22" t="s">
        <v>255</v>
      </c>
      <c r="J286" s="22" t="s">
        <v>256</v>
      </c>
      <c r="L286" s="23" t="s">
        <v>252</v>
      </c>
      <c r="M286" s="23" t="s">
        <v>255</v>
      </c>
      <c r="N286" s="23" t="s">
        <v>256</v>
      </c>
      <c r="P286" s="14" t="s">
        <v>422</v>
      </c>
    </row>
    <row r="287" customFormat="false" ht="15" hidden="false" customHeight="false" outlineLevel="0" collapsed="false">
      <c r="A287" s="24" t="s">
        <v>258</v>
      </c>
      <c r="B287" s="25" t="n">
        <v>5.75</v>
      </c>
      <c r="C287" s="25" t="n">
        <v>30</v>
      </c>
      <c r="D287" s="26" t="n">
        <v>3.68919</v>
      </c>
      <c r="E287" s="27" t="n">
        <v>4.82</v>
      </c>
      <c r="F287" s="28" t="n">
        <f aca="false">ROUND(B287*E287,2)</f>
        <v>27.72</v>
      </c>
      <c r="H287" s="29" t="n">
        <v>5.75</v>
      </c>
      <c r="I287" s="30" t="n">
        <v>4.82</v>
      </c>
      <c r="J287" s="31" t="n">
        <f aca="false">ROUND(H287*I287,2)</f>
        <v>27.72</v>
      </c>
      <c r="L287" s="32" t="n">
        <v>5.75</v>
      </c>
      <c r="M287" s="33" t="n">
        <v>4.82</v>
      </c>
      <c r="N287" s="34" t="n">
        <f aca="false">ROUND(L287*M287,2)</f>
        <v>27.72</v>
      </c>
      <c r="P287" s="35" t="s">
        <v>423</v>
      </c>
    </row>
    <row r="288" customFormat="false" ht="15" hidden="false" customHeight="false" outlineLevel="0" collapsed="false">
      <c r="A288" s="24" t="s">
        <v>260</v>
      </c>
      <c r="B288" s="25" t="n">
        <v>5.75</v>
      </c>
      <c r="C288" s="25" t="n">
        <v>30</v>
      </c>
      <c r="D288" s="26" t="n">
        <v>1.31928</v>
      </c>
      <c r="E288" s="27" t="n">
        <v>2.3744</v>
      </c>
      <c r="F288" s="28" t="n">
        <f aca="false">ROUND(B288*E288,2)</f>
        <v>13.65</v>
      </c>
      <c r="H288" s="29" t="n">
        <v>5.75</v>
      </c>
      <c r="I288" s="30" t="n">
        <v>2.3744</v>
      </c>
      <c r="J288" s="31" t="n">
        <f aca="false">ROUND(H288*I288,2)</f>
        <v>13.65</v>
      </c>
      <c r="L288" s="32" t="n">
        <v>5.75</v>
      </c>
      <c r="M288" s="33" t="n">
        <v>2.3744</v>
      </c>
      <c r="N288" s="34" t="n">
        <f aca="false">ROUND(L288*M288,2)</f>
        <v>13.65</v>
      </c>
      <c r="P288" s="36" t="s">
        <v>261</v>
      </c>
    </row>
    <row r="289" customFormat="false" ht="15" hidden="false" customHeight="false" outlineLevel="0" collapsed="false">
      <c r="A289" s="24" t="s">
        <v>262</v>
      </c>
      <c r="B289" s="25" t="n">
        <v>51.324</v>
      </c>
      <c r="C289" s="25" t="n">
        <v>30</v>
      </c>
      <c r="D289" s="26" t="n">
        <v>0.111171</v>
      </c>
      <c r="E289" s="27" t="n">
        <v>0.139</v>
      </c>
      <c r="F289" s="28" t="n">
        <f aca="false">ROUND(B289*E289,2)</f>
        <v>7.13</v>
      </c>
      <c r="H289" s="29" t="n">
        <v>44.943</v>
      </c>
      <c r="I289" s="30" t="n">
        <v>0.139</v>
      </c>
      <c r="J289" s="31" t="n">
        <f aca="false">ROUND(H289*I289,2)</f>
        <v>6.25</v>
      </c>
      <c r="L289" s="32" t="n">
        <v>55.127</v>
      </c>
      <c r="M289" s="33" t="n">
        <v>0.1724</v>
      </c>
      <c r="N289" s="34" t="n">
        <f aca="false">ROUND(L289*M289,2)</f>
        <v>9.5</v>
      </c>
      <c r="P289" s="35" t="s">
        <v>424</v>
      </c>
    </row>
    <row r="290" customFormat="false" ht="15" hidden="false" customHeight="false" outlineLevel="0" collapsed="false">
      <c r="A290" s="24" t="s">
        <v>264</v>
      </c>
      <c r="B290" s="25" t="n">
        <v>21.674</v>
      </c>
      <c r="C290" s="25" t="n">
        <v>30</v>
      </c>
      <c r="D290" s="26" t="n">
        <v>0.111171</v>
      </c>
      <c r="E290" s="27" t="n">
        <v>0.139</v>
      </c>
      <c r="F290" s="28" t="n">
        <f aca="false">ROUND(B290*E290,2)</f>
        <v>3.01</v>
      </c>
      <c r="H290" s="29" t="n">
        <v>24.243</v>
      </c>
      <c r="I290" s="30" t="n">
        <v>0.139</v>
      </c>
      <c r="J290" s="31" t="n">
        <f aca="false">ROUND(H290*I290,2)</f>
        <v>3.37</v>
      </c>
      <c r="L290" s="32" t="n">
        <v>55.993</v>
      </c>
      <c r="M290" s="33" t="n">
        <v>0.1724</v>
      </c>
      <c r="N290" s="34" t="n">
        <f aca="false">ROUND(L290*M290,2)</f>
        <v>9.65</v>
      </c>
    </row>
    <row r="291" customFormat="false" ht="15" hidden="false" customHeight="false" outlineLevel="0" collapsed="false">
      <c r="A291" s="24" t="s">
        <v>265</v>
      </c>
      <c r="B291" s="25" t="n">
        <v>88.886</v>
      </c>
      <c r="C291" s="25" t="n">
        <v>30</v>
      </c>
      <c r="D291" s="26" t="n">
        <v>0.111171</v>
      </c>
      <c r="E291" s="27" t="n">
        <v>0.139</v>
      </c>
      <c r="F291" s="28" t="n">
        <f aca="false">ROUND(B291*E291,2)</f>
        <v>12.36</v>
      </c>
      <c r="H291" s="29" t="n">
        <v>88.21</v>
      </c>
      <c r="I291" s="30" t="n">
        <v>0.139</v>
      </c>
      <c r="J291" s="31" t="n">
        <f aca="false">ROUND(H291*I291,2)</f>
        <v>12.26</v>
      </c>
      <c r="L291" s="32" t="n">
        <v>120.095</v>
      </c>
      <c r="M291" s="33" t="n">
        <v>0.1724</v>
      </c>
      <c r="N291" s="34" t="n">
        <f aca="false">ROUND(L291*M291,2)</f>
        <v>20.7</v>
      </c>
    </row>
    <row r="292" customFormat="false" ht="15" hidden="false" customHeight="false" outlineLevel="0" collapsed="false">
      <c r="A292" s="24" t="s">
        <v>266</v>
      </c>
      <c r="B292" s="25" t="n">
        <v>1</v>
      </c>
      <c r="C292" s="25" t="n">
        <v>30</v>
      </c>
      <c r="D292" s="26" t="n">
        <v>0.7989</v>
      </c>
      <c r="E292" s="27" t="n">
        <v>6</v>
      </c>
      <c r="F292" s="28" t="n">
        <f aca="false">ROUND(B292*E292,2)</f>
        <v>6</v>
      </c>
      <c r="H292" s="29" t="n">
        <v>1</v>
      </c>
      <c r="I292" s="30" t="n">
        <v>6</v>
      </c>
      <c r="J292" s="31" t="n">
        <f aca="false">ROUND(H292*I292,2)</f>
        <v>6</v>
      </c>
      <c r="L292" s="32" t="n">
        <v>1</v>
      </c>
      <c r="M292" s="33" t="n">
        <v>6</v>
      </c>
      <c r="N292" s="34" t="n">
        <f aca="false">ROUND(L292*M292,2)</f>
        <v>6</v>
      </c>
    </row>
    <row r="293" customFormat="false" ht="15" hidden="false" customHeight="false" outlineLevel="0" collapsed="false">
      <c r="A293" s="24" t="s">
        <v>267</v>
      </c>
      <c r="B293" s="25" t="n">
        <v>30</v>
      </c>
      <c r="C293" s="25" t="n">
        <v>30</v>
      </c>
      <c r="D293" s="26" t="n">
        <v>0.5736</v>
      </c>
      <c r="E293" s="27" t="n">
        <v>0.01274</v>
      </c>
      <c r="F293" s="28" t="n">
        <f aca="false">ROUND(B293*E293,2)</f>
        <v>0.38</v>
      </c>
      <c r="H293" s="29" t="n">
        <v>30</v>
      </c>
      <c r="I293" s="30" t="n">
        <v>0.01274</v>
      </c>
      <c r="J293" s="31" t="n">
        <f aca="false">ROUND(H293*I293,2)</f>
        <v>0.38</v>
      </c>
      <c r="L293" s="32" t="n">
        <v>30</v>
      </c>
      <c r="M293" s="33" t="n">
        <v>0.00629</v>
      </c>
      <c r="N293" s="34" t="n">
        <f aca="false">ROUND(L293*M293,2)</f>
        <v>0.19</v>
      </c>
    </row>
    <row r="294" customFormat="false" ht="15" hidden="false" customHeight="false" outlineLevel="0" collapsed="false">
      <c r="A294" s="24" t="s">
        <v>268</v>
      </c>
      <c r="B294" s="25" t="n">
        <v>2.4</v>
      </c>
      <c r="C294" s="25" t="n">
        <v>30</v>
      </c>
      <c r="D294" s="26" t="n">
        <v>0.27312</v>
      </c>
      <c r="E294" s="27" t="n">
        <v>1</v>
      </c>
      <c r="F294" s="28" t="n">
        <f aca="false">ROUND(B294*E294,2)</f>
        <v>2.4</v>
      </c>
      <c r="H294" s="29" t="n">
        <v>2.53</v>
      </c>
      <c r="I294" s="30" t="n">
        <v>1</v>
      </c>
      <c r="J294" s="31" t="n">
        <f aca="false">ROUND(H294*I294,2)</f>
        <v>2.53</v>
      </c>
      <c r="L294" s="32" t="n">
        <v>3.33</v>
      </c>
      <c r="M294" s="33" t="n">
        <v>1</v>
      </c>
      <c r="N294" s="34" t="n">
        <f aca="false">ROUND(L294*M294,2)</f>
        <v>3.33</v>
      </c>
    </row>
    <row r="295" customFormat="false" ht="15" hidden="false" customHeight="false" outlineLevel="0" collapsed="false">
      <c r="A295" s="37" t="s">
        <v>269</v>
      </c>
      <c r="F295" s="38" t="n">
        <f aca="false">ROUND((SUM(F287:F294)-F294)*1.1+F294,2)</f>
        <v>79.68</v>
      </c>
      <c r="J295" s="39" t="n">
        <f aca="false">ROUND(SUM(J287:J294),2)</f>
        <v>72.16</v>
      </c>
      <c r="N295" s="40" t="n">
        <f aca="false">ROUND(SUM(N287:N294),2)</f>
        <v>90.74</v>
      </c>
    </row>
    <row r="296" customFormat="false" ht="15" hidden="false" customHeight="false" outlineLevel="0" collapsed="false">
      <c r="A296" s="15" t="s">
        <v>270</v>
      </c>
      <c r="B296" s="41" t="n">
        <f aca="false">IF((F289+F287+F291+F288+F290)=0,"",((F289+F287+F291+F288+F290)-(B289*D289+B287*D287+B291*D291+B288*D288+B290*D290))/(F289+F287+F291+F288+F290))</f>
        <v>0.267331945138563</v>
      </c>
      <c r="D296" s="42" t="str">
        <f aca="false">IF(B296="","SIN PC",IF(B296&gt;=Detalle!$G$1,"APROBAR",IF(B296&gt;=0.2,"REVISAR","RECHAZAR")))</f>
        <v>REVISAR</v>
      </c>
      <c r="E296" s="42"/>
      <c r="F296" s="42"/>
    </row>
    <row r="297" customFormat="false" ht="15" hidden="false" customHeight="false" outlineLevel="0" collapsed="false">
      <c r="A297" s="44" t="s">
        <v>379</v>
      </c>
      <c r="B297" s="44"/>
      <c r="C297" s="44"/>
      <c r="D297" s="44"/>
      <c r="E297" s="44"/>
      <c r="F297" s="44"/>
    </row>
    <row r="298" customFormat="false" ht="15" hidden="false" customHeight="false" outlineLevel="0" collapsed="false">
      <c r="A298" s="45" t="s">
        <v>247</v>
      </c>
      <c r="B298" s="45" t="s">
        <v>380</v>
      </c>
      <c r="D298" s="45" t="s">
        <v>381</v>
      </c>
      <c r="E298" s="45" t="s">
        <v>382</v>
      </c>
      <c r="F298" s="45" t="s">
        <v>256</v>
      </c>
    </row>
    <row r="299" customFormat="false" ht="15" hidden="false" customHeight="false" outlineLevel="0" collapsed="false">
      <c r="A299" s="46" t="s">
        <v>383</v>
      </c>
      <c r="B299" s="47" t="n">
        <v>524</v>
      </c>
      <c r="C299" s="48"/>
      <c r="D299" s="26" t="n">
        <v>0.06</v>
      </c>
      <c r="E299" s="48"/>
      <c r="F299" s="49" t="n">
        <f aca="false">ROUND(B299*D299,2)</f>
        <v>31.44</v>
      </c>
    </row>
    <row r="300" customFormat="false" ht="15" hidden="false" customHeight="false" outlineLevel="0" collapsed="false">
      <c r="A300" s="46" t="s">
        <v>384</v>
      </c>
      <c r="B300" s="48"/>
      <c r="C300" s="48"/>
      <c r="D300" s="48"/>
      <c r="E300" s="50" t="n">
        <v>0.06</v>
      </c>
      <c r="F300" s="49" t="n">
        <v>17.17</v>
      </c>
    </row>
    <row r="301" customFormat="false" ht="15" hidden="false" customHeight="false" outlineLevel="0" collapsed="false">
      <c r="A301" s="51" t="s">
        <v>385</v>
      </c>
      <c r="B301" s="48"/>
      <c r="C301" s="48"/>
      <c r="D301" s="48"/>
      <c r="E301" s="48"/>
      <c r="F301" s="52" t="n">
        <f aca="false">F299-F300</f>
        <v>14.27</v>
      </c>
    </row>
    <row r="303" customFormat="false" ht="15" hidden="false" customHeight="false" outlineLevel="0" collapsed="false">
      <c r="A303" s="11" t="s">
        <v>425</v>
      </c>
      <c r="B303" s="11"/>
      <c r="C303" s="11"/>
      <c r="D303" s="11"/>
      <c r="E303" s="11"/>
      <c r="F303" s="11"/>
      <c r="H303" s="11" t="s">
        <v>426</v>
      </c>
      <c r="I303" s="11"/>
      <c r="J303" s="11"/>
      <c r="K303" s="11"/>
      <c r="L303" s="11"/>
      <c r="M303" s="11"/>
      <c r="N303" s="11"/>
      <c r="P303" s="14" t="s">
        <v>246</v>
      </c>
    </row>
    <row r="304" customFormat="false" ht="15" hidden="false" customHeight="false" outlineLevel="0" collapsed="false">
      <c r="A304" s="15" t="s">
        <v>247</v>
      </c>
      <c r="B304" s="16" t="s">
        <v>248</v>
      </c>
      <c r="C304" s="17"/>
      <c r="D304" s="17"/>
      <c r="E304" s="17"/>
      <c r="F304" s="17"/>
      <c r="H304" s="18" t="s">
        <v>427</v>
      </c>
      <c r="I304" s="19"/>
      <c r="J304" s="19"/>
      <c r="L304" s="20" t="s">
        <v>428</v>
      </c>
      <c r="M304" s="21"/>
      <c r="N304" s="21"/>
      <c r="P304" s="14" t="s">
        <v>429</v>
      </c>
    </row>
    <row r="305" customFormat="false" ht="15" hidden="false" customHeight="false" outlineLevel="0" collapsed="false">
      <c r="B305" s="3" t="s">
        <v>252</v>
      </c>
      <c r="C305" s="3" t="s">
        <v>253</v>
      </c>
      <c r="D305" s="3" t="s">
        <v>254</v>
      </c>
      <c r="E305" s="3" t="s">
        <v>255</v>
      </c>
      <c r="F305" s="3" t="s">
        <v>256</v>
      </c>
      <c r="H305" s="22" t="s">
        <v>252</v>
      </c>
      <c r="I305" s="22" t="s">
        <v>255</v>
      </c>
      <c r="J305" s="22" t="s">
        <v>256</v>
      </c>
      <c r="L305" s="23" t="s">
        <v>252</v>
      </c>
      <c r="M305" s="23" t="s">
        <v>255</v>
      </c>
      <c r="N305" s="23" t="s">
        <v>256</v>
      </c>
      <c r="P305" s="14" t="s">
        <v>399</v>
      </c>
    </row>
    <row r="306" customFormat="false" ht="15" hidden="false" customHeight="false" outlineLevel="0" collapsed="false">
      <c r="A306" s="24" t="s">
        <v>258</v>
      </c>
      <c r="B306" s="25" t="n">
        <v>5.5</v>
      </c>
      <c r="C306" s="25" t="n">
        <v>30</v>
      </c>
      <c r="D306" s="26" t="n">
        <v>3.68919</v>
      </c>
      <c r="E306" s="27" t="n">
        <v>3.85</v>
      </c>
      <c r="F306" s="28" t="n">
        <f aca="false">ROUND(B306*E306,2)</f>
        <v>21.18</v>
      </c>
      <c r="H306" s="29" t="n">
        <v>5.5</v>
      </c>
      <c r="I306" s="30" t="n">
        <v>3.85</v>
      </c>
      <c r="J306" s="31" t="n">
        <f aca="false">ROUND(H306*I306,2)</f>
        <v>21.18</v>
      </c>
      <c r="L306" s="53"/>
      <c r="M306" s="53"/>
      <c r="N306" s="53"/>
      <c r="P306" s="35" t="s">
        <v>430</v>
      </c>
    </row>
    <row r="307" customFormat="false" ht="15" hidden="false" customHeight="false" outlineLevel="0" collapsed="false">
      <c r="A307" s="24" t="s">
        <v>260</v>
      </c>
      <c r="B307" s="25" t="n">
        <v>5.5</v>
      </c>
      <c r="C307" s="25" t="n">
        <v>30</v>
      </c>
      <c r="D307" s="26" t="n">
        <v>1.31928</v>
      </c>
      <c r="E307" s="27" t="n">
        <v>1.33</v>
      </c>
      <c r="F307" s="28" t="n">
        <f aca="false">ROUND(B307*E307,2)</f>
        <v>7.32</v>
      </c>
      <c r="H307" s="29" t="n">
        <v>5.5</v>
      </c>
      <c r="I307" s="30" t="n">
        <v>1.33</v>
      </c>
      <c r="J307" s="31" t="n">
        <f aca="false">ROUND(H307*I307,2)</f>
        <v>7.32</v>
      </c>
      <c r="L307" s="53"/>
      <c r="M307" s="53"/>
      <c r="N307" s="53"/>
      <c r="P307" s="43" t="s">
        <v>261</v>
      </c>
    </row>
    <row r="308" customFormat="false" ht="15" hidden="false" customHeight="false" outlineLevel="0" collapsed="false">
      <c r="A308" s="24" t="s">
        <v>262</v>
      </c>
      <c r="B308" s="25" t="n">
        <v>20.389</v>
      </c>
      <c r="C308" s="25" t="n">
        <v>30</v>
      </c>
      <c r="D308" s="26" t="n">
        <v>0.111171</v>
      </c>
      <c r="E308" s="27" t="n">
        <v>0.13788</v>
      </c>
      <c r="F308" s="28" t="n">
        <f aca="false">ROUND(B308*E308,2)</f>
        <v>2.81</v>
      </c>
      <c r="H308" s="29" t="n">
        <v>28.824</v>
      </c>
      <c r="I308" s="30" t="n">
        <v>0.13788</v>
      </c>
      <c r="J308" s="31" t="n">
        <f aca="false">ROUND(H308*I308,2)</f>
        <v>3.97</v>
      </c>
      <c r="L308" s="53"/>
      <c r="M308" s="53"/>
      <c r="N308" s="53"/>
    </row>
    <row r="309" customFormat="false" ht="15" hidden="false" customHeight="false" outlineLevel="0" collapsed="false">
      <c r="A309" s="24" t="s">
        <v>264</v>
      </c>
      <c r="B309" s="25" t="n">
        <v>20.816</v>
      </c>
      <c r="C309" s="25" t="n">
        <v>30</v>
      </c>
      <c r="D309" s="26" t="n">
        <v>0.111171</v>
      </c>
      <c r="E309" s="27" t="n">
        <v>0.13788</v>
      </c>
      <c r="F309" s="28" t="n">
        <f aca="false">ROUND(B309*E309,2)</f>
        <v>2.87</v>
      </c>
      <c r="H309" s="29" t="n">
        <v>27.849</v>
      </c>
      <c r="I309" s="30" t="n">
        <v>0.13788</v>
      </c>
      <c r="J309" s="31" t="n">
        <f aca="false">ROUND(H309*I309,2)</f>
        <v>3.84</v>
      </c>
      <c r="L309" s="53"/>
      <c r="M309" s="53"/>
      <c r="N309" s="53"/>
    </row>
    <row r="310" customFormat="false" ht="15" hidden="false" customHeight="false" outlineLevel="0" collapsed="false">
      <c r="A310" s="24" t="s">
        <v>265</v>
      </c>
      <c r="B310" s="25" t="n">
        <v>99.777</v>
      </c>
      <c r="C310" s="25" t="n">
        <v>30</v>
      </c>
      <c r="D310" s="26" t="n">
        <v>0.111171</v>
      </c>
      <c r="E310" s="27" t="n">
        <v>0.13788</v>
      </c>
      <c r="F310" s="28" t="n">
        <f aca="false">ROUND(B310*E310,2)</f>
        <v>13.76</v>
      </c>
      <c r="H310" s="29" t="n">
        <v>76.409</v>
      </c>
      <c r="I310" s="30" t="n">
        <v>0.13788</v>
      </c>
      <c r="J310" s="31" t="n">
        <f aca="false">ROUND(H310*I310,2)</f>
        <v>10.54</v>
      </c>
      <c r="L310" s="53"/>
      <c r="M310" s="53"/>
      <c r="N310" s="53"/>
    </row>
    <row r="311" customFormat="false" ht="15" hidden="false" customHeight="false" outlineLevel="0" collapsed="false">
      <c r="A311" s="24" t="s">
        <v>266</v>
      </c>
      <c r="B311" s="25" t="n">
        <v>1</v>
      </c>
      <c r="C311" s="25" t="n">
        <v>30</v>
      </c>
      <c r="D311" s="26" t="n">
        <v>0.7989</v>
      </c>
      <c r="E311" s="27" t="n">
        <v>3</v>
      </c>
      <c r="F311" s="28" t="n">
        <f aca="false">ROUND(B311*E311,2)</f>
        <v>3</v>
      </c>
      <c r="H311" s="29" t="n">
        <v>1</v>
      </c>
      <c r="I311" s="30" t="n">
        <v>3</v>
      </c>
      <c r="J311" s="31" t="n">
        <f aca="false">ROUND(H311*I311,2)</f>
        <v>3</v>
      </c>
      <c r="L311" s="53"/>
      <c r="M311" s="53"/>
      <c r="N311" s="53"/>
    </row>
    <row r="312" customFormat="false" ht="15" hidden="false" customHeight="false" outlineLevel="0" collapsed="false">
      <c r="A312" s="24" t="s">
        <v>267</v>
      </c>
      <c r="B312" s="25" t="n">
        <v>30</v>
      </c>
      <c r="C312" s="25" t="n">
        <v>30</v>
      </c>
      <c r="D312" s="26" t="n">
        <v>0.5736</v>
      </c>
      <c r="E312" s="27" t="n">
        <v>0.01274</v>
      </c>
      <c r="F312" s="28" t="n">
        <f aca="false">ROUND(B312*E312,2)</f>
        <v>0.38</v>
      </c>
      <c r="H312" s="29" t="n">
        <v>30</v>
      </c>
      <c r="I312" s="30" t="n">
        <v>0.01274</v>
      </c>
      <c r="J312" s="31" t="n">
        <f aca="false">ROUND(H312*I312,2)</f>
        <v>0.38</v>
      </c>
      <c r="L312" s="53"/>
      <c r="M312" s="53"/>
      <c r="N312" s="53"/>
    </row>
    <row r="313" customFormat="false" ht="15" hidden="false" customHeight="false" outlineLevel="0" collapsed="false">
      <c r="A313" s="24" t="s">
        <v>268</v>
      </c>
      <c r="B313" s="25" t="n">
        <v>2.46</v>
      </c>
      <c r="C313" s="25" t="n">
        <v>30</v>
      </c>
      <c r="D313" s="26" t="n">
        <v>0.02671</v>
      </c>
      <c r="E313" s="27" t="n">
        <v>1</v>
      </c>
      <c r="F313" s="28" t="n">
        <f aca="false">ROUND(B313*E313,2)</f>
        <v>2.46</v>
      </c>
      <c r="H313" s="29" t="n">
        <v>2.4</v>
      </c>
      <c r="I313" s="30" t="n">
        <v>1</v>
      </c>
      <c r="J313" s="31" t="n">
        <f aca="false">ROUND(H313*I313,2)</f>
        <v>2.4</v>
      </c>
      <c r="L313" s="53"/>
      <c r="M313" s="53"/>
      <c r="N313" s="53"/>
    </row>
    <row r="314" customFormat="false" ht="15" hidden="false" customHeight="false" outlineLevel="0" collapsed="false">
      <c r="A314" s="37" t="s">
        <v>269</v>
      </c>
      <c r="F314" s="38" t="n">
        <f aca="false">ROUND((SUM(F306:F313)-F313)*1.1+F313,2)</f>
        <v>58.91</v>
      </c>
      <c r="J314" s="39" t="n">
        <f aca="false">ROUND(SUM(J306:J313),2)</f>
        <v>52.63</v>
      </c>
      <c r="N314" s="54"/>
    </row>
    <row r="315" customFormat="false" ht="15" hidden="false" customHeight="false" outlineLevel="0" collapsed="false">
      <c r="A315" s="15" t="s">
        <v>270</v>
      </c>
      <c r="B315" s="41" t="n">
        <f aca="false">IF((F308+F306+F310+F307+F309)=0,"",((F308+F306+F310+F307+F309)-(B308*D308+B306*D306+B310*D310+B307*D307+B309*D309))/(F308+F306+F310+F307+F309))</f>
        <v>0.0984627675844805</v>
      </c>
      <c r="D315" s="42" t="str">
        <f aca="false">IF(B315="","SIN PC",IF(B315&gt;=Detalle!$G$1,"APROBAR",IF(B315&gt;=0.2,"REVISAR","RECHAZAR")))</f>
        <v>RECHAZAR</v>
      </c>
      <c r="E315" s="42"/>
      <c r="F315" s="42"/>
    </row>
    <row r="317" customFormat="false" ht="15" hidden="false" customHeight="false" outlineLevel="0" collapsed="false">
      <c r="A317" s="11" t="s">
        <v>431</v>
      </c>
      <c r="B317" s="11"/>
      <c r="C317" s="11"/>
      <c r="D317" s="11"/>
      <c r="E317" s="11"/>
      <c r="F317" s="11"/>
      <c r="H317" s="11" t="s">
        <v>432</v>
      </c>
      <c r="I317" s="11"/>
      <c r="J317" s="11"/>
      <c r="K317" s="11"/>
      <c r="L317" s="11"/>
      <c r="M317" s="11"/>
      <c r="N317" s="11"/>
      <c r="P317" s="14" t="s">
        <v>246</v>
      </c>
    </row>
    <row r="318" customFormat="false" ht="15" hidden="false" customHeight="false" outlineLevel="0" collapsed="false">
      <c r="A318" s="15" t="s">
        <v>247</v>
      </c>
      <c r="B318" s="16" t="s">
        <v>248</v>
      </c>
      <c r="C318" s="17"/>
      <c r="D318" s="17"/>
      <c r="E318" s="17"/>
      <c r="F318" s="17"/>
      <c r="H318" s="18" t="s">
        <v>433</v>
      </c>
      <c r="I318" s="19"/>
      <c r="J318" s="19"/>
      <c r="L318" s="20" t="s">
        <v>434</v>
      </c>
      <c r="M318" s="21"/>
      <c r="N318" s="21"/>
      <c r="P318" s="14" t="s">
        <v>435</v>
      </c>
    </row>
    <row r="319" customFormat="false" ht="15" hidden="false" customHeight="false" outlineLevel="0" collapsed="false">
      <c r="B319" s="3" t="s">
        <v>252</v>
      </c>
      <c r="C319" s="3" t="s">
        <v>253</v>
      </c>
      <c r="D319" s="3" t="s">
        <v>254</v>
      </c>
      <c r="E319" s="3" t="s">
        <v>255</v>
      </c>
      <c r="F319" s="3" t="s">
        <v>256</v>
      </c>
      <c r="H319" s="22" t="s">
        <v>252</v>
      </c>
      <c r="I319" s="22" t="s">
        <v>255</v>
      </c>
      <c r="J319" s="22" t="s">
        <v>256</v>
      </c>
      <c r="L319" s="23" t="s">
        <v>252</v>
      </c>
      <c r="M319" s="23" t="s">
        <v>255</v>
      </c>
      <c r="N319" s="23" t="s">
        <v>256</v>
      </c>
      <c r="P319" s="14" t="s">
        <v>436</v>
      </c>
    </row>
    <row r="320" customFormat="false" ht="15" hidden="false" customHeight="false" outlineLevel="0" collapsed="false">
      <c r="A320" s="24" t="s">
        <v>258</v>
      </c>
      <c r="B320" s="25" t="n">
        <v>9.2</v>
      </c>
      <c r="C320" s="25" t="n">
        <v>30</v>
      </c>
      <c r="D320" s="26" t="n">
        <v>3.4086</v>
      </c>
      <c r="E320" s="27" t="n">
        <v>3.85</v>
      </c>
      <c r="F320" s="28" t="n">
        <f aca="false">ROUND(B320*E320,2)</f>
        <v>35.42</v>
      </c>
      <c r="H320" s="29" t="n">
        <v>9.2</v>
      </c>
      <c r="I320" s="30" t="n">
        <v>3.85</v>
      </c>
      <c r="J320" s="31" t="n">
        <f aca="false">ROUND(H320*I320,2)</f>
        <v>35.42</v>
      </c>
      <c r="L320" s="32" t="n">
        <v>9.2</v>
      </c>
      <c r="M320" s="33" t="n">
        <v>3.85</v>
      </c>
      <c r="N320" s="34" t="n">
        <f aca="false">ROUND(L320*M320,2)</f>
        <v>35.42</v>
      </c>
      <c r="P320" s="35" t="s">
        <v>437</v>
      </c>
    </row>
    <row r="321" customFormat="false" ht="15" hidden="false" customHeight="false" outlineLevel="0" collapsed="false">
      <c r="A321" s="24" t="s">
        <v>260</v>
      </c>
      <c r="B321" s="25" t="n">
        <v>9.2</v>
      </c>
      <c r="C321" s="25" t="n">
        <v>30</v>
      </c>
      <c r="D321" s="26" t="n">
        <v>1.09728</v>
      </c>
      <c r="E321" s="27" t="n">
        <v>1.33</v>
      </c>
      <c r="F321" s="28" t="n">
        <f aca="false">ROUND(B321*E321,2)</f>
        <v>12.24</v>
      </c>
      <c r="H321" s="29" t="n">
        <v>9.2</v>
      </c>
      <c r="I321" s="30" t="n">
        <v>1.33</v>
      </c>
      <c r="J321" s="31" t="n">
        <f aca="false">ROUND(H321*I321,2)</f>
        <v>12.24</v>
      </c>
      <c r="L321" s="32" t="n">
        <v>9.2</v>
      </c>
      <c r="M321" s="33" t="n">
        <v>1.33</v>
      </c>
      <c r="N321" s="34" t="n">
        <f aca="false">ROUND(L321*M321,2)</f>
        <v>12.24</v>
      </c>
      <c r="P321" s="36" t="s">
        <v>261</v>
      </c>
    </row>
    <row r="322" customFormat="false" ht="15" hidden="false" customHeight="false" outlineLevel="0" collapsed="false">
      <c r="A322" s="24" t="s">
        <v>262</v>
      </c>
      <c r="B322" s="25" t="n">
        <v>19.344</v>
      </c>
      <c r="C322" s="25" t="n">
        <v>30</v>
      </c>
      <c r="D322" s="26" t="n">
        <v>0.110306</v>
      </c>
      <c r="E322" s="27" t="n">
        <v>0.13788</v>
      </c>
      <c r="F322" s="28" t="n">
        <f aca="false">ROUND(B322*E322,2)</f>
        <v>2.67</v>
      </c>
      <c r="H322" s="29" t="n">
        <v>109.227</v>
      </c>
      <c r="I322" s="30" t="n">
        <v>0.13788</v>
      </c>
      <c r="J322" s="31" t="n">
        <f aca="false">ROUND(H322*I322,2)</f>
        <v>15.06</v>
      </c>
      <c r="L322" s="32" t="n">
        <v>24.778</v>
      </c>
      <c r="M322" s="33" t="n">
        <v>0.13788</v>
      </c>
      <c r="N322" s="34" t="n">
        <f aca="false">ROUND(L322*M322,2)</f>
        <v>3.42</v>
      </c>
      <c r="P322" s="35" t="s">
        <v>438</v>
      </c>
    </row>
    <row r="323" customFormat="false" ht="15" hidden="false" customHeight="false" outlineLevel="0" collapsed="false">
      <c r="A323" s="24" t="s">
        <v>264</v>
      </c>
      <c r="B323" s="25" t="n">
        <v>14.991</v>
      </c>
      <c r="C323" s="25" t="n">
        <v>30</v>
      </c>
      <c r="D323" s="26" t="n">
        <v>0.110306</v>
      </c>
      <c r="E323" s="27" t="n">
        <v>0.13788</v>
      </c>
      <c r="F323" s="28" t="n">
        <f aca="false">ROUND(B323*E323,2)</f>
        <v>2.07</v>
      </c>
      <c r="H323" s="29" t="n">
        <v>81.879</v>
      </c>
      <c r="I323" s="30" t="n">
        <v>0.13788</v>
      </c>
      <c r="J323" s="31" t="n">
        <f aca="false">ROUND(H323*I323,2)</f>
        <v>11.29</v>
      </c>
      <c r="L323" s="32" t="n">
        <v>21.157</v>
      </c>
      <c r="M323" s="33" t="n">
        <v>0.13788</v>
      </c>
      <c r="N323" s="34" t="n">
        <f aca="false">ROUND(L323*M323,2)</f>
        <v>2.92</v>
      </c>
    </row>
    <row r="324" customFormat="false" ht="15" hidden="false" customHeight="false" outlineLevel="0" collapsed="false">
      <c r="A324" s="24" t="s">
        <v>265</v>
      </c>
      <c r="B324" s="25" t="n">
        <v>73.071</v>
      </c>
      <c r="C324" s="25" t="n">
        <v>30</v>
      </c>
      <c r="D324" s="26" t="n">
        <v>0.110306</v>
      </c>
      <c r="E324" s="27" t="n">
        <v>0.13788</v>
      </c>
      <c r="F324" s="28" t="n">
        <f aca="false">ROUND(B324*E324,2)</f>
        <v>10.08</v>
      </c>
      <c r="H324" s="29" t="n">
        <v>173.798</v>
      </c>
      <c r="I324" s="30" t="n">
        <v>0.13788</v>
      </c>
      <c r="J324" s="31" t="n">
        <f aca="false">ROUND(H324*I324,2)</f>
        <v>23.96</v>
      </c>
      <c r="L324" s="32" t="n">
        <v>77.584</v>
      </c>
      <c r="M324" s="33" t="n">
        <v>0.13788</v>
      </c>
      <c r="N324" s="34" t="n">
        <f aca="false">ROUND(L324*M324,2)</f>
        <v>10.7</v>
      </c>
    </row>
    <row r="325" customFormat="false" ht="15" hidden="false" customHeight="false" outlineLevel="0" collapsed="false">
      <c r="A325" s="24" t="s">
        <v>266</v>
      </c>
      <c r="B325" s="25" t="n">
        <v>1</v>
      </c>
      <c r="C325" s="25" t="n">
        <v>30</v>
      </c>
      <c r="D325" s="26" t="n">
        <v>0.7989</v>
      </c>
      <c r="E325" s="27" t="n">
        <v>3</v>
      </c>
      <c r="F325" s="28" t="n">
        <f aca="false">ROUND(B325*E325,2)</f>
        <v>3</v>
      </c>
      <c r="H325" s="29" t="n">
        <v>1</v>
      </c>
      <c r="I325" s="30" t="n">
        <v>3</v>
      </c>
      <c r="J325" s="31" t="n">
        <f aca="false">ROUND(H325*I325,2)</f>
        <v>3</v>
      </c>
      <c r="L325" s="32" t="n">
        <v>1</v>
      </c>
      <c r="M325" s="33" t="n">
        <v>3</v>
      </c>
      <c r="N325" s="34" t="n">
        <f aca="false">ROUND(L325*M325,2)</f>
        <v>3</v>
      </c>
    </row>
    <row r="326" customFormat="false" ht="15" hidden="false" customHeight="false" outlineLevel="0" collapsed="false">
      <c r="A326" s="24" t="s">
        <v>267</v>
      </c>
      <c r="B326" s="25" t="n">
        <v>30</v>
      </c>
      <c r="C326" s="25" t="n">
        <v>30</v>
      </c>
      <c r="D326" s="26" t="n">
        <v>0.5736</v>
      </c>
      <c r="E326" s="27" t="n">
        <v>0.01274</v>
      </c>
      <c r="F326" s="28" t="n">
        <f aca="false">ROUND(B326*E326,2)</f>
        <v>0.38</v>
      </c>
      <c r="H326" s="29" t="n">
        <v>30</v>
      </c>
      <c r="I326" s="30" t="n">
        <v>0.01274</v>
      </c>
      <c r="J326" s="31" t="n">
        <f aca="false">ROUND(H326*I326,2)</f>
        <v>0.38</v>
      </c>
      <c r="L326" s="32" t="n">
        <v>30</v>
      </c>
      <c r="M326" s="33" t="n">
        <v>0.00629</v>
      </c>
      <c r="N326" s="34" t="n">
        <f aca="false">ROUND(L326*M326,2)</f>
        <v>0.19</v>
      </c>
    </row>
    <row r="327" customFormat="false" ht="15" hidden="false" customHeight="false" outlineLevel="0" collapsed="false">
      <c r="A327" s="24" t="s">
        <v>268</v>
      </c>
      <c r="B327" s="25" t="n">
        <v>2.45</v>
      </c>
      <c r="C327" s="25" t="n">
        <v>30</v>
      </c>
      <c r="D327" s="26" t="n">
        <v>0.24729</v>
      </c>
      <c r="E327" s="27" t="n">
        <v>1</v>
      </c>
      <c r="F327" s="28" t="n">
        <f aca="false">ROUND(B327*E327,2)</f>
        <v>2.45</v>
      </c>
      <c r="H327" s="29" t="n">
        <v>4.04</v>
      </c>
      <c r="I327" s="30" t="n">
        <v>1</v>
      </c>
      <c r="J327" s="31" t="n">
        <f aca="false">ROUND(H327*I327,2)</f>
        <v>4.04</v>
      </c>
      <c r="L327" s="32" t="n">
        <v>2.45</v>
      </c>
      <c r="M327" s="33" t="n">
        <v>1</v>
      </c>
      <c r="N327" s="34" t="n">
        <f aca="false">ROUND(L327*M327,2)</f>
        <v>2.45</v>
      </c>
    </row>
    <row r="328" customFormat="false" ht="15" hidden="false" customHeight="false" outlineLevel="0" collapsed="false">
      <c r="A328" s="37" t="s">
        <v>269</v>
      </c>
      <c r="F328" s="38" t="n">
        <f aca="false">ROUND((SUM(F320:F327)-F327)*1.1+F327,2)</f>
        <v>74.9</v>
      </c>
      <c r="J328" s="39" t="n">
        <f aca="false">ROUND(SUM(J320:J327),2)</f>
        <v>105.39</v>
      </c>
      <c r="N328" s="40" t="n">
        <f aca="false">ROUND(SUM(N320:N327),2)</f>
        <v>70.34</v>
      </c>
    </row>
    <row r="329" customFormat="false" ht="15" hidden="false" customHeight="false" outlineLevel="0" collapsed="false">
      <c r="A329" s="15" t="s">
        <v>270</v>
      </c>
      <c r="B329" s="41" t="n">
        <f aca="false">IF((F322+F320+F324+F321+F323)=0,"",((F322+F320+F324+F321+F323)-(B322*D322+B320*D320+B324*D324+B321*D321+B323*D323))/(F322+F320+F324+F321+F323))</f>
        <v>0.14690105256082</v>
      </c>
      <c r="D329" s="42" t="str">
        <f aca="false">IF(B329="","SIN PC",IF(B329&gt;=Detalle!$G$1,"APROBAR",IF(B329&gt;=0.2,"REVISAR","RECHAZAR")))</f>
        <v>RECHAZAR</v>
      </c>
      <c r="E329" s="42"/>
      <c r="F329" s="42"/>
    </row>
    <row r="330" customFormat="false" ht="15" hidden="false" customHeight="false" outlineLevel="0" collapsed="false">
      <c r="A330" s="44" t="s">
        <v>379</v>
      </c>
      <c r="B330" s="44"/>
      <c r="C330" s="44"/>
      <c r="D330" s="44"/>
      <c r="E330" s="44"/>
      <c r="F330" s="44"/>
    </row>
    <row r="331" customFormat="false" ht="15" hidden="false" customHeight="false" outlineLevel="0" collapsed="false">
      <c r="A331" s="45" t="s">
        <v>247</v>
      </c>
      <c r="B331" s="45" t="s">
        <v>380</v>
      </c>
      <c r="D331" s="45" t="s">
        <v>381</v>
      </c>
      <c r="E331" s="45" t="s">
        <v>382</v>
      </c>
      <c r="F331" s="45" t="s">
        <v>256</v>
      </c>
    </row>
    <row r="332" customFormat="false" ht="15" hidden="false" customHeight="false" outlineLevel="0" collapsed="false">
      <c r="A332" s="46" t="s">
        <v>383</v>
      </c>
      <c r="B332" s="47" t="n">
        <v>554</v>
      </c>
      <c r="C332" s="48"/>
      <c r="D332" s="26" t="n">
        <v>0.06</v>
      </c>
      <c r="E332" s="48"/>
      <c r="F332" s="49" t="n">
        <f aca="false">ROUND(B332*D332,2)</f>
        <v>33.24</v>
      </c>
    </row>
    <row r="333" customFormat="false" ht="15" hidden="false" customHeight="false" outlineLevel="0" collapsed="false">
      <c r="A333" s="46" t="s">
        <v>384</v>
      </c>
      <c r="B333" s="48"/>
      <c r="C333" s="48"/>
      <c r="D333" s="48"/>
      <c r="E333" s="50" t="n">
        <v>0.06</v>
      </c>
      <c r="F333" s="49" t="n">
        <v>14.82</v>
      </c>
    </row>
    <row r="334" customFormat="false" ht="15" hidden="false" customHeight="false" outlineLevel="0" collapsed="false">
      <c r="A334" s="51" t="s">
        <v>385</v>
      </c>
      <c r="B334" s="48"/>
      <c r="C334" s="48"/>
      <c r="D334" s="48"/>
      <c r="E334" s="48"/>
      <c r="F334" s="52" t="n">
        <f aca="false">F332-F333</f>
        <v>18.42</v>
      </c>
    </row>
    <row r="336" customFormat="false" ht="15" hidden="false" customHeight="false" outlineLevel="0" collapsed="false">
      <c r="A336" s="11" t="s">
        <v>439</v>
      </c>
      <c r="B336" s="11"/>
      <c r="C336" s="11"/>
      <c r="D336" s="11"/>
      <c r="E336" s="11"/>
      <c r="F336" s="11"/>
      <c r="H336" s="11" t="s">
        <v>440</v>
      </c>
      <c r="I336" s="11"/>
      <c r="J336" s="11"/>
      <c r="K336" s="11"/>
      <c r="L336" s="11"/>
      <c r="M336" s="11"/>
      <c r="N336" s="11"/>
      <c r="P336" s="14" t="s">
        <v>246</v>
      </c>
    </row>
    <row r="337" customFormat="false" ht="15" hidden="false" customHeight="false" outlineLevel="0" collapsed="false">
      <c r="A337" s="15" t="s">
        <v>247</v>
      </c>
      <c r="B337" s="16" t="s">
        <v>248</v>
      </c>
      <c r="C337" s="17"/>
      <c r="D337" s="17"/>
      <c r="E337" s="17"/>
      <c r="F337" s="17"/>
      <c r="H337" s="18" t="s">
        <v>441</v>
      </c>
      <c r="I337" s="19"/>
      <c r="J337" s="19"/>
      <c r="L337" s="20" t="s">
        <v>442</v>
      </c>
      <c r="M337" s="21"/>
      <c r="N337" s="21"/>
      <c r="P337" s="14" t="s">
        <v>443</v>
      </c>
    </row>
    <row r="338" customFormat="false" ht="15" hidden="false" customHeight="false" outlineLevel="0" collapsed="false">
      <c r="B338" s="3" t="s">
        <v>252</v>
      </c>
      <c r="C338" s="3" t="s">
        <v>253</v>
      </c>
      <c r="D338" s="3" t="s">
        <v>254</v>
      </c>
      <c r="E338" s="3" t="s">
        <v>255</v>
      </c>
      <c r="F338" s="3" t="s">
        <v>256</v>
      </c>
      <c r="H338" s="22" t="s">
        <v>252</v>
      </c>
      <c r="I338" s="22" t="s">
        <v>255</v>
      </c>
      <c r="J338" s="22" t="s">
        <v>256</v>
      </c>
      <c r="L338" s="23" t="s">
        <v>252</v>
      </c>
      <c r="M338" s="23" t="s">
        <v>255</v>
      </c>
      <c r="N338" s="23" t="s">
        <v>256</v>
      </c>
      <c r="P338" s="14" t="s">
        <v>444</v>
      </c>
    </row>
    <row r="339" customFormat="false" ht="15" hidden="false" customHeight="false" outlineLevel="0" collapsed="false">
      <c r="A339" s="24" t="s">
        <v>258</v>
      </c>
      <c r="B339" s="25" t="n">
        <v>4.9</v>
      </c>
      <c r="C339" s="25" t="n">
        <v>30</v>
      </c>
      <c r="D339" s="26" t="n">
        <v>3.4086</v>
      </c>
      <c r="E339" s="27" t="n">
        <v>3.85</v>
      </c>
      <c r="F339" s="28" t="n">
        <f aca="false">ROUND(B339*E339,2)</f>
        <v>18.87</v>
      </c>
      <c r="H339" s="29" t="n">
        <v>4.9</v>
      </c>
      <c r="I339" s="30" t="n">
        <v>3.85</v>
      </c>
      <c r="J339" s="31" t="n">
        <f aca="false">ROUND(H339*I339,2)</f>
        <v>18.87</v>
      </c>
      <c r="L339" s="32" t="n">
        <v>4.9</v>
      </c>
      <c r="M339" s="33" t="n">
        <v>3.85</v>
      </c>
      <c r="N339" s="34" t="n">
        <f aca="false">ROUND(L339*M339,2)</f>
        <v>18.87</v>
      </c>
      <c r="P339" s="35" t="s">
        <v>445</v>
      </c>
    </row>
    <row r="340" customFormat="false" ht="15" hidden="false" customHeight="false" outlineLevel="0" collapsed="false">
      <c r="A340" s="24" t="s">
        <v>260</v>
      </c>
      <c r="B340" s="25" t="n">
        <v>4.9</v>
      </c>
      <c r="C340" s="25" t="n">
        <v>30</v>
      </c>
      <c r="D340" s="26" t="n">
        <v>1.09728</v>
      </c>
      <c r="E340" s="27" t="n">
        <v>1.33</v>
      </c>
      <c r="F340" s="28" t="n">
        <f aca="false">ROUND(B340*E340,2)</f>
        <v>6.52</v>
      </c>
      <c r="H340" s="29" t="n">
        <v>4.9</v>
      </c>
      <c r="I340" s="30" t="n">
        <v>1.33</v>
      </c>
      <c r="J340" s="31" t="n">
        <f aca="false">ROUND(H340*I340,2)</f>
        <v>6.52</v>
      </c>
      <c r="L340" s="32" t="n">
        <v>4.9</v>
      </c>
      <c r="M340" s="33" t="n">
        <v>1.33</v>
      </c>
      <c r="N340" s="34" t="n">
        <f aca="false">ROUND(L340*M340,2)</f>
        <v>6.52</v>
      </c>
      <c r="P340" s="36" t="s">
        <v>261</v>
      </c>
    </row>
    <row r="341" customFormat="false" ht="15" hidden="false" customHeight="false" outlineLevel="0" collapsed="false">
      <c r="A341" s="24" t="s">
        <v>262</v>
      </c>
      <c r="B341" s="25" t="n">
        <v>3.601</v>
      </c>
      <c r="C341" s="25" t="n">
        <v>30</v>
      </c>
      <c r="D341" s="26" t="n">
        <v>0.110306</v>
      </c>
      <c r="E341" s="27" t="n">
        <v>0.13788</v>
      </c>
      <c r="F341" s="28" t="n">
        <f aca="false">ROUND(B341*E341,2)</f>
        <v>0.5</v>
      </c>
      <c r="H341" s="29" t="n">
        <v>0.796</v>
      </c>
      <c r="I341" s="30" t="n">
        <v>0.13788</v>
      </c>
      <c r="J341" s="31" t="n">
        <f aca="false">ROUND(H341*I341,2)</f>
        <v>0.11</v>
      </c>
      <c r="L341" s="32" t="n">
        <v>1.331</v>
      </c>
      <c r="M341" s="33" t="n">
        <v>0.13788</v>
      </c>
      <c r="N341" s="34" t="n">
        <f aca="false">ROUND(L341*M341,2)</f>
        <v>0.18</v>
      </c>
      <c r="P341" s="35" t="s">
        <v>446</v>
      </c>
    </row>
    <row r="342" customFormat="false" ht="15" hidden="false" customHeight="false" outlineLevel="0" collapsed="false">
      <c r="A342" s="24" t="s">
        <v>264</v>
      </c>
      <c r="B342" s="25" t="n">
        <v>2.119</v>
      </c>
      <c r="C342" s="25" t="n">
        <v>30</v>
      </c>
      <c r="D342" s="26" t="n">
        <v>0.110306</v>
      </c>
      <c r="E342" s="27" t="n">
        <v>0.13788</v>
      </c>
      <c r="F342" s="28" t="n">
        <f aca="false">ROUND(B342*E342,2)</f>
        <v>0.29</v>
      </c>
      <c r="H342" s="29" t="n">
        <v>0.617</v>
      </c>
      <c r="I342" s="30" t="n">
        <v>0.13788</v>
      </c>
      <c r="J342" s="31" t="n">
        <f aca="false">ROUND(H342*I342,2)</f>
        <v>0.09</v>
      </c>
      <c r="L342" s="32" t="n">
        <v>1.534</v>
      </c>
      <c r="M342" s="33" t="n">
        <v>0.13788</v>
      </c>
      <c r="N342" s="34" t="n">
        <f aca="false">ROUND(L342*M342,2)</f>
        <v>0.21</v>
      </c>
    </row>
    <row r="343" customFormat="false" ht="15" hidden="false" customHeight="false" outlineLevel="0" collapsed="false">
      <c r="A343" s="24" t="s">
        <v>265</v>
      </c>
      <c r="B343" s="25" t="n">
        <v>4.137</v>
      </c>
      <c r="C343" s="25" t="n">
        <v>30</v>
      </c>
      <c r="D343" s="26" t="n">
        <v>0.110306</v>
      </c>
      <c r="E343" s="27" t="n">
        <v>0.13788</v>
      </c>
      <c r="F343" s="28" t="n">
        <f aca="false">ROUND(B343*E343,2)</f>
        <v>0.57</v>
      </c>
      <c r="H343" s="29" t="n">
        <v>5.036</v>
      </c>
      <c r="I343" s="30" t="n">
        <v>0.13788</v>
      </c>
      <c r="J343" s="31" t="n">
        <f aca="false">ROUND(H343*I343,2)</f>
        <v>0.69</v>
      </c>
      <c r="L343" s="32" t="n">
        <v>12.479</v>
      </c>
      <c r="M343" s="33" t="n">
        <v>0.13788</v>
      </c>
      <c r="N343" s="34" t="n">
        <f aca="false">ROUND(L343*M343,2)</f>
        <v>1.72</v>
      </c>
    </row>
    <row r="344" customFormat="false" ht="15" hidden="false" customHeight="false" outlineLevel="0" collapsed="false">
      <c r="A344" s="24" t="s">
        <v>266</v>
      </c>
      <c r="B344" s="25" t="n">
        <v>1</v>
      </c>
      <c r="C344" s="25" t="n">
        <v>30</v>
      </c>
      <c r="D344" s="26" t="n">
        <v>1.3414</v>
      </c>
      <c r="E344" s="27" t="n">
        <v>3</v>
      </c>
      <c r="F344" s="28" t="n">
        <f aca="false">ROUND(B344*E344,2)</f>
        <v>3</v>
      </c>
      <c r="H344" s="29" t="n">
        <v>1</v>
      </c>
      <c r="I344" s="30" t="n">
        <v>3</v>
      </c>
      <c r="J344" s="31" t="n">
        <f aca="false">ROUND(H344*I344,2)</f>
        <v>3</v>
      </c>
      <c r="L344" s="32" t="n">
        <v>1</v>
      </c>
      <c r="M344" s="33" t="n">
        <v>3</v>
      </c>
      <c r="N344" s="34" t="n">
        <f aca="false">ROUND(L344*M344,2)</f>
        <v>3</v>
      </c>
    </row>
    <row r="345" customFormat="false" ht="15" hidden="false" customHeight="false" outlineLevel="0" collapsed="false">
      <c r="A345" s="24" t="s">
        <v>267</v>
      </c>
      <c r="B345" s="25" t="n">
        <v>30</v>
      </c>
      <c r="C345" s="25" t="n">
        <v>30</v>
      </c>
      <c r="D345" s="26" t="n">
        <v>0.5736</v>
      </c>
      <c r="E345" s="27" t="n">
        <v>0.01274</v>
      </c>
      <c r="F345" s="28" t="n">
        <f aca="false">ROUND(B345*E345,2)</f>
        <v>0.38</v>
      </c>
      <c r="H345" s="29" t="n">
        <v>30</v>
      </c>
      <c r="I345" s="30" t="n">
        <v>0.01912</v>
      </c>
      <c r="J345" s="31" t="n">
        <f aca="false">ROUND(H345*I345,2)</f>
        <v>0.57</v>
      </c>
      <c r="L345" s="32" t="n">
        <v>30</v>
      </c>
      <c r="M345" s="33" t="n">
        <v>0.00629</v>
      </c>
      <c r="N345" s="34" t="n">
        <f aca="false">ROUND(L345*M345,2)</f>
        <v>0.19</v>
      </c>
    </row>
    <row r="346" customFormat="false" ht="15" hidden="false" customHeight="false" outlineLevel="0" collapsed="false">
      <c r="A346" s="24" t="s">
        <v>268</v>
      </c>
      <c r="B346" s="25" t="n">
        <v>1.31</v>
      </c>
      <c r="C346" s="25" t="n">
        <v>30</v>
      </c>
      <c r="D346" s="26" t="n">
        <v>0.24729</v>
      </c>
      <c r="E346" s="27" t="n">
        <v>1</v>
      </c>
      <c r="F346" s="28" t="n">
        <f aca="false">ROUND(B346*E346,2)</f>
        <v>1.31</v>
      </c>
      <c r="H346" s="29" t="n">
        <v>1.31</v>
      </c>
      <c r="I346" s="30" t="n">
        <v>1</v>
      </c>
      <c r="J346" s="31" t="n">
        <f aca="false">ROUND(H346*I346,2)</f>
        <v>1.31</v>
      </c>
      <c r="L346" s="32" t="n">
        <v>1.31</v>
      </c>
      <c r="M346" s="33" t="n">
        <v>1</v>
      </c>
      <c r="N346" s="34" t="n">
        <f aca="false">ROUND(L346*M346,2)</f>
        <v>1.31</v>
      </c>
    </row>
    <row r="347" customFormat="false" ht="15" hidden="false" customHeight="false" outlineLevel="0" collapsed="false">
      <c r="A347" s="37" t="s">
        <v>269</v>
      </c>
      <c r="F347" s="38" t="n">
        <f aca="false">ROUND((SUM(F339:F346)-F346)*1.1+F346,2)</f>
        <v>34.45</v>
      </c>
      <c r="J347" s="39" t="n">
        <f aca="false">ROUND(SUM(J339:J346),2)</f>
        <v>31.16</v>
      </c>
      <c r="N347" s="40" t="n">
        <f aca="false">ROUND(SUM(N339:N346),2)</f>
        <v>32</v>
      </c>
    </row>
    <row r="348" customFormat="false" ht="15" hidden="false" customHeight="false" outlineLevel="0" collapsed="false">
      <c r="A348" s="15" t="s">
        <v>270</v>
      </c>
      <c r="B348" s="41" t="n">
        <f aca="false">IF((F341+F339+F343+F340+F342)=0,"",((F341+F339+F343+F340+F342)-(B341*D341+B339*D339+B343*D343+B340*D340+B342*D342))/(F341+F339+F343+F340+F342))</f>
        <v>0.133977635813084</v>
      </c>
      <c r="D348" s="42" t="str">
        <f aca="false">IF(B348="","SIN PC",IF(B348&gt;=Detalle!$G$1,"APROBAR",IF(B348&gt;=0.2,"REVISAR","RECHAZAR")))</f>
        <v>RECHAZAR</v>
      </c>
      <c r="E348" s="42"/>
      <c r="F348" s="42"/>
    </row>
    <row r="349" customFormat="false" ht="15" hidden="false" customHeight="false" outlineLevel="0" collapsed="false">
      <c r="A349" s="44" t="s">
        <v>379</v>
      </c>
      <c r="B349" s="44"/>
      <c r="C349" s="44"/>
      <c r="D349" s="44"/>
      <c r="E349" s="44"/>
      <c r="F349" s="44"/>
    </row>
    <row r="350" customFormat="false" ht="15" hidden="false" customHeight="false" outlineLevel="0" collapsed="false">
      <c r="A350" s="45" t="s">
        <v>247</v>
      </c>
      <c r="B350" s="45" t="s">
        <v>380</v>
      </c>
      <c r="D350" s="45" t="s">
        <v>381</v>
      </c>
      <c r="E350" s="45" t="s">
        <v>382</v>
      </c>
      <c r="F350" s="45" t="s">
        <v>256</v>
      </c>
    </row>
    <row r="351" customFormat="false" ht="15" hidden="false" customHeight="false" outlineLevel="0" collapsed="false">
      <c r="A351" s="46" t="s">
        <v>383</v>
      </c>
      <c r="B351" s="47" t="n">
        <v>193</v>
      </c>
      <c r="C351" s="48"/>
      <c r="D351" s="26" t="n">
        <v>0.06</v>
      </c>
      <c r="E351" s="48"/>
      <c r="F351" s="49" t="n">
        <f aca="false">ROUND(B351*D351,2)</f>
        <v>11.58</v>
      </c>
    </row>
    <row r="352" customFormat="false" ht="15" hidden="false" customHeight="false" outlineLevel="0" collapsed="false">
      <c r="A352" s="46" t="s">
        <v>384</v>
      </c>
      <c r="B352" s="48"/>
      <c r="C352" s="48"/>
      <c r="D352" s="48"/>
      <c r="E352" s="50" t="n">
        <v>0.1</v>
      </c>
      <c r="F352" s="49" t="n">
        <v>1.36</v>
      </c>
    </row>
    <row r="353" customFormat="false" ht="15" hidden="false" customHeight="false" outlineLevel="0" collapsed="false">
      <c r="A353" s="51" t="s">
        <v>385</v>
      </c>
      <c r="B353" s="48"/>
      <c r="C353" s="48"/>
      <c r="D353" s="48"/>
      <c r="E353" s="48"/>
      <c r="F353" s="52" t="n">
        <f aca="false">F351-F352</f>
        <v>10.22</v>
      </c>
    </row>
    <row r="355" customFormat="false" ht="15" hidden="false" customHeight="false" outlineLevel="0" collapsed="false">
      <c r="A355" s="11" t="s">
        <v>447</v>
      </c>
      <c r="B355" s="11"/>
      <c r="C355" s="11"/>
      <c r="D355" s="11"/>
      <c r="E355" s="11"/>
      <c r="F355" s="11"/>
      <c r="H355" s="11" t="s">
        <v>448</v>
      </c>
      <c r="I355" s="11"/>
      <c r="J355" s="11"/>
      <c r="K355" s="11"/>
      <c r="L355" s="11"/>
      <c r="M355" s="11"/>
      <c r="N355" s="11"/>
      <c r="P355" s="14" t="s">
        <v>246</v>
      </c>
    </row>
    <row r="356" customFormat="false" ht="15" hidden="false" customHeight="false" outlineLevel="0" collapsed="false">
      <c r="A356" s="15" t="s">
        <v>247</v>
      </c>
      <c r="B356" s="16" t="s">
        <v>248</v>
      </c>
      <c r="C356" s="17"/>
      <c r="D356" s="17"/>
      <c r="E356" s="17"/>
      <c r="F356" s="17"/>
      <c r="H356" s="18" t="s">
        <v>449</v>
      </c>
      <c r="I356" s="19"/>
      <c r="J356" s="19"/>
      <c r="L356" s="20" t="s">
        <v>450</v>
      </c>
      <c r="M356" s="21"/>
      <c r="N356" s="21"/>
      <c r="P356" s="14" t="s">
        <v>451</v>
      </c>
    </row>
    <row r="357" customFormat="false" ht="15" hidden="false" customHeight="false" outlineLevel="0" collapsed="false">
      <c r="B357" s="3" t="s">
        <v>252</v>
      </c>
      <c r="C357" s="3" t="s">
        <v>253</v>
      </c>
      <c r="D357" s="3" t="s">
        <v>254</v>
      </c>
      <c r="E357" s="3" t="s">
        <v>255</v>
      </c>
      <c r="F357" s="3" t="s">
        <v>256</v>
      </c>
      <c r="H357" s="22" t="s">
        <v>252</v>
      </c>
      <c r="I357" s="22" t="s">
        <v>255</v>
      </c>
      <c r="J357" s="22" t="s">
        <v>256</v>
      </c>
      <c r="L357" s="23" t="s">
        <v>252</v>
      </c>
      <c r="M357" s="23" t="s">
        <v>255</v>
      </c>
      <c r="N357" s="23" t="s">
        <v>256</v>
      </c>
      <c r="P357" s="14" t="s">
        <v>452</v>
      </c>
    </row>
    <row r="358" customFormat="false" ht="15" hidden="false" customHeight="false" outlineLevel="0" collapsed="false">
      <c r="A358" s="24" t="s">
        <v>258</v>
      </c>
      <c r="B358" s="25" t="n">
        <v>6.93</v>
      </c>
      <c r="C358" s="25" t="n">
        <v>30</v>
      </c>
      <c r="D358" s="26" t="n">
        <v>3.4086</v>
      </c>
      <c r="E358" s="27" t="n">
        <v>4.17</v>
      </c>
      <c r="F358" s="28" t="n">
        <f aca="false">ROUND(B358*E358,2)</f>
        <v>28.9</v>
      </c>
      <c r="H358" s="29" t="n">
        <v>6.93</v>
      </c>
      <c r="I358" s="30" t="n">
        <v>4.17</v>
      </c>
      <c r="J358" s="31" t="n">
        <f aca="false">ROUND(H358*I358,2)</f>
        <v>28.9</v>
      </c>
      <c r="L358" s="32" t="n">
        <v>6.93</v>
      </c>
      <c r="M358" s="33" t="n">
        <v>4.17</v>
      </c>
      <c r="N358" s="34" t="n">
        <f aca="false">ROUND(L358*M358,2)</f>
        <v>28.9</v>
      </c>
      <c r="P358" s="35" t="s">
        <v>453</v>
      </c>
    </row>
    <row r="359" customFormat="false" ht="15" hidden="false" customHeight="false" outlineLevel="0" collapsed="false">
      <c r="A359" s="24" t="s">
        <v>260</v>
      </c>
      <c r="B359" s="25" t="n">
        <v>6.93</v>
      </c>
      <c r="C359" s="25" t="n">
        <v>30</v>
      </c>
      <c r="D359" s="26" t="n">
        <v>1.09728</v>
      </c>
      <c r="E359" s="27" t="n">
        <v>1.37</v>
      </c>
      <c r="F359" s="28" t="n">
        <f aca="false">ROUND(B359*E359,2)</f>
        <v>9.49</v>
      </c>
      <c r="H359" s="29" t="n">
        <v>6.93</v>
      </c>
      <c r="I359" s="30" t="n">
        <v>1.37</v>
      </c>
      <c r="J359" s="31" t="n">
        <f aca="false">ROUND(H359*I359,2)</f>
        <v>9.49</v>
      </c>
      <c r="L359" s="32" t="n">
        <v>6.93</v>
      </c>
      <c r="M359" s="33" t="n">
        <v>1.37</v>
      </c>
      <c r="N359" s="34" t="n">
        <f aca="false">ROUND(L359*M359,2)</f>
        <v>9.49</v>
      </c>
      <c r="P359" s="36" t="s">
        <v>261</v>
      </c>
    </row>
    <row r="360" customFormat="false" ht="15" hidden="false" customHeight="false" outlineLevel="0" collapsed="false">
      <c r="A360" s="24" t="s">
        <v>262</v>
      </c>
      <c r="B360" s="25" t="n">
        <v>65.059</v>
      </c>
      <c r="C360" s="25" t="n">
        <v>30</v>
      </c>
      <c r="D360" s="26" t="n">
        <v>0.110306</v>
      </c>
      <c r="E360" s="27" t="n">
        <v>0.14937</v>
      </c>
      <c r="F360" s="28" t="n">
        <f aca="false">ROUND(B360*E360,2)</f>
        <v>9.72</v>
      </c>
      <c r="H360" s="29" t="n">
        <v>151.137</v>
      </c>
      <c r="I360" s="30" t="n">
        <v>0.14937</v>
      </c>
      <c r="J360" s="31" t="n">
        <f aca="false">ROUND(H360*I360,2)</f>
        <v>22.58</v>
      </c>
      <c r="L360" s="32" t="n">
        <v>27.198</v>
      </c>
      <c r="M360" s="33" t="n">
        <v>0.14937</v>
      </c>
      <c r="N360" s="34" t="n">
        <f aca="false">ROUND(L360*M360,2)</f>
        <v>4.06</v>
      </c>
      <c r="P360" s="35" t="s">
        <v>454</v>
      </c>
    </row>
    <row r="361" customFormat="false" ht="15" hidden="false" customHeight="false" outlineLevel="0" collapsed="false">
      <c r="A361" s="24" t="s">
        <v>264</v>
      </c>
      <c r="B361" s="25" t="n">
        <v>41.968</v>
      </c>
      <c r="C361" s="25" t="n">
        <v>30</v>
      </c>
      <c r="D361" s="26" t="n">
        <v>0.110306</v>
      </c>
      <c r="E361" s="27" t="n">
        <v>0.14937</v>
      </c>
      <c r="F361" s="28" t="n">
        <f aca="false">ROUND(B361*E361,2)</f>
        <v>6.27</v>
      </c>
      <c r="H361" s="29" t="n">
        <v>123.193</v>
      </c>
      <c r="I361" s="30" t="n">
        <v>0.14937</v>
      </c>
      <c r="J361" s="31" t="n">
        <f aca="false">ROUND(H361*I361,2)</f>
        <v>18.4</v>
      </c>
      <c r="L361" s="32" t="n">
        <v>22.981</v>
      </c>
      <c r="M361" s="33" t="n">
        <v>0.14937</v>
      </c>
      <c r="N361" s="34" t="n">
        <f aca="false">ROUND(L361*M361,2)</f>
        <v>3.43</v>
      </c>
    </row>
    <row r="362" customFormat="false" ht="15" hidden="false" customHeight="false" outlineLevel="0" collapsed="false">
      <c r="A362" s="24" t="s">
        <v>265</v>
      </c>
      <c r="B362" s="25" t="n">
        <v>205.282</v>
      </c>
      <c r="C362" s="25" t="n">
        <v>30</v>
      </c>
      <c r="D362" s="26" t="n">
        <v>0.110306</v>
      </c>
      <c r="E362" s="27" t="n">
        <v>0.14937</v>
      </c>
      <c r="F362" s="28" t="n">
        <f aca="false">ROUND(B362*E362,2)</f>
        <v>30.66</v>
      </c>
      <c r="H362" s="29" t="n">
        <v>361.742</v>
      </c>
      <c r="I362" s="30" t="n">
        <v>0.14937</v>
      </c>
      <c r="J362" s="31" t="n">
        <f aca="false">ROUND(H362*I362,2)</f>
        <v>54.03</v>
      </c>
      <c r="L362" s="32" t="n">
        <v>44.96</v>
      </c>
      <c r="M362" s="33" t="n">
        <v>0.14937</v>
      </c>
      <c r="N362" s="34" t="n">
        <f aca="false">ROUND(L362*M362,2)</f>
        <v>6.72</v>
      </c>
    </row>
    <row r="363" customFormat="false" ht="15" hidden="false" customHeight="false" outlineLevel="0" collapsed="false">
      <c r="A363" s="24" t="s">
        <v>266</v>
      </c>
      <c r="B363" s="25" t="n">
        <v>1</v>
      </c>
      <c r="C363" s="25" t="n">
        <v>30</v>
      </c>
      <c r="D363" s="26" t="n">
        <v>1.3414</v>
      </c>
      <c r="E363" s="27" t="n">
        <v>4</v>
      </c>
      <c r="F363" s="28" t="n">
        <f aca="false">ROUND(B363*E363,2)</f>
        <v>4</v>
      </c>
      <c r="H363" s="29" t="n">
        <v>1</v>
      </c>
      <c r="I363" s="30" t="n">
        <v>4</v>
      </c>
      <c r="J363" s="31" t="n">
        <f aca="false">ROUND(H363*I363,2)</f>
        <v>4</v>
      </c>
      <c r="L363" s="32" t="n">
        <v>1</v>
      </c>
      <c r="M363" s="33" t="n">
        <v>4</v>
      </c>
      <c r="N363" s="34" t="n">
        <f aca="false">ROUND(L363*M363,2)</f>
        <v>4</v>
      </c>
    </row>
    <row r="364" customFormat="false" ht="15" hidden="false" customHeight="false" outlineLevel="0" collapsed="false">
      <c r="A364" s="24" t="s">
        <v>267</v>
      </c>
      <c r="B364" s="25" t="n">
        <v>30</v>
      </c>
      <c r="C364" s="25" t="n">
        <v>30</v>
      </c>
      <c r="D364" s="26" t="n">
        <v>0.5736</v>
      </c>
      <c r="E364" s="27" t="n">
        <v>0.01274</v>
      </c>
      <c r="F364" s="28" t="n">
        <f aca="false">ROUND(B364*E364,2)</f>
        <v>0.38</v>
      </c>
      <c r="H364" s="29" t="n">
        <v>30</v>
      </c>
      <c r="I364" s="30" t="n">
        <v>0.01274</v>
      </c>
      <c r="J364" s="31" t="n">
        <f aca="false">ROUND(H364*I364,2)</f>
        <v>0.38</v>
      </c>
      <c r="L364" s="32" t="n">
        <v>30</v>
      </c>
      <c r="M364" s="33" t="n">
        <v>0.00629</v>
      </c>
      <c r="N364" s="34" t="n">
        <f aca="false">ROUND(L364*M364,2)</f>
        <v>0.19</v>
      </c>
    </row>
    <row r="365" customFormat="false" ht="15" hidden="false" customHeight="false" outlineLevel="0" collapsed="false">
      <c r="A365" s="24" t="s">
        <v>268</v>
      </c>
      <c r="B365" s="25" t="n">
        <v>3.12</v>
      </c>
      <c r="C365" s="25" t="n">
        <v>30</v>
      </c>
      <c r="D365" s="26" t="n">
        <v>0.24729</v>
      </c>
      <c r="E365" s="27" t="n">
        <v>1</v>
      </c>
      <c r="F365" s="28" t="n">
        <f aca="false">ROUND(B365*E365,2)</f>
        <v>3.12</v>
      </c>
      <c r="H365" s="29" t="n">
        <v>6.09</v>
      </c>
      <c r="I365" s="30" t="n">
        <v>1</v>
      </c>
      <c r="J365" s="31" t="n">
        <f aca="false">ROUND(H365*I365,2)</f>
        <v>6.09</v>
      </c>
      <c r="L365" s="32" t="n">
        <v>1.97</v>
      </c>
      <c r="M365" s="33" t="n">
        <v>1</v>
      </c>
      <c r="N365" s="34" t="n">
        <f aca="false">ROUND(L365*M365,2)</f>
        <v>1.97</v>
      </c>
    </row>
    <row r="366" customFormat="false" ht="15" hidden="false" customHeight="false" outlineLevel="0" collapsed="false">
      <c r="A366" s="37" t="s">
        <v>269</v>
      </c>
      <c r="F366" s="38" t="n">
        <f aca="false">ROUND((SUM(F358:F365)-F365)*1.1+F365,2)</f>
        <v>101.48</v>
      </c>
      <c r="J366" s="39" t="n">
        <f aca="false">ROUND(SUM(J358:J365),2)</f>
        <v>143.87</v>
      </c>
      <c r="N366" s="40" t="n">
        <f aca="false">ROUND(SUM(N358:N365),2)</f>
        <v>58.76</v>
      </c>
    </row>
    <row r="367" customFormat="false" ht="15" hidden="false" customHeight="false" outlineLevel="0" collapsed="false">
      <c r="A367" s="15" t="s">
        <v>270</v>
      </c>
      <c r="B367" s="41" t="n">
        <f aca="false">IF((F360+F358+F362+F359+F361)=0,"",((F360+F358+F362+F359+F361)-(B360*D360+B358*D358+B362*D362+B359*D359+B361*D361))/(F360+F358+F362+F359+F361))</f>
        <v>0.227712782761054</v>
      </c>
      <c r="D367" s="42" t="str">
        <f aca="false">IF(B367="","SIN PC",IF(B367&gt;=Detalle!$G$1,"APROBAR",IF(B367&gt;=0.2,"REVISAR","RECHAZAR")))</f>
        <v>REVISAR</v>
      </c>
      <c r="E367" s="42"/>
      <c r="F367" s="42"/>
    </row>
    <row r="368" customFormat="false" ht="15" hidden="false" customHeight="false" outlineLevel="0" collapsed="false">
      <c r="A368" s="44" t="s">
        <v>379</v>
      </c>
      <c r="B368" s="44"/>
      <c r="C368" s="44"/>
      <c r="D368" s="44"/>
      <c r="E368" s="44"/>
      <c r="F368" s="44"/>
    </row>
    <row r="369" customFormat="false" ht="15" hidden="false" customHeight="false" outlineLevel="0" collapsed="false">
      <c r="A369" s="45" t="s">
        <v>247</v>
      </c>
      <c r="B369" s="45" t="s">
        <v>380</v>
      </c>
      <c r="D369" s="45" t="s">
        <v>381</v>
      </c>
      <c r="E369" s="45" t="s">
        <v>382</v>
      </c>
      <c r="F369" s="45" t="s">
        <v>256</v>
      </c>
    </row>
    <row r="370" customFormat="false" ht="15" hidden="false" customHeight="false" outlineLevel="0" collapsed="false">
      <c r="A370" s="46" t="s">
        <v>383</v>
      </c>
      <c r="B370" s="47" t="n">
        <v>482</v>
      </c>
      <c r="C370" s="48"/>
      <c r="D370" s="26" t="n">
        <v>0.06</v>
      </c>
      <c r="E370" s="48"/>
      <c r="F370" s="49" t="n">
        <f aca="false">ROUND(B370*D370,2)</f>
        <v>28.92</v>
      </c>
    </row>
    <row r="371" customFormat="false" ht="15" hidden="false" customHeight="false" outlineLevel="0" collapsed="false">
      <c r="A371" s="46" t="s">
        <v>384</v>
      </c>
      <c r="B371" s="48"/>
      <c r="C371" s="48"/>
      <c r="D371" s="48"/>
      <c r="E371" s="50" t="n">
        <v>0.06</v>
      </c>
      <c r="F371" s="49" t="n">
        <v>24.22</v>
      </c>
    </row>
    <row r="372" customFormat="false" ht="15" hidden="false" customHeight="false" outlineLevel="0" collapsed="false">
      <c r="A372" s="51" t="s">
        <v>385</v>
      </c>
      <c r="B372" s="48"/>
      <c r="C372" s="48"/>
      <c r="D372" s="48"/>
      <c r="E372" s="48"/>
      <c r="F372" s="52" t="n">
        <f aca="false">F370-F371</f>
        <v>4.7</v>
      </c>
    </row>
    <row r="374" customFormat="false" ht="15" hidden="false" customHeight="false" outlineLevel="0" collapsed="false">
      <c r="A374" s="11" t="s">
        <v>455</v>
      </c>
      <c r="B374" s="11"/>
      <c r="C374" s="11"/>
      <c r="D374" s="11"/>
      <c r="E374" s="11"/>
      <c r="F374" s="11"/>
      <c r="H374" s="11" t="s">
        <v>456</v>
      </c>
      <c r="I374" s="11"/>
      <c r="J374" s="11"/>
      <c r="K374" s="11"/>
      <c r="L374" s="11"/>
      <c r="M374" s="11"/>
      <c r="N374" s="11"/>
      <c r="P374" s="14" t="s">
        <v>246</v>
      </c>
    </row>
    <row r="375" customFormat="false" ht="15" hidden="false" customHeight="false" outlineLevel="0" collapsed="false">
      <c r="A375" s="15" t="s">
        <v>247</v>
      </c>
      <c r="B375" s="16" t="s">
        <v>248</v>
      </c>
      <c r="C375" s="17"/>
      <c r="D375" s="17"/>
      <c r="E375" s="17"/>
      <c r="F375" s="17"/>
      <c r="H375" s="18" t="s">
        <v>457</v>
      </c>
      <c r="I375" s="19"/>
      <c r="J375" s="19"/>
      <c r="L375" s="20" t="s">
        <v>458</v>
      </c>
      <c r="M375" s="21"/>
      <c r="N375" s="21"/>
      <c r="P375" s="14" t="s">
        <v>459</v>
      </c>
    </row>
    <row r="376" customFormat="false" ht="15" hidden="false" customHeight="false" outlineLevel="0" collapsed="false">
      <c r="B376" s="3" t="s">
        <v>252</v>
      </c>
      <c r="C376" s="3" t="s">
        <v>253</v>
      </c>
      <c r="D376" s="3" t="s">
        <v>254</v>
      </c>
      <c r="E376" s="3" t="s">
        <v>255</v>
      </c>
      <c r="F376" s="3" t="s">
        <v>256</v>
      </c>
      <c r="H376" s="22" t="s">
        <v>252</v>
      </c>
      <c r="I376" s="22" t="s">
        <v>255</v>
      </c>
      <c r="J376" s="22" t="s">
        <v>256</v>
      </c>
      <c r="L376" s="23" t="s">
        <v>252</v>
      </c>
      <c r="M376" s="23" t="s">
        <v>255</v>
      </c>
      <c r="N376" s="23" t="s">
        <v>256</v>
      </c>
      <c r="P376" s="14" t="s">
        <v>460</v>
      </c>
    </row>
    <row r="377" customFormat="false" ht="15" hidden="false" customHeight="false" outlineLevel="0" collapsed="false">
      <c r="A377" s="24" t="s">
        <v>258</v>
      </c>
      <c r="B377" s="25" t="n">
        <v>9.9</v>
      </c>
      <c r="C377" s="25" t="n">
        <v>30</v>
      </c>
      <c r="D377" s="26" t="n">
        <v>3.68919</v>
      </c>
      <c r="E377" s="27" t="n">
        <v>3.7376</v>
      </c>
      <c r="F377" s="28" t="n">
        <f aca="false">ROUND(B377*E377,2)</f>
        <v>37</v>
      </c>
      <c r="H377" s="29" t="n">
        <v>9.9</v>
      </c>
      <c r="I377" s="30" t="n">
        <v>3.7376</v>
      </c>
      <c r="J377" s="31" t="n">
        <f aca="false">ROUND(H377*I377,2)</f>
        <v>37</v>
      </c>
      <c r="L377" s="32" t="n">
        <v>9.9</v>
      </c>
      <c r="M377" s="33" t="n">
        <v>3.85</v>
      </c>
      <c r="N377" s="34" t="n">
        <f aca="false">ROUND(L377*M377,2)</f>
        <v>38.12</v>
      </c>
      <c r="P377" s="35" t="s">
        <v>461</v>
      </c>
    </row>
    <row r="378" customFormat="false" ht="15" hidden="false" customHeight="false" outlineLevel="0" collapsed="false">
      <c r="A378" s="24" t="s">
        <v>260</v>
      </c>
      <c r="B378" s="25" t="n">
        <v>9.9</v>
      </c>
      <c r="C378" s="25" t="n">
        <v>30</v>
      </c>
      <c r="D378" s="26" t="n">
        <v>1.31928</v>
      </c>
      <c r="E378" s="27" t="n">
        <v>1.3068</v>
      </c>
      <c r="F378" s="28" t="n">
        <f aca="false">ROUND(B378*E378,2)</f>
        <v>12.94</v>
      </c>
      <c r="H378" s="29" t="n">
        <v>9.9</v>
      </c>
      <c r="I378" s="30" t="n">
        <v>1.3068</v>
      </c>
      <c r="J378" s="31" t="n">
        <f aca="false">ROUND(H378*I378,2)</f>
        <v>12.94</v>
      </c>
      <c r="L378" s="32" t="n">
        <v>9.9</v>
      </c>
      <c r="M378" s="33" t="n">
        <v>1.55</v>
      </c>
      <c r="N378" s="34" t="n">
        <f aca="false">ROUND(L378*M378,2)</f>
        <v>15.35</v>
      </c>
      <c r="P378" s="36" t="s">
        <v>261</v>
      </c>
    </row>
    <row r="379" customFormat="false" ht="15" hidden="false" customHeight="false" outlineLevel="0" collapsed="false">
      <c r="A379" s="24" t="s">
        <v>262</v>
      </c>
      <c r="B379" s="25" t="n">
        <v>293.99</v>
      </c>
      <c r="C379" s="25" t="n">
        <v>30</v>
      </c>
      <c r="D379" s="26" t="n">
        <v>0.111171</v>
      </c>
      <c r="E379" s="27" t="n">
        <v>0.13788</v>
      </c>
      <c r="F379" s="28" t="n">
        <f aca="false">ROUND(B379*E379,2)</f>
        <v>40.54</v>
      </c>
      <c r="H379" s="29" t="n">
        <v>540.207</v>
      </c>
      <c r="I379" s="30" t="n">
        <v>0.13788</v>
      </c>
      <c r="J379" s="31" t="n">
        <f aca="false">ROUND(H379*I379,2)</f>
        <v>74.48</v>
      </c>
      <c r="L379" s="32" t="n">
        <v>503</v>
      </c>
      <c r="M379" s="33" t="n">
        <v>0.13788</v>
      </c>
      <c r="N379" s="34" t="n">
        <f aca="false">ROUND(L379*M379,2)</f>
        <v>69.35</v>
      </c>
      <c r="P379" s="35" t="s">
        <v>462</v>
      </c>
    </row>
    <row r="380" customFormat="false" ht="15" hidden="false" customHeight="false" outlineLevel="0" collapsed="false">
      <c r="A380" s="24" t="s">
        <v>264</v>
      </c>
      <c r="B380" s="25" t="n">
        <v>0</v>
      </c>
      <c r="C380" s="25" t="n">
        <v>30</v>
      </c>
      <c r="D380" s="26" t="n">
        <v>0.111171</v>
      </c>
      <c r="E380" s="27" t="n">
        <v>0</v>
      </c>
      <c r="F380" s="28" t="n">
        <f aca="false">ROUND(B380*E380,2)</f>
        <v>0</v>
      </c>
      <c r="H380" s="55"/>
      <c r="I380" s="55"/>
      <c r="J380" s="55"/>
      <c r="L380" s="53"/>
      <c r="M380" s="53"/>
      <c r="N380" s="53"/>
    </row>
    <row r="381" customFormat="false" ht="15" hidden="false" customHeight="false" outlineLevel="0" collapsed="false">
      <c r="A381" s="24" t="s">
        <v>265</v>
      </c>
      <c r="B381" s="25" t="n">
        <v>0</v>
      </c>
      <c r="C381" s="25" t="n">
        <v>30</v>
      </c>
      <c r="D381" s="26" t="n">
        <v>0.111171</v>
      </c>
      <c r="E381" s="27" t="n">
        <v>0</v>
      </c>
      <c r="F381" s="28" t="n">
        <f aca="false">ROUND(B381*E381,2)</f>
        <v>0</v>
      </c>
      <c r="H381" s="55"/>
      <c r="I381" s="55"/>
      <c r="J381" s="55"/>
      <c r="L381" s="53"/>
      <c r="M381" s="53"/>
      <c r="N381" s="53"/>
    </row>
    <row r="382" customFormat="false" ht="15" hidden="false" customHeight="false" outlineLevel="0" collapsed="false">
      <c r="A382" s="24" t="s">
        <v>266</v>
      </c>
      <c r="B382" s="25" t="n">
        <v>0</v>
      </c>
      <c r="C382" s="25" t="n">
        <v>30</v>
      </c>
      <c r="D382" s="26"/>
      <c r="E382" s="27" t="n">
        <v>0</v>
      </c>
      <c r="F382" s="28" t="n">
        <f aca="false">ROUND(B382*E382,2)</f>
        <v>0</v>
      </c>
      <c r="H382" s="55"/>
      <c r="I382" s="55"/>
      <c r="J382" s="55"/>
      <c r="L382" s="53"/>
      <c r="M382" s="53"/>
      <c r="N382" s="53"/>
    </row>
    <row r="383" customFormat="false" ht="15" hidden="false" customHeight="false" outlineLevel="0" collapsed="false">
      <c r="A383" s="24" t="s">
        <v>267</v>
      </c>
      <c r="B383" s="25" t="n">
        <v>30</v>
      </c>
      <c r="C383" s="25" t="n">
        <v>30</v>
      </c>
      <c r="D383" s="26" t="n">
        <v>0.5736</v>
      </c>
      <c r="E383" s="27" t="n">
        <v>0.01274</v>
      </c>
      <c r="F383" s="28" t="n">
        <f aca="false">ROUND(B383*E383,2)</f>
        <v>0.38</v>
      </c>
      <c r="H383" s="29" t="n">
        <v>30</v>
      </c>
      <c r="I383" s="30" t="n">
        <v>0.01274</v>
      </c>
      <c r="J383" s="31" t="n">
        <f aca="false">ROUND(H383*I383,2)</f>
        <v>0.38</v>
      </c>
      <c r="L383" s="32" t="n">
        <v>30</v>
      </c>
      <c r="M383" s="33" t="n">
        <v>0.00629</v>
      </c>
      <c r="N383" s="34" t="n">
        <f aca="false">ROUND(L383*M383,2)</f>
        <v>0.19</v>
      </c>
    </row>
    <row r="384" customFormat="false" ht="15" hidden="false" customHeight="false" outlineLevel="0" collapsed="false">
      <c r="A384" s="24" t="s">
        <v>268</v>
      </c>
      <c r="B384" s="25" t="n">
        <v>0</v>
      </c>
      <c r="C384" s="25" t="n">
        <v>30</v>
      </c>
      <c r="D384" s="26"/>
      <c r="E384" s="27" t="n">
        <v>0</v>
      </c>
      <c r="F384" s="28" t="n">
        <f aca="false">ROUND(B384*E384,2)</f>
        <v>0</v>
      </c>
      <c r="H384" s="55"/>
      <c r="I384" s="55"/>
      <c r="J384" s="55"/>
      <c r="L384" s="53"/>
      <c r="M384" s="53"/>
      <c r="N384" s="53"/>
    </row>
    <row r="385" customFormat="false" ht="15" hidden="false" customHeight="false" outlineLevel="0" collapsed="false">
      <c r="A385" s="37" t="s">
        <v>269</v>
      </c>
      <c r="F385" s="38" t="n">
        <f aca="false">ROUND((SUM(F377:F384)-F384)*1.1+F384,2)</f>
        <v>99.95</v>
      </c>
      <c r="J385" s="39" t="n">
        <f aca="false">ROUND(SUM(J377:J384),2)</f>
        <v>124.8</v>
      </c>
      <c r="N385" s="40" t="n">
        <f aca="false">ROUND(SUM(N377:N384),2)</f>
        <v>123.01</v>
      </c>
    </row>
    <row r="386" customFormat="false" ht="15" hidden="false" customHeight="false" outlineLevel="0" collapsed="false">
      <c r="A386" s="15" t="s">
        <v>270</v>
      </c>
      <c r="B386" s="41" t="n">
        <f aca="false">IF((F379+F377+F381+F378+F380)=0,"",((F379+F377+F381+F378+F380)-(B379*D379+B377*D377+B381*D381+B378*D378+B380*D380))/(F379+F377+F381+F378+F380))</f>
        <v>0.090771272214854</v>
      </c>
      <c r="D386" s="42" t="str">
        <f aca="false">IF(B386="","SIN PC",IF(B386&gt;=Detalle!$G$1,"APROBAR",IF(B386&gt;=0.2,"REVISAR","RECHAZAR")))</f>
        <v>RECHAZAR</v>
      </c>
      <c r="E386" s="42"/>
      <c r="F386" s="42"/>
    </row>
    <row r="388" customFormat="false" ht="15" hidden="false" customHeight="false" outlineLevel="0" collapsed="false">
      <c r="A388" s="11" t="s">
        <v>463</v>
      </c>
      <c r="B388" s="11"/>
      <c r="C388" s="11"/>
      <c r="D388" s="11"/>
      <c r="E388" s="11"/>
      <c r="F388" s="11"/>
      <c r="H388" s="11" t="s">
        <v>464</v>
      </c>
      <c r="I388" s="11"/>
      <c r="J388" s="11"/>
      <c r="K388" s="11"/>
      <c r="L388" s="11"/>
      <c r="M388" s="11"/>
      <c r="N388" s="11"/>
      <c r="P388" s="14" t="s">
        <v>246</v>
      </c>
    </row>
    <row r="389" customFormat="false" ht="15" hidden="false" customHeight="false" outlineLevel="0" collapsed="false">
      <c r="A389" s="15" t="s">
        <v>247</v>
      </c>
      <c r="B389" s="16" t="s">
        <v>248</v>
      </c>
      <c r="C389" s="17"/>
      <c r="D389" s="17"/>
      <c r="E389" s="17"/>
      <c r="F389" s="17"/>
      <c r="H389" s="18" t="s">
        <v>465</v>
      </c>
      <c r="I389" s="19"/>
      <c r="J389" s="19"/>
      <c r="L389" s="20" t="s">
        <v>466</v>
      </c>
      <c r="M389" s="21"/>
      <c r="N389" s="21"/>
      <c r="P389" s="14" t="s">
        <v>467</v>
      </c>
    </row>
    <row r="390" customFormat="false" ht="15" hidden="false" customHeight="false" outlineLevel="0" collapsed="false">
      <c r="B390" s="3" t="s">
        <v>252</v>
      </c>
      <c r="C390" s="3" t="s">
        <v>253</v>
      </c>
      <c r="D390" s="3" t="s">
        <v>254</v>
      </c>
      <c r="E390" s="3" t="s">
        <v>255</v>
      </c>
      <c r="F390" s="3" t="s">
        <v>256</v>
      </c>
      <c r="H390" s="22" t="s">
        <v>252</v>
      </c>
      <c r="I390" s="22" t="s">
        <v>255</v>
      </c>
      <c r="J390" s="22" t="s">
        <v>256</v>
      </c>
      <c r="L390" s="23" t="s">
        <v>252</v>
      </c>
      <c r="M390" s="23" t="s">
        <v>255</v>
      </c>
      <c r="N390" s="23" t="s">
        <v>256</v>
      </c>
      <c r="P390" s="14" t="s">
        <v>468</v>
      </c>
    </row>
    <row r="391" customFormat="false" ht="15" hidden="false" customHeight="false" outlineLevel="0" collapsed="false">
      <c r="A391" s="24" t="s">
        <v>258</v>
      </c>
      <c r="B391" s="25" t="n">
        <v>6.9</v>
      </c>
      <c r="C391" s="25" t="n">
        <v>30</v>
      </c>
      <c r="D391" s="26" t="n">
        <v>3.4086</v>
      </c>
      <c r="E391" s="27" t="n">
        <v>4.17</v>
      </c>
      <c r="F391" s="28" t="n">
        <f aca="false">ROUND(B391*E391,2)</f>
        <v>28.77</v>
      </c>
      <c r="H391" s="29" t="n">
        <v>6.9</v>
      </c>
      <c r="I391" s="30" t="n">
        <v>4.17</v>
      </c>
      <c r="J391" s="31" t="n">
        <f aca="false">ROUND(H391*I391,2)</f>
        <v>28.77</v>
      </c>
      <c r="L391" s="32" t="n">
        <v>6.9</v>
      </c>
      <c r="M391" s="33" t="n">
        <v>4.17</v>
      </c>
      <c r="N391" s="34" t="n">
        <f aca="false">ROUND(L391*M391,2)</f>
        <v>28.77</v>
      </c>
      <c r="P391" s="35" t="s">
        <v>469</v>
      </c>
    </row>
    <row r="392" customFormat="false" ht="15" hidden="false" customHeight="false" outlineLevel="0" collapsed="false">
      <c r="A392" s="24" t="s">
        <v>260</v>
      </c>
      <c r="B392" s="25" t="n">
        <v>6.9</v>
      </c>
      <c r="C392" s="25" t="n">
        <v>30</v>
      </c>
      <c r="D392" s="26" t="n">
        <v>1.09728</v>
      </c>
      <c r="E392" s="27" t="n">
        <v>1.37</v>
      </c>
      <c r="F392" s="28" t="n">
        <f aca="false">ROUND(B392*E392,2)</f>
        <v>9.45</v>
      </c>
      <c r="H392" s="29" t="n">
        <v>6.9</v>
      </c>
      <c r="I392" s="30" t="n">
        <v>1.37</v>
      </c>
      <c r="J392" s="31" t="n">
        <f aca="false">ROUND(H392*I392,2)</f>
        <v>9.45</v>
      </c>
      <c r="L392" s="32" t="n">
        <v>6.9</v>
      </c>
      <c r="M392" s="33" t="n">
        <v>1.37</v>
      </c>
      <c r="N392" s="34" t="n">
        <f aca="false">ROUND(L392*M392,2)</f>
        <v>9.45</v>
      </c>
      <c r="P392" s="36" t="s">
        <v>261</v>
      </c>
    </row>
    <row r="393" customFormat="false" ht="15" hidden="false" customHeight="false" outlineLevel="0" collapsed="false">
      <c r="A393" s="24" t="s">
        <v>262</v>
      </c>
      <c r="B393" s="25" t="n">
        <v>33.816</v>
      </c>
      <c r="C393" s="25" t="n">
        <v>30</v>
      </c>
      <c r="D393" s="26" t="n">
        <v>0.110306</v>
      </c>
      <c r="E393" s="27" t="n">
        <v>0.14937</v>
      </c>
      <c r="F393" s="28" t="n">
        <f aca="false">ROUND(B393*E393,2)</f>
        <v>5.05</v>
      </c>
      <c r="H393" s="29" t="n">
        <v>458.117</v>
      </c>
      <c r="I393" s="30" t="n">
        <v>0.14937</v>
      </c>
      <c r="J393" s="31" t="n">
        <f aca="false">ROUND(H393*I393,2)</f>
        <v>68.43</v>
      </c>
      <c r="L393" s="32" t="n">
        <v>314.506</v>
      </c>
      <c r="M393" s="33" t="n">
        <v>0.14937</v>
      </c>
      <c r="N393" s="34" t="n">
        <f aca="false">ROUND(L393*M393,2)</f>
        <v>46.98</v>
      </c>
      <c r="P393" s="35" t="s">
        <v>470</v>
      </c>
    </row>
    <row r="394" customFormat="false" ht="15" hidden="false" customHeight="false" outlineLevel="0" collapsed="false">
      <c r="A394" s="24" t="s">
        <v>264</v>
      </c>
      <c r="B394" s="25" t="n">
        <v>25.155</v>
      </c>
      <c r="C394" s="25" t="n">
        <v>30</v>
      </c>
      <c r="D394" s="26" t="n">
        <v>0.110306</v>
      </c>
      <c r="E394" s="27" t="n">
        <v>0.14937</v>
      </c>
      <c r="F394" s="28" t="n">
        <f aca="false">ROUND(B394*E394,2)</f>
        <v>3.76</v>
      </c>
      <c r="H394" s="29" t="n">
        <v>441.228</v>
      </c>
      <c r="I394" s="30" t="n">
        <v>0.14937</v>
      </c>
      <c r="J394" s="31" t="n">
        <f aca="false">ROUND(H394*I394,2)</f>
        <v>65.91</v>
      </c>
      <c r="L394" s="32" t="n">
        <v>462.708</v>
      </c>
      <c r="M394" s="33" t="n">
        <v>0.14937</v>
      </c>
      <c r="N394" s="34" t="n">
        <f aca="false">ROUND(L394*M394,2)</f>
        <v>69.11</v>
      </c>
    </row>
    <row r="395" customFormat="false" ht="15" hidden="false" customHeight="false" outlineLevel="0" collapsed="false">
      <c r="A395" s="24" t="s">
        <v>265</v>
      </c>
      <c r="B395" s="25" t="n">
        <v>87.389</v>
      </c>
      <c r="C395" s="25" t="n">
        <v>30</v>
      </c>
      <c r="D395" s="26" t="n">
        <v>0.110306</v>
      </c>
      <c r="E395" s="27" t="n">
        <v>0.14937</v>
      </c>
      <c r="F395" s="28" t="n">
        <f aca="false">ROUND(B395*E395,2)</f>
        <v>13.05</v>
      </c>
      <c r="H395" s="29" t="n">
        <v>967.329</v>
      </c>
      <c r="I395" s="30" t="n">
        <v>0.14937</v>
      </c>
      <c r="J395" s="31" t="n">
        <f aca="false">ROUND(H395*I395,2)</f>
        <v>144.49</v>
      </c>
      <c r="L395" s="32" t="n">
        <v>906.132</v>
      </c>
      <c r="M395" s="33" t="n">
        <v>0.14937</v>
      </c>
      <c r="N395" s="34" t="n">
        <f aca="false">ROUND(L395*M395,2)</f>
        <v>135.35</v>
      </c>
    </row>
    <row r="396" customFormat="false" ht="15" hidden="false" customHeight="false" outlineLevel="0" collapsed="false">
      <c r="A396" s="24" t="s">
        <v>266</v>
      </c>
      <c r="B396" s="25" t="n">
        <v>1</v>
      </c>
      <c r="C396" s="25" t="n">
        <v>30</v>
      </c>
      <c r="D396" s="26" t="n">
        <v>0.7989</v>
      </c>
      <c r="E396" s="27" t="n">
        <v>4</v>
      </c>
      <c r="F396" s="28" t="n">
        <f aca="false">ROUND(B396*E396,2)</f>
        <v>4</v>
      </c>
      <c r="H396" s="29" t="n">
        <v>1</v>
      </c>
      <c r="I396" s="30" t="n">
        <v>4</v>
      </c>
      <c r="J396" s="31" t="n">
        <f aca="false">ROUND(H396*I396,2)</f>
        <v>4</v>
      </c>
      <c r="L396" s="32" t="n">
        <v>1</v>
      </c>
      <c r="M396" s="33" t="n">
        <v>4</v>
      </c>
      <c r="N396" s="34" t="n">
        <f aca="false">ROUND(L396*M396,2)</f>
        <v>4</v>
      </c>
    </row>
    <row r="397" customFormat="false" ht="15" hidden="false" customHeight="false" outlineLevel="0" collapsed="false">
      <c r="A397" s="24" t="s">
        <v>267</v>
      </c>
      <c r="B397" s="25" t="n">
        <v>30</v>
      </c>
      <c r="C397" s="25" t="n">
        <v>30</v>
      </c>
      <c r="D397" s="26" t="n">
        <v>0.5736</v>
      </c>
      <c r="E397" s="27" t="n">
        <v>0.01274</v>
      </c>
      <c r="F397" s="28" t="n">
        <f aca="false">ROUND(B397*E397,2)</f>
        <v>0.38</v>
      </c>
      <c r="H397" s="29" t="n">
        <v>30</v>
      </c>
      <c r="I397" s="30" t="n">
        <v>0.01274</v>
      </c>
      <c r="J397" s="31" t="n">
        <f aca="false">ROUND(H397*I397,2)</f>
        <v>0.38</v>
      </c>
      <c r="L397" s="32" t="n">
        <v>30</v>
      </c>
      <c r="M397" s="33" t="n">
        <v>0.00629</v>
      </c>
      <c r="N397" s="34" t="n">
        <f aca="false">ROUND(L397*M397,2)</f>
        <v>0.19</v>
      </c>
    </row>
    <row r="398" customFormat="false" ht="15" hidden="false" customHeight="false" outlineLevel="0" collapsed="false">
      <c r="A398" s="24" t="s">
        <v>268</v>
      </c>
      <c r="B398" s="25" t="n">
        <v>3.06</v>
      </c>
      <c r="C398" s="25" t="n">
        <v>30</v>
      </c>
      <c r="D398" s="26" t="n">
        <v>0.24729</v>
      </c>
      <c r="E398" s="27" t="n">
        <v>1</v>
      </c>
      <c r="F398" s="28" t="n">
        <f aca="false">ROUND(B398*E398,2)</f>
        <v>3.06</v>
      </c>
      <c r="H398" s="29" t="n">
        <v>16.12</v>
      </c>
      <c r="I398" s="30" t="n">
        <v>1</v>
      </c>
      <c r="J398" s="31" t="n">
        <f aca="false">ROUND(H398*I398,2)</f>
        <v>16.12</v>
      </c>
      <c r="L398" s="32" t="n">
        <v>15.43</v>
      </c>
      <c r="M398" s="33" t="n">
        <v>1</v>
      </c>
      <c r="N398" s="34" t="n">
        <f aca="false">ROUND(L398*M398,2)</f>
        <v>15.43</v>
      </c>
    </row>
    <row r="399" customFormat="false" ht="15" hidden="false" customHeight="false" outlineLevel="0" collapsed="false">
      <c r="A399" s="37" t="s">
        <v>269</v>
      </c>
      <c r="F399" s="38" t="n">
        <f aca="false">ROUND((SUM(F391:F398)-F398)*1.1+F398,2)</f>
        <v>73.97</v>
      </c>
      <c r="J399" s="39" t="n">
        <f aca="false">ROUND(SUM(J391:J398),2)</f>
        <v>337.55</v>
      </c>
      <c r="N399" s="40" t="n">
        <f aca="false">ROUND(SUM(N391:N398),2)</f>
        <v>309.28</v>
      </c>
    </row>
    <row r="400" customFormat="false" ht="15" hidden="false" customHeight="false" outlineLevel="0" collapsed="false">
      <c r="A400" s="15" t="s">
        <v>270</v>
      </c>
      <c r="B400" s="41" t="n">
        <f aca="false">IF((F393+F391+F395+F392+F394)=0,"",((F393+F391+F395+F392+F394)-(B393*D393+B391*D391+B395*D395+B392*D392+B394*D394))/(F393+F391+F395+F392+F394))</f>
        <v>0.213798965379494</v>
      </c>
      <c r="D400" s="42" t="str">
        <f aca="false">IF(B400="","SIN PC",IF(B400&gt;=Detalle!$G$1,"APROBAR",IF(B400&gt;=0.2,"REVISAR","RECHAZAR")))</f>
        <v>REVISAR</v>
      </c>
      <c r="E400" s="42"/>
      <c r="F400" s="42"/>
    </row>
    <row r="401" customFormat="false" ht="15" hidden="false" customHeight="false" outlineLevel="0" collapsed="false">
      <c r="A401" s="44" t="s">
        <v>379</v>
      </c>
      <c r="B401" s="44"/>
      <c r="C401" s="44"/>
      <c r="D401" s="44"/>
      <c r="E401" s="44"/>
      <c r="F401" s="44"/>
    </row>
    <row r="402" customFormat="false" ht="15" hidden="false" customHeight="false" outlineLevel="0" collapsed="false">
      <c r="A402" s="45" t="s">
        <v>247</v>
      </c>
      <c r="B402" s="45" t="s">
        <v>380</v>
      </c>
      <c r="D402" s="45" t="s">
        <v>381</v>
      </c>
      <c r="E402" s="45" t="s">
        <v>382</v>
      </c>
      <c r="F402" s="45" t="s">
        <v>256</v>
      </c>
    </row>
    <row r="403" customFormat="false" ht="15" hidden="false" customHeight="false" outlineLevel="0" collapsed="false">
      <c r="A403" s="46" t="s">
        <v>383</v>
      </c>
      <c r="B403" s="47" t="n">
        <v>23</v>
      </c>
      <c r="C403" s="48"/>
      <c r="D403" s="26" t="n">
        <v>0.06</v>
      </c>
      <c r="E403" s="48"/>
      <c r="F403" s="49" t="n">
        <f aca="false">ROUND(B403*D403,2)</f>
        <v>1.38</v>
      </c>
      <c r="H403" s="56" t="s">
        <v>471</v>
      </c>
    </row>
    <row r="404" customFormat="false" ht="15" hidden="false" customHeight="false" outlineLevel="0" collapsed="false">
      <c r="A404" s="46" t="s">
        <v>384</v>
      </c>
      <c r="B404" s="48"/>
      <c r="C404" s="48"/>
      <c r="D404" s="48"/>
      <c r="E404" s="50" t="n">
        <v>0.06</v>
      </c>
      <c r="F404" s="49" t="n">
        <v>0.31</v>
      </c>
    </row>
    <row r="405" customFormat="false" ht="15" hidden="false" customHeight="false" outlineLevel="0" collapsed="false">
      <c r="A405" s="51" t="s">
        <v>385</v>
      </c>
      <c r="B405" s="48"/>
      <c r="C405" s="48"/>
      <c r="D405" s="48"/>
      <c r="E405" s="48"/>
      <c r="F405" s="52" t="n">
        <f aca="false">F403-F404</f>
        <v>1.07</v>
      </c>
    </row>
    <row r="407" customFormat="false" ht="15" hidden="false" customHeight="false" outlineLevel="0" collapsed="false">
      <c r="A407" s="11" t="s">
        <v>472</v>
      </c>
      <c r="B407" s="11"/>
      <c r="C407" s="11"/>
      <c r="D407" s="11"/>
      <c r="E407" s="11"/>
      <c r="F407" s="11"/>
      <c r="H407" s="11" t="s">
        <v>473</v>
      </c>
      <c r="I407" s="11"/>
      <c r="J407" s="11"/>
      <c r="K407" s="11"/>
      <c r="L407" s="11"/>
      <c r="M407" s="11"/>
      <c r="N407" s="11"/>
      <c r="P407" s="14" t="s">
        <v>246</v>
      </c>
    </row>
    <row r="408" customFormat="false" ht="15" hidden="false" customHeight="false" outlineLevel="0" collapsed="false">
      <c r="A408" s="15" t="s">
        <v>247</v>
      </c>
      <c r="B408" s="16" t="s">
        <v>248</v>
      </c>
      <c r="C408" s="17"/>
      <c r="D408" s="17"/>
      <c r="E408" s="17"/>
      <c r="F408" s="17"/>
      <c r="H408" s="18" t="s">
        <v>474</v>
      </c>
      <c r="I408" s="19"/>
      <c r="J408" s="19"/>
      <c r="L408" s="20" t="s">
        <v>475</v>
      </c>
      <c r="M408" s="21"/>
      <c r="N408" s="21"/>
      <c r="P408" s="14" t="s">
        <v>476</v>
      </c>
    </row>
    <row r="409" customFormat="false" ht="15" hidden="false" customHeight="false" outlineLevel="0" collapsed="false">
      <c r="B409" s="3" t="s">
        <v>252</v>
      </c>
      <c r="C409" s="3" t="s">
        <v>253</v>
      </c>
      <c r="D409" s="3" t="s">
        <v>254</v>
      </c>
      <c r="E409" s="3" t="s">
        <v>255</v>
      </c>
      <c r="F409" s="3" t="s">
        <v>256</v>
      </c>
      <c r="H409" s="22" t="s">
        <v>252</v>
      </c>
      <c r="I409" s="22" t="s">
        <v>255</v>
      </c>
      <c r="J409" s="22" t="s">
        <v>256</v>
      </c>
      <c r="L409" s="23" t="s">
        <v>252</v>
      </c>
      <c r="M409" s="23" t="s">
        <v>255</v>
      </c>
      <c r="N409" s="23" t="s">
        <v>256</v>
      </c>
      <c r="P409" s="14" t="s">
        <v>477</v>
      </c>
    </row>
    <row r="410" customFormat="false" ht="15" hidden="false" customHeight="false" outlineLevel="0" collapsed="false">
      <c r="A410" s="24" t="s">
        <v>258</v>
      </c>
      <c r="B410" s="25" t="n">
        <v>8.3</v>
      </c>
      <c r="C410" s="25" t="n">
        <v>30</v>
      </c>
      <c r="D410" s="26" t="n">
        <v>3.345</v>
      </c>
      <c r="E410" s="27" t="n">
        <v>3.85</v>
      </c>
      <c r="F410" s="28" t="n">
        <f aca="false">ROUND(B410*E410,2)</f>
        <v>31.96</v>
      </c>
      <c r="H410" s="29" t="n">
        <v>8.3</v>
      </c>
      <c r="I410" s="30" t="n">
        <v>3.85</v>
      </c>
      <c r="J410" s="31" t="n">
        <f aca="false">ROUND(H410*I410,2)</f>
        <v>31.96</v>
      </c>
      <c r="L410" s="32" t="n">
        <v>8.3</v>
      </c>
      <c r="M410" s="33" t="n">
        <v>3.85</v>
      </c>
      <c r="N410" s="34" t="n">
        <f aca="false">ROUND(L410*M410,2)</f>
        <v>31.96</v>
      </c>
      <c r="P410" s="35" t="s">
        <v>478</v>
      </c>
    </row>
    <row r="411" customFormat="false" ht="15" hidden="false" customHeight="false" outlineLevel="0" collapsed="false">
      <c r="A411" s="24" t="s">
        <v>260</v>
      </c>
      <c r="B411" s="25" t="n">
        <v>8.3</v>
      </c>
      <c r="C411" s="25" t="n">
        <v>30</v>
      </c>
      <c r="D411" s="26" t="n">
        <v>1.095</v>
      </c>
      <c r="E411" s="27" t="n">
        <v>1.33</v>
      </c>
      <c r="F411" s="28" t="n">
        <f aca="false">ROUND(B411*E411,2)</f>
        <v>11.04</v>
      </c>
      <c r="H411" s="29" t="n">
        <v>8.3</v>
      </c>
      <c r="I411" s="30" t="n">
        <v>1.33</v>
      </c>
      <c r="J411" s="31" t="n">
        <f aca="false">ROUND(H411*I411,2)</f>
        <v>11.04</v>
      </c>
      <c r="L411" s="32" t="n">
        <v>8.3</v>
      </c>
      <c r="M411" s="33" t="n">
        <v>1.33</v>
      </c>
      <c r="N411" s="34" t="n">
        <f aca="false">ROUND(L411*M411,2)</f>
        <v>11.04</v>
      </c>
      <c r="P411" s="36" t="s">
        <v>261</v>
      </c>
    </row>
    <row r="412" customFormat="false" ht="15" hidden="false" customHeight="false" outlineLevel="0" collapsed="false">
      <c r="A412" s="24" t="s">
        <v>262</v>
      </c>
      <c r="B412" s="25" t="n">
        <v>104.47</v>
      </c>
      <c r="C412" s="25" t="n">
        <v>30</v>
      </c>
      <c r="D412" s="26" t="n">
        <v>0.109</v>
      </c>
      <c r="E412" s="27" t="n">
        <v>0.13788</v>
      </c>
      <c r="F412" s="28" t="n">
        <f aca="false">ROUND(B412*E412,2)</f>
        <v>14.4</v>
      </c>
      <c r="H412" s="29" t="n">
        <v>5.929</v>
      </c>
      <c r="I412" s="30" t="n">
        <v>0.13788</v>
      </c>
      <c r="J412" s="31" t="n">
        <f aca="false">ROUND(H412*I412,2)</f>
        <v>0.82</v>
      </c>
      <c r="L412" s="32" t="n">
        <v>120.235</v>
      </c>
      <c r="M412" s="33" t="n">
        <v>0.13788</v>
      </c>
      <c r="N412" s="34" t="n">
        <f aca="false">ROUND(L412*M412,2)</f>
        <v>16.58</v>
      </c>
      <c r="P412" s="35" t="s">
        <v>479</v>
      </c>
    </row>
    <row r="413" customFormat="false" ht="15" hidden="false" customHeight="false" outlineLevel="0" collapsed="false">
      <c r="A413" s="24" t="s">
        <v>264</v>
      </c>
      <c r="B413" s="25" t="n">
        <v>84.773</v>
      </c>
      <c r="C413" s="25" t="n">
        <v>30</v>
      </c>
      <c r="D413" s="26" t="n">
        <v>0.109</v>
      </c>
      <c r="E413" s="27" t="n">
        <v>0.13788</v>
      </c>
      <c r="F413" s="28" t="n">
        <f aca="false">ROUND(B413*E413,2)</f>
        <v>11.69</v>
      </c>
      <c r="H413" s="29" t="n">
        <v>3.883</v>
      </c>
      <c r="I413" s="30" t="n">
        <v>0.13788</v>
      </c>
      <c r="J413" s="31" t="n">
        <f aca="false">ROUND(H413*I413,2)</f>
        <v>0.54</v>
      </c>
      <c r="L413" s="32" t="n">
        <v>77.48</v>
      </c>
      <c r="M413" s="33" t="n">
        <v>0.13788</v>
      </c>
      <c r="N413" s="34" t="n">
        <f aca="false">ROUND(L413*M413,2)</f>
        <v>10.68</v>
      </c>
    </row>
    <row r="414" customFormat="false" ht="15" hidden="false" customHeight="false" outlineLevel="0" collapsed="false">
      <c r="A414" s="24" t="s">
        <v>265</v>
      </c>
      <c r="B414" s="25" t="n">
        <v>351.174</v>
      </c>
      <c r="C414" s="25" t="n">
        <v>30</v>
      </c>
      <c r="D414" s="26" t="n">
        <v>0.109</v>
      </c>
      <c r="E414" s="27" t="n">
        <v>0.13788</v>
      </c>
      <c r="F414" s="28" t="n">
        <f aca="false">ROUND(B414*E414,2)</f>
        <v>48.42</v>
      </c>
      <c r="H414" s="29" t="n">
        <v>19.319</v>
      </c>
      <c r="I414" s="30" t="n">
        <v>0.13788</v>
      </c>
      <c r="J414" s="31" t="n">
        <f aca="false">ROUND(H414*I414,2)</f>
        <v>2.66</v>
      </c>
      <c r="L414" s="32" t="n">
        <v>304.41</v>
      </c>
      <c r="M414" s="33" t="n">
        <v>0.13788</v>
      </c>
      <c r="N414" s="34" t="n">
        <f aca="false">ROUND(L414*M414,2)</f>
        <v>41.97</v>
      </c>
    </row>
    <row r="415" customFormat="false" ht="15" hidden="false" customHeight="false" outlineLevel="0" collapsed="false">
      <c r="A415" s="24" t="s">
        <v>266</v>
      </c>
      <c r="B415" s="25" t="n">
        <v>1</v>
      </c>
      <c r="C415" s="25" t="n">
        <v>30</v>
      </c>
      <c r="D415" s="26" t="n">
        <v>1.3414</v>
      </c>
      <c r="E415" s="27" t="n">
        <v>3</v>
      </c>
      <c r="F415" s="28" t="n">
        <f aca="false">ROUND(B415*E415,2)</f>
        <v>3</v>
      </c>
      <c r="H415" s="29" t="n">
        <v>1</v>
      </c>
      <c r="I415" s="30" t="n">
        <v>3</v>
      </c>
      <c r="J415" s="31" t="n">
        <f aca="false">ROUND(H415*I415,2)</f>
        <v>3</v>
      </c>
      <c r="L415" s="32" t="n">
        <v>1</v>
      </c>
      <c r="M415" s="33" t="n">
        <v>3</v>
      </c>
      <c r="N415" s="34" t="n">
        <f aca="false">ROUND(L415*M415,2)</f>
        <v>3</v>
      </c>
    </row>
    <row r="416" customFormat="false" ht="15" hidden="false" customHeight="false" outlineLevel="0" collapsed="false">
      <c r="A416" s="24" t="s">
        <v>267</v>
      </c>
      <c r="B416" s="25" t="n">
        <v>30</v>
      </c>
      <c r="C416" s="25" t="n">
        <v>30</v>
      </c>
      <c r="D416" s="26" t="n">
        <v>0.5736</v>
      </c>
      <c r="E416" s="27" t="n">
        <v>0.01274</v>
      </c>
      <c r="F416" s="28" t="n">
        <f aca="false">ROUND(B416*E416,2)</f>
        <v>0.38</v>
      </c>
      <c r="H416" s="29" t="n">
        <v>30</v>
      </c>
      <c r="I416" s="30" t="n">
        <v>0.01274</v>
      </c>
      <c r="J416" s="31" t="n">
        <f aca="false">ROUND(H416*I416,2)</f>
        <v>0.38</v>
      </c>
      <c r="L416" s="32" t="n">
        <v>30</v>
      </c>
      <c r="M416" s="33" t="n">
        <v>0.00629</v>
      </c>
      <c r="N416" s="34" t="n">
        <f aca="false">ROUND(L416*M416,2)</f>
        <v>0.19</v>
      </c>
    </row>
    <row r="417" customFormat="false" ht="15" hidden="false" customHeight="false" outlineLevel="0" collapsed="false">
      <c r="A417" s="24" t="s">
        <v>268</v>
      </c>
      <c r="B417" s="25" t="n">
        <v>5.25</v>
      </c>
      <c r="C417" s="25" t="n">
        <v>30</v>
      </c>
      <c r="D417" s="26" t="n">
        <v>0.24372</v>
      </c>
      <c r="E417" s="27" t="n">
        <v>1</v>
      </c>
      <c r="F417" s="28" t="n">
        <f aca="false">ROUND(B417*E417,2)</f>
        <v>5.25</v>
      </c>
      <c r="H417" s="29" t="n">
        <v>2.21</v>
      </c>
      <c r="I417" s="30" t="n">
        <v>1</v>
      </c>
      <c r="J417" s="31" t="n">
        <f aca="false">ROUND(H417*I417,2)</f>
        <v>2.21</v>
      </c>
      <c r="L417" s="32" t="n">
        <v>4.54</v>
      </c>
      <c r="M417" s="33" t="n">
        <v>1</v>
      </c>
      <c r="N417" s="34" t="n">
        <f aca="false">ROUND(L417*M417,2)</f>
        <v>4.54</v>
      </c>
    </row>
    <row r="418" customFormat="false" ht="15" hidden="false" customHeight="false" outlineLevel="0" collapsed="false">
      <c r="A418" s="37" t="s">
        <v>269</v>
      </c>
      <c r="F418" s="38" t="n">
        <f aca="false">ROUND((SUM(F410:F417)-F417)*1.1+F417,2)</f>
        <v>138.23</v>
      </c>
      <c r="J418" s="39" t="n">
        <f aca="false">ROUND(SUM(J410:J417),2)</f>
        <v>52.61</v>
      </c>
      <c r="N418" s="40" t="n">
        <f aca="false">ROUND(SUM(N410:N417),2)</f>
        <v>119.96</v>
      </c>
    </row>
    <row r="419" customFormat="false" ht="15" hidden="false" customHeight="false" outlineLevel="0" collapsed="false">
      <c r="A419" s="15" t="s">
        <v>270</v>
      </c>
      <c r="B419" s="41" t="n">
        <f aca="false">IF((F412+F410+F414+F411+F413)=0,"",((F412+F410+F414+F411+F413)-(B412*D412+B410*D410+B414*D414+B411*D411+B413*D413))/(F412+F410+F414+F411+F413))</f>
        <v>0.185112305335716</v>
      </c>
      <c r="D419" s="42" t="str">
        <f aca="false">IF(B419="","SIN PC",IF(B419&gt;=Detalle!$G$1,"APROBAR",IF(B419&gt;=0.2,"REVISAR","RECHAZAR")))</f>
        <v>RECHAZAR</v>
      </c>
      <c r="E419" s="42"/>
      <c r="F419" s="42"/>
    </row>
    <row r="420" customFormat="false" ht="15" hidden="false" customHeight="false" outlineLevel="0" collapsed="false">
      <c r="A420" s="44" t="s">
        <v>379</v>
      </c>
      <c r="B420" s="44"/>
      <c r="C420" s="44"/>
      <c r="D420" s="44"/>
      <c r="E420" s="44"/>
      <c r="F420" s="44"/>
    </row>
    <row r="421" customFormat="false" ht="15" hidden="false" customHeight="false" outlineLevel="0" collapsed="false">
      <c r="A421" s="45" t="s">
        <v>247</v>
      </c>
      <c r="B421" s="45" t="s">
        <v>380</v>
      </c>
      <c r="D421" s="45" t="s">
        <v>381</v>
      </c>
      <c r="E421" s="45" t="s">
        <v>382</v>
      </c>
      <c r="F421" s="45" t="s">
        <v>256</v>
      </c>
    </row>
    <row r="422" customFormat="false" ht="15" hidden="false" customHeight="false" outlineLevel="0" collapsed="false">
      <c r="A422" s="46" t="s">
        <v>383</v>
      </c>
      <c r="B422" s="47" t="n">
        <v>336</v>
      </c>
      <c r="C422" s="48"/>
      <c r="D422" s="26" t="n">
        <v>0.06</v>
      </c>
      <c r="E422" s="48"/>
      <c r="F422" s="49" t="n">
        <f aca="false">ROUND(B422*D422,2)</f>
        <v>20.16</v>
      </c>
    </row>
    <row r="423" customFormat="false" ht="15" hidden="false" customHeight="false" outlineLevel="0" collapsed="false">
      <c r="A423" s="46" t="s">
        <v>384</v>
      </c>
      <c r="B423" s="48"/>
      <c r="C423" s="48"/>
      <c r="D423" s="48"/>
      <c r="E423" s="50" t="n">
        <v>0.1</v>
      </c>
      <c r="F423" s="49" t="n">
        <v>14.87</v>
      </c>
    </row>
    <row r="424" customFormat="false" ht="15" hidden="false" customHeight="false" outlineLevel="0" collapsed="false">
      <c r="A424" s="51" t="s">
        <v>385</v>
      </c>
      <c r="B424" s="48"/>
      <c r="C424" s="48"/>
      <c r="D424" s="48"/>
      <c r="E424" s="48"/>
      <c r="F424" s="52" t="n">
        <f aca="false">F422-F423</f>
        <v>5.29</v>
      </c>
    </row>
    <row r="426" customFormat="false" ht="15" hidden="false" customHeight="false" outlineLevel="0" collapsed="false">
      <c r="A426" s="11" t="s">
        <v>480</v>
      </c>
      <c r="B426" s="11"/>
      <c r="C426" s="11"/>
      <c r="D426" s="11"/>
      <c r="E426" s="11"/>
      <c r="F426" s="11"/>
      <c r="H426" s="11" t="s">
        <v>448</v>
      </c>
      <c r="I426" s="11"/>
      <c r="J426" s="11"/>
      <c r="K426" s="11"/>
      <c r="L426" s="11"/>
      <c r="M426" s="11"/>
      <c r="N426" s="11"/>
      <c r="P426" s="14" t="s">
        <v>246</v>
      </c>
    </row>
    <row r="427" customFormat="false" ht="15" hidden="false" customHeight="false" outlineLevel="0" collapsed="false">
      <c r="A427" s="15" t="s">
        <v>247</v>
      </c>
      <c r="B427" s="16" t="s">
        <v>248</v>
      </c>
      <c r="C427" s="17"/>
      <c r="D427" s="17"/>
      <c r="E427" s="17"/>
      <c r="F427" s="17"/>
      <c r="H427" s="18" t="s">
        <v>449</v>
      </c>
      <c r="I427" s="19"/>
      <c r="J427" s="19"/>
      <c r="L427" s="20" t="s">
        <v>450</v>
      </c>
      <c r="M427" s="21"/>
      <c r="N427" s="21"/>
      <c r="P427" s="14" t="s">
        <v>451</v>
      </c>
    </row>
    <row r="428" customFormat="false" ht="15" hidden="false" customHeight="false" outlineLevel="0" collapsed="false">
      <c r="B428" s="3" t="s">
        <v>252</v>
      </c>
      <c r="C428" s="3" t="s">
        <v>253</v>
      </c>
      <c r="D428" s="3" t="s">
        <v>254</v>
      </c>
      <c r="E428" s="3" t="s">
        <v>255</v>
      </c>
      <c r="F428" s="3" t="s">
        <v>256</v>
      </c>
      <c r="H428" s="22" t="s">
        <v>252</v>
      </c>
      <c r="I428" s="22" t="s">
        <v>255</v>
      </c>
      <c r="J428" s="22" t="s">
        <v>256</v>
      </c>
      <c r="L428" s="23" t="s">
        <v>252</v>
      </c>
      <c r="M428" s="23" t="s">
        <v>255</v>
      </c>
      <c r="N428" s="23" t="s">
        <v>256</v>
      </c>
      <c r="P428" s="14" t="s">
        <v>452</v>
      </c>
    </row>
    <row r="429" customFormat="false" ht="15" hidden="false" customHeight="false" outlineLevel="0" collapsed="false">
      <c r="A429" s="24" t="s">
        <v>258</v>
      </c>
      <c r="B429" s="25" t="n">
        <v>6.93</v>
      </c>
      <c r="C429" s="25" t="n">
        <v>30</v>
      </c>
      <c r="D429" s="26" t="n">
        <v>3.4086</v>
      </c>
      <c r="E429" s="27" t="n">
        <v>4.17</v>
      </c>
      <c r="F429" s="28" t="n">
        <f aca="false">ROUND(B429*E429,2)</f>
        <v>28.9</v>
      </c>
      <c r="H429" s="29" t="n">
        <v>6.93</v>
      </c>
      <c r="I429" s="30" t="n">
        <v>4.17</v>
      </c>
      <c r="J429" s="31" t="n">
        <f aca="false">ROUND(H429*I429,2)</f>
        <v>28.9</v>
      </c>
      <c r="L429" s="32" t="n">
        <v>6.93</v>
      </c>
      <c r="M429" s="33" t="n">
        <v>4.17</v>
      </c>
      <c r="N429" s="34" t="n">
        <f aca="false">ROUND(L429*M429,2)</f>
        <v>28.9</v>
      </c>
      <c r="P429" s="35" t="s">
        <v>453</v>
      </c>
    </row>
    <row r="430" customFormat="false" ht="15" hidden="false" customHeight="false" outlineLevel="0" collapsed="false">
      <c r="A430" s="24" t="s">
        <v>260</v>
      </c>
      <c r="B430" s="25" t="n">
        <v>6.93</v>
      </c>
      <c r="C430" s="25" t="n">
        <v>30</v>
      </c>
      <c r="D430" s="26" t="n">
        <v>1.09728</v>
      </c>
      <c r="E430" s="27" t="n">
        <v>1.37</v>
      </c>
      <c r="F430" s="28" t="n">
        <f aca="false">ROUND(B430*E430,2)</f>
        <v>9.49</v>
      </c>
      <c r="H430" s="29" t="n">
        <v>6.93</v>
      </c>
      <c r="I430" s="30" t="n">
        <v>1.37</v>
      </c>
      <c r="J430" s="31" t="n">
        <f aca="false">ROUND(H430*I430,2)</f>
        <v>9.49</v>
      </c>
      <c r="L430" s="32" t="n">
        <v>6.93</v>
      </c>
      <c r="M430" s="33" t="n">
        <v>1.37</v>
      </c>
      <c r="N430" s="34" t="n">
        <f aca="false">ROUND(L430*M430,2)</f>
        <v>9.49</v>
      </c>
      <c r="P430" s="36" t="s">
        <v>261</v>
      </c>
    </row>
    <row r="431" customFormat="false" ht="15" hidden="false" customHeight="false" outlineLevel="0" collapsed="false">
      <c r="A431" s="24" t="s">
        <v>262</v>
      </c>
      <c r="B431" s="25" t="n">
        <v>65.059</v>
      </c>
      <c r="C431" s="25" t="n">
        <v>30</v>
      </c>
      <c r="D431" s="26" t="n">
        <v>0.110306</v>
      </c>
      <c r="E431" s="27" t="n">
        <v>0.14937</v>
      </c>
      <c r="F431" s="28" t="n">
        <f aca="false">ROUND(B431*E431,2)</f>
        <v>9.72</v>
      </c>
      <c r="H431" s="29" t="n">
        <v>151.137</v>
      </c>
      <c r="I431" s="30" t="n">
        <v>0.14937</v>
      </c>
      <c r="J431" s="31" t="n">
        <f aca="false">ROUND(H431*I431,2)</f>
        <v>22.58</v>
      </c>
      <c r="L431" s="32" t="n">
        <v>27.198</v>
      </c>
      <c r="M431" s="33" t="n">
        <v>0.14937</v>
      </c>
      <c r="N431" s="34" t="n">
        <f aca="false">ROUND(L431*M431,2)</f>
        <v>4.06</v>
      </c>
      <c r="P431" s="35" t="s">
        <v>454</v>
      </c>
    </row>
    <row r="432" customFormat="false" ht="15" hidden="false" customHeight="false" outlineLevel="0" collapsed="false">
      <c r="A432" s="24" t="s">
        <v>264</v>
      </c>
      <c r="B432" s="25" t="n">
        <v>41.968</v>
      </c>
      <c r="C432" s="25" t="n">
        <v>30</v>
      </c>
      <c r="D432" s="26" t="n">
        <v>0.110306</v>
      </c>
      <c r="E432" s="27" t="n">
        <v>0.14937</v>
      </c>
      <c r="F432" s="28" t="n">
        <f aca="false">ROUND(B432*E432,2)</f>
        <v>6.27</v>
      </c>
      <c r="H432" s="29" t="n">
        <v>123.193</v>
      </c>
      <c r="I432" s="30" t="n">
        <v>0.14937</v>
      </c>
      <c r="J432" s="31" t="n">
        <f aca="false">ROUND(H432*I432,2)</f>
        <v>18.4</v>
      </c>
      <c r="L432" s="32" t="n">
        <v>22.981</v>
      </c>
      <c r="M432" s="33" t="n">
        <v>0.14937</v>
      </c>
      <c r="N432" s="34" t="n">
        <f aca="false">ROUND(L432*M432,2)</f>
        <v>3.43</v>
      </c>
    </row>
    <row r="433" customFormat="false" ht="15" hidden="false" customHeight="false" outlineLevel="0" collapsed="false">
      <c r="A433" s="24" t="s">
        <v>265</v>
      </c>
      <c r="B433" s="25" t="n">
        <v>205.282</v>
      </c>
      <c r="C433" s="25" t="n">
        <v>30</v>
      </c>
      <c r="D433" s="26" t="n">
        <v>0.110306</v>
      </c>
      <c r="E433" s="27" t="n">
        <v>0.14937</v>
      </c>
      <c r="F433" s="28" t="n">
        <f aca="false">ROUND(B433*E433,2)</f>
        <v>30.66</v>
      </c>
      <c r="H433" s="29" t="n">
        <v>361.742</v>
      </c>
      <c r="I433" s="30" t="n">
        <v>0.14937</v>
      </c>
      <c r="J433" s="31" t="n">
        <f aca="false">ROUND(H433*I433,2)</f>
        <v>54.03</v>
      </c>
      <c r="L433" s="32" t="n">
        <v>44.96</v>
      </c>
      <c r="M433" s="33" t="n">
        <v>0.14937</v>
      </c>
      <c r="N433" s="34" t="n">
        <f aca="false">ROUND(L433*M433,2)</f>
        <v>6.72</v>
      </c>
    </row>
    <row r="434" customFormat="false" ht="15" hidden="false" customHeight="false" outlineLevel="0" collapsed="false">
      <c r="A434" s="24" t="s">
        <v>266</v>
      </c>
      <c r="B434" s="25" t="n">
        <v>1</v>
      </c>
      <c r="C434" s="25" t="n">
        <v>30</v>
      </c>
      <c r="D434" s="26" t="n">
        <v>1.3414</v>
      </c>
      <c r="E434" s="27" t="n">
        <v>4</v>
      </c>
      <c r="F434" s="28" t="n">
        <f aca="false">ROUND(B434*E434,2)</f>
        <v>4</v>
      </c>
      <c r="H434" s="29" t="n">
        <v>1</v>
      </c>
      <c r="I434" s="30" t="n">
        <v>4</v>
      </c>
      <c r="J434" s="31" t="n">
        <f aca="false">ROUND(H434*I434,2)</f>
        <v>4</v>
      </c>
      <c r="L434" s="32" t="n">
        <v>1</v>
      </c>
      <c r="M434" s="33" t="n">
        <v>4</v>
      </c>
      <c r="N434" s="34" t="n">
        <f aca="false">ROUND(L434*M434,2)</f>
        <v>4</v>
      </c>
    </row>
    <row r="435" customFormat="false" ht="15" hidden="false" customHeight="false" outlineLevel="0" collapsed="false">
      <c r="A435" s="24" t="s">
        <v>267</v>
      </c>
      <c r="B435" s="25" t="n">
        <v>30</v>
      </c>
      <c r="C435" s="25" t="n">
        <v>30</v>
      </c>
      <c r="D435" s="26" t="n">
        <v>0.5736</v>
      </c>
      <c r="E435" s="27" t="n">
        <v>0.01274</v>
      </c>
      <c r="F435" s="28" t="n">
        <f aca="false">ROUND(B435*E435,2)</f>
        <v>0.38</v>
      </c>
      <c r="H435" s="29" t="n">
        <v>30</v>
      </c>
      <c r="I435" s="30" t="n">
        <v>0.01274</v>
      </c>
      <c r="J435" s="31" t="n">
        <f aca="false">ROUND(H435*I435,2)</f>
        <v>0.38</v>
      </c>
      <c r="L435" s="32" t="n">
        <v>30</v>
      </c>
      <c r="M435" s="33" t="n">
        <v>0.00629</v>
      </c>
      <c r="N435" s="34" t="n">
        <f aca="false">ROUND(L435*M435,2)</f>
        <v>0.19</v>
      </c>
    </row>
    <row r="436" customFormat="false" ht="15" hidden="false" customHeight="false" outlineLevel="0" collapsed="false">
      <c r="A436" s="24" t="s">
        <v>268</v>
      </c>
      <c r="B436" s="25" t="n">
        <v>3.12</v>
      </c>
      <c r="C436" s="25" t="n">
        <v>30</v>
      </c>
      <c r="D436" s="26" t="n">
        <v>0.24729</v>
      </c>
      <c r="E436" s="27" t="n">
        <v>1</v>
      </c>
      <c r="F436" s="28" t="n">
        <f aca="false">ROUND(B436*E436,2)</f>
        <v>3.12</v>
      </c>
      <c r="H436" s="29" t="n">
        <v>6.09</v>
      </c>
      <c r="I436" s="30" t="n">
        <v>1</v>
      </c>
      <c r="J436" s="31" t="n">
        <f aca="false">ROUND(H436*I436,2)</f>
        <v>6.09</v>
      </c>
      <c r="L436" s="32" t="n">
        <v>1.97</v>
      </c>
      <c r="M436" s="33" t="n">
        <v>1</v>
      </c>
      <c r="N436" s="34" t="n">
        <f aca="false">ROUND(L436*M436,2)</f>
        <v>1.97</v>
      </c>
    </row>
    <row r="437" customFormat="false" ht="15" hidden="false" customHeight="false" outlineLevel="0" collapsed="false">
      <c r="A437" s="37" t="s">
        <v>269</v>
      </c>
      <c r="F437" s="38" t="n">
        <f aca="false">ROUND((SUM(F429:F436)-F436)*1.1+F436,2)</f>
        <v>101.48</v>
      </c>
      <c r="J437" s="39" t="n">
        <f aca="false">ROUND(SUM(J429:J436),2)</f>
        <v>143.87</v>
      </c>
      <c r="N437" s="40" t="n">
        <f aca="false">ROUND(SUM(N429:N436),2)</f>
        <v>58.76</v>
      </c>
    </row>
    <row r="438" customFormat="false" ht="15" hidden="false" customHeight="false" outlineLevel="0" collapsed="false">
      <c r="A438" s="15" t="s">
        <v>270</v>
      </c>
      <c r="B438" s="41" t="n">
        <f aca="false">IF((F431+F429+F433+F430+F432)=0,"",((F431+F429+F433+F430+F432)-(B431*D431+B429*D429+B433*D433+B430*D430+B432*D432))/(F431+F429+F433+F430+F432))</f>
        <v>0.227712782761054</v>
      </c>
      <c r="D438" s="42" t="str">
        <f aca="false">IF(B438="","SIN PC",IF(B438&gt;=Detalle!$G$1,"APROBAR",IF(B438&gt;=0.2,"REVISAR","RECHAZAR")))</f>
        <v>REVISAR</v>
      </c>
      <c r="E438" s="42"/>
      <c r="F438" s="42"/>
    </row>
    <row r="439" customFormat="false" ht="15" hidden="false" customHeight="false" outlineLevel="0" collapsed="false">
      <c r="A439" s="44" t="s">
        <v>379</v>
      </c>
      <c r="B439" s="44"/>
      <c r="C439" s="44"/>
      <c r="D439" s="44"/>
      <c r="E439" s="44"/>
      <c r="F439" s="44"/>
    </row>
    <row r="440" customFormat="false" ht="15" hidden="false" customHeight="false" outlineLevel="0" collapsed="false">
      <c r="A440" s="45" t="s">
        <v>247</v>
      </c>
      <c r="B440" s="45" t="s">
        <v>380</v>
      </c>
      <c r="D440" s="45" t="s">
        <v>381</v>
      </c>
      <c r="E440" s="45" t="s">
        <v>382</v>
      </c>
      <c r="F440" s="45" t="s">
        <v>256</v>
      </c>
    </row>
    <row r="441" customFormat="false" ht="15" hidden="false" customHeight="false" outlineLevel="0" collapsed="false">
      <c r="A441" s="46" t="s">
        <v>383</v>
      </c>
      <c r="B441" s="47" t="n">
        <v>482</v>
      </c>
      <c r="C441" s="48"/>
      <c r="D441" s="26" t="n">
        <v>0.06</v>
      </c>
      <c r="E441" s="48"/>
      <c r="F441" s="49" t="n">
        <f aca="false">ROUND(B441*D441,2)</f>
        <v>28.92</v>
      </c>
    </row>
    <row r="442" customFormat="false" ht="15" hidden="false" customHeight="false" outlineLevel="0" collapsed="false">
      <c r="A442" s="46" t="s">
        <v>384</v>
      </c>
      <c r="B442" s="48"/>
      <c r="C442" s="48"/>
      <c r="D442" s="48"/>
      <c r="E442" s="50" t="n">
        <v>0.06</v>
      </c>
      <c r="F442" s="49" t="n">
        <v>24.22</v>
      </c>
    </row>
    <row r="443" customFormat="false" ht="15" hidden="false" customHeight="false" outlineLevel="0" collapsed="false">
      <c r="A443" s="51" t="s">
        <v>385</v>
      </c>
      <c r="B443" s="48"/>
      <c r="C443" s="48"/>
      <c r="D443" s="48"/>
      <c r="E443" s="48"/>
      <c r="F443" s="52" t="n">
        <f aca="false">F441-F442</f>
        <v>4.7</v>
      </c>
    </row>
    <row r="445" customFormat="false" ht="15" hidden="false" customHeight="false" outlineLevel="0" collapsed="false">
      <c r="A445" s="11" t="s">
        <v>481</v>
      </c>
      <c r="B445" s="11"/>
      <c r="C445" s="11"/>
      <c r="D445" s="11"/>
      <c r="E445" s="11"/>
      <c r="F445" s="11"/>
      <c r="H445" s="11" t="s">
        <v>482</v>
      </c>
      <c r="I445" s="11"/>
      <c r="J445" s="11"/>
      <c r="K445" s="11"/>
      <c r="L445" s="11"/>
      <c r="M445" s="11"/>
      <c r="N445" s="11"/>
      <c r="P445" s="14" t="s">
        <v>246</v>
      </c>
    </row>
    <row r="446" customFormat="false" ht="15" hidden="false" customHeight="false" outlineLevel="0" collapsed="false">
      <c r="A446" s="15" t="s">
        <v>247</v>
      </c>
      <c r="B446" s="16" t="s">
        <v>248</v>
      </c>
      <c r="C446" s="17"/>
      <c r="D446" s="17"/>
      <c r="E446" s="17"/>
      <c r="F446" s="17"/>
      <c r="H446" s="18" t="s">
        <v>483</v>
      </c>
      <c r="I446" s="19"/>
      <c r="J446" s="19"/>
      <c r="L446" s="20" t="s">
        <v>484</v>
      </c>
      <c r="M446" s="21"/>
      <c r="N446" s="21"/>
      <c r="P446" s="14" t="s">
        <v>485</v>
      </c>
    </row>
    <row r="447" customFormat="false" ht="15" hidden="false" customHeight="false" outlineLevel="0" collapsed="false">
      <c r="B447" s="3" t="s">
        <v>252</v>
      </c>
      <c r="C447" s="3" t="s">
        <v>253</v>
      </c>
      <c r="D447" s="3" t="s">
        <v>254</v>
      </c>
      <c r="E447" s="3" t="s">
        <v>255</v>
      </c>
      <c r="F447" s="3" t="s">
        <v>256</v>
      </c>
      <c r="H447" s="22" t="s">
        <v>252</v>
      </c>
      <c r="I447" s="22" t="s">
        <v>255</v>
      </c>
      <c r="J447" s="22" t="s">
        <v>256</v>
      </c>
      <c r="L447" s="23" t="s">
        <v>252</v>
      </c>
      <c r="M447" s="23" t="s">
        <v>255</v>
      </c>
      <c r="N447" s="23" t="s">
        <v>256</v>
      </c>
      <c r="P447" s="14" t="s">
        <v>486</v>
      </c>
    </row>
    <row r="448" customFormat="false" ht="15" hidden="false" customHeight="false" outlineLevel="0" collapsed="false">
      <c r="A448" s="24" t="s">
        <v>258</v>
      </c>
      <c r="B448" s="25" t="n">
        <v>4.6</v>
      </c>
      <c r="C448" s="25" t="n">
        <v>30</v>
      </c>
      <c r="D448" s="26" t="n">
        <v>3.4086</v>
      </c>
      <c r="E448" s="27" t="n">
        <v>4.82</v>
      </c>
      <c r="F448" s="28" t="n">
        <f aca="false">ROUND(B448*E448,2)</f>
        <v>22.17</v>
      </c>
      <c r="H448" s="29" t="n">
        <v>4.6</v>
      </c>
      <c r="I448" s="30" t="n">
        <v>4.82</v>
      </c>
      <c r="J448" s="31" t="n">
        <f aca="false">ROUND(H448*I448,2)</f>
        <v>22.17</v>
      </c>
      <c r="L448" s="32" t="n">
        <v>4.6</v>
      </c>
      <c r="M448" s="33" t="n">
        <v>4.82</v>
      </c>
      <c r="N448" s="34" t="n">
        <f aca="false">ROUND(L448*M448,2)</f>
        <v>22.17</v>
      </c>
      <c r="P448" s="35" t="s">
        <v>487</v>
      </c>
    </row>
    <row r="449" customFormat="false" ht="15" hidden="false" customHeight="false" outlineLevel="0" collapsed="false">
      <c r="A449" s="24" t="s">
        <v>260</v>
      </c>
      <c r="B449" s="25" t="n">
        <v>4.6</v>
      </c>
      <c r="C449" s="25" t="n">
        <v>30</v>
      </c>
      <c r="D449" s="26" t="n">
        <v>1.09728</v>
      </c>
      <c r="E449" s="27" t="n">
        <v>2.3744</v>
      </c>
      <c r="F449" s="28" t="n">
        <f aca="false">ROUND(B449*E449,2)</f>
        <v>10.92</v>
      </c>
      <c r="H449" s="29" t="n">
        <v>4.6</v>
      </c>
      <c r="I449" s="30" t="n">
        <v>2.3744</v>
      </c>
      <c r="J449" s="31" t="n">
        <f aca="false">ROUND(H449*I449,2)</f>
        <v>10.92</v>
      </c>
      <c r="L449" s="32" t="n">
        <v>4.6</v>
      </c>
      <c r="M449" s="33" t="n">
        <v>2.3744</v>
      </c>
      <c r="N449" s="34" t="n">
        <f aca="false">ROUND(L449*M449,2)</f>
        <v>10.92</v>
      </c>
      <c r="P449" s="36" t="s">
        <v>261</v>
      </c>
    </row>
    <row r="450" customFormat="false" ht="15" hidden="false" customHeight="false" outlineLevel="0" collapsed="false">
      <c r="A450" s="24" t="s">
        <v>262</v>
      </c>
      <c r="B450" s="25" t="n">
        <v>7.872</v>
      </c>
      <c r="C450" s="25" t="n">
        <v>30</v>
      </c>
      <c r="D450" s="26" t="n">
        <v>0.110306</v>
      </c>
      <c r="E450" s="27" t="n">
        <v>0.1724</v>
      </c>
      <c r="F450" s="28" t="n">
        <f aca="false">ROUND(B450*E450,2)</f>
        <v>1.36</v>
      </c>
      <c r="H450" s="29" t="n">
        <v>7.514</v>
      </c>
      <c r="I450" s="30" t="n">
        <v>0.1724</v>
      </c>
      <c r="J450" s="31" t="n">
        <f aca="false">ROUND(H450*I450,2)</f>
        <v>1.3</v>
      </c>
      <c r="L450" s="32" t="n">
        <v>58.013</v>
      </c>
      <c r="M450" s="33" t="n">
        <v>0.1724</v>
      </c>
      <c r="N450" s="34" t="n">
        <f aca="false">ROUND(L450*M450,2)</f>
        <v>10</v>
      </c>
      <c r="P450" s="35" t="s">
        <v>488</v>
      </c>
    </row>
    <row r="451" customFormat="false" ht="15" hidden="false" customHeight="false" outlineLevel="0" collapsed="false">
      <c r="A451" s="24" t="s">
        <v>264</v>
      </c>
      <c r="B451" s="25" t="n">
        <v>4.519</v>
      </c>
      <c r="C451" s="25" t="n">
        <v>30</v>
      </c>
      <c r="D451" s="26" t="n">
        <v>0.110306</v>
      </c>
      <c r="E451" s="27" t="n">
        <v>0.1724</v>
      </c>
      <c r="F451" s="28" t="n">
        <f aca="false">ROUND(B451*E451,2)</f>
        <v>0.78</v>
      </c>
      <c r="H451" s="29" t="n">
        <v>6.158</v>
      </c>
      <c r="I451" s="30" t="n">
        <v>0.1724</v>
      </c>
      <c r="J451" s="31" t="n">
        <f aca="false">ROUND(H451*I451,2)</f>
        <v>1.06</v>
      </c>
      <c r="L451" s="32" t="n">
        <v>30.79</v>
      </c>
      <c r="M451" s="33" t="n">
        <v>0.1724</v>
      </c>
      <c r="N451" s="34" t="n">
        <f aca="false">ROUND(L451*M451,2)</f>
        <v>5.31</v>
      </c>
    </row>
    <row r="452" customFormat="false" ht="15" hidden="false" customHeight="false" outlineLevel="0" collapsed="false">
      <c r="A452" s="24" t="s">
        <v>265</v>
      </c>
      <c r="B452" s="25" t="n">
        <v>24.344</v>
      </c>
      <c r="C452" s="25" t="n">
        <v>30</v>
      </c>
      <c r="D452" s="26" t="n">
        <v>0.110306</v>
      </c>
      <c r="E452" s="27" t="n">
        <v>0.1724</v>
      </c>
      <c r="F452" s="28" t="n">
        <f aca="false">ROUND(B452*E452,2)</f>
        <v>4.2</v>
      </c>
      <c r="H452" s="29" t="n">
        <v>29.271</v>
      </c>
      <c r="I452" s="30" t="n">
        <v>0.1724</v>
      </c>
      <c r="J452" s="31" t="n">
        <f aca="false">ROUND(H452*I452,2)</f>
        <v>5.05</v>
      </c>
      <c r="L452" s="32" t="n">
        <v>101.688</v>
      </c>
      <c r="M452" s="33" t="n">
        <v>0.1724</v>
      </c>
      <c r="N452" s="34" t="n">
        <f aca="false">ROUND(L452*M452,2)</f>
        <v>17.53</v>
      </c>
    </row>
    <row r="453" customFormat="false" ht="15" hidden="false" customHeight="false" outlineLevel="0" collapsed="false">
      <c r="A453" s="24" t="s">
        <v>266</v>
      </c>
      <c r="B453" s="25" t="n">
        <v>1</v>
      </c>
      <c r="C453" s="25" t="n">
        <v>30</v>
      </c>
      <c r="D453" s="26" t="n">
        <v>0.7989</v>
      </c>
      <c r="E453" s="27" t="n">
        <v>6</v>
      </c>
      <c r="F453" s="28" t="n">
        <f aca="false">ROUND(B453*E453,2)</f>
        <v>6</v>
      </c>
      <c r="H453" s="29" t="n">
        <v>1</v>
      </c>
      <c r="I453" s="30" t="n">
        <v>6</v>
      </c>
      <c r="J453" s="31" t="n">
        <f aca="false">ROUND(H453*I453,2)</f>
        <v>6</v>
      </c>
      <c r="L453" s="32" t="n">
        <v>1</v>
      </c>
      <c r="M453" s="33" t="n">
        <v>6</v>
      </c>
      <c r="N453" s="34" t="n">
        <f aca="false">ROUND(L453*M453,2)</f>
        <v>6</v>
      </c>
    </row>
    <row r="454" customFormat="false" ht="15" hidden="false" customHeight="false" outlineLevel="0" collapsed="false">
      <c r="A454" s="24" t="s">
        <v>267</v>
      </c>
      <c r="B454" s="25" t="n">
        <v>30</v>
      </c>
      <c r="C454" s="25" t="n">
        <v>30</v>
      </c>
      <c r="D454" s="26" t="n">
        <v>0.5736</v>
      </c>
      <c r="E454" s="27" t="n">
        <v>0.01274</v>
      </c>
      <c r="F454" s="28" t="n">
        <f aca="false">ROUND(B454*E454,2)</f>
        <v>0.38</v>
      </c>
      <c r="H454" s="29" t="n">
        <v>30</v>
      </c>
      <c r="I454" s="30" t="n">
        <v>0.01274</v>
      </c>
      <c r="J454" s="31" t="n">
        <f aca="false">ROUND(H454*I454,2)</f>
        <v>0.38</v>
      </c>
      <c r="L454" s="32" t="n">
        <v>30</v>
      </c>
      <c r="M454" s="33" t="n">
        <v>0.00629</v>
      </c>
      <c r="N454" s="34" t="n">
        <f aca="false">ROUND(L454*M454,2)</f>
        <v>0.19</v>
      </c>
    </row>
    <row r="455" customFormat="false" ht="15" hidden="false" customHeight="false" outlineLevel="0" collapsed="false">
      <c r="A455" s="24" t="s">
        <v>268</v>
      </c>
      <c r="B455" s="25" t="n">
        <v>1.7</v>
      </c>
      <c r="C455" s="25" t="n">
        <v>30</v>
      </c>
      <c r="D455" s="26" t="n">
        <v>0.24729</v>
      </c>
      <c r="E455" s="27" t="n">
        <v>1</v>
      </c>
      <c r="F455" s="28" t="n">
        <f aca="false">ROUND(B455*E455,2)</f>
        <v>1.7</v>
      </c>
      <c r="H455" s="29" t="n">
        <v>1.85</v>
      </c>
      <c r="I455" s="30" t="n">
        <v>1</v>
      </c>
      <c r="J455" s="31" t="n">
        <f aca="false">ROUND(H455*I455,2)</f>
        <v>1.85</v>
      </c>
      <c r="L455" s="32" t="n">
        <v>3.15</v>
      </c>
      <c r="M455" s="33" t="n">
        <v>1</v>
      </c>
      <c r="N455" s="34" t="n">
        <f aca="false">ROUND(L455*M455,2)</f>
        <v>3.15</v>
      </c>
    </row>
    <row r="456" customFormat="false" ht="15" hidden="false" customHeight="false" outlineLevel="0" collapsed="false">
      <c r="A456" s="37" t="s">
        <v>269</v>
      </c>
      <c r="F456" s="38" t="n">
        <f aca="false">ROUND((SUM(F448:F455)-F455)*1.1+F455,2)</f>
        <v>52.09</v>
      </c>
      <c r="J456" s="39" t="n">
        <f aca="false">ROUND(SUM(J448:J455),2)</f>
        <v>48.73</v>
      </c>
      <c r="N456" s="40" t="n">
        <f aca="false">ROUND(SUM(N448:N455),2)</f>
        <v>75.27</v>
      </c>
    </row>
    <row r="457" customFormat="false" ht="15" hidden="false" customHeight="false" outlineLevel="0" collapsed="false">
      <c r="A457" s="15" t="s">
        <v>270</v>
      </c>
      <c r="B457" s="41" t="n">
        <f aca="false">IF((F450+F448+F452+F449+F451)=0,"",((F450+F448+F452+F449+F451)-(B450*D450+B448*D448+B452*D452+B449*D449+B451*D451))/(F450+F448+F452+F449+F451))</f>
        <v>0.371566347704793</v>
      </c>
      <c r="D457" s="42" t="str">
        <f aca="false">IF(B457="","SIN PC",IF(B457&gt;=Detalle!$G$1,"APROBAR",IF(B457&gt;=0.2,"REVISAR","RECHAZAR")))</f>
        <v>APROBAR</v>
      </c>
      <c r="E457" s="42"/>
      <c r="F457" s="42"/>
    </row>
    <row r="458" customFormat="false" ht="15" hidden="false" customHeight="false" outlineLevel="0" collapsed="false">
      <c r="A458" s="44" t="s">
        <v>379</v>
      </c>
      <c r="B458" s="44"/>
      <c r="C458" s="44"/>
      <c r="D458" s="44"/>
      <c r="E458" s="44"/>
      <c r="F458" s="44"/>
    </row>
    <row r="459" customFormat="false" ht="15" hidden="false" customHeight="false" outlineLevel="0" collapsed="false">
      <c r="A459" s="45" t="s">
        <v>247</v>
      </c>
      <c r="B459" s="45" t="s">
        <v>380</v>
      </c>
      <c r="D459" s="45" t="s">
        <v>381</v>
      </c>
      <c r="E459" s="45" t="s">
        <v>382</v>
      </c>
      <c r="F459" s="45" t="s">
        <v>256</v>
      </c>
    </row>
    <row r="460" customFormat="false" ht="15" hidden="false" customHeight="false" outlineLevel="0" collapsed="false">
      <c r="A460" s="46" t="s">
        <v>383</v>
      </c>
      <c r="B460" s="47" t="n">
        <v>182</v>
      </c>
      <c r="C460" s="48"/>
      <c r="D460" s="26" t="n">
        <v>0.06</v>
      </c>
      <c r="E460" s="48"/>
      <c r="F460" s="49" t="n">
        <f aca="false">ROUND(B460*D460,2)</f>
        <v>10.92</v>
      </c>
    </row>
    <row r="461" customFormat="false" ht="15" hidden="false" customHeight="false" outlineLevel="0" collapsed="false">
      <c r="A461" s="46" t="s">
        <v>384</v>
      </c>
      <c r="B461" s="48"/>
      <c r="C461" s="48"/>
      <c r="D461" s="48"/>
      <c r="E461" s="50" t="n">
        <v>0.06</v>
      </c>
      <c r="F461" s="49" t="n">
        <v>6.34</v>
      </c>
    </row>
    <row r="462" customFormat="false" ht="15" hidden="false" customHeight="false" outlineLevel="0" collapsed="false">
      <c r="A462" s="51" t="s">
        <v>385</v>
      </c>
      <c r="B462" s="48"/>
      <c r="C462" s="48"/>
      <c r="D462" s="48"/>
      <c r="E462" s="48"/>
      <c r="F462" s="52" t="n">
        <f aca="false">F460-F461</f>
        <v>4.58</v>
      </c>
    </row>
    <row r="464" customFormat="false" ht="15" hidden="false" customHeight="false" outlineLevel="0" collapsed="false">
      <c r="A464" s="11" t="s">
        <v>489</v>
      </c>
      <c r="B464" s="11"/>
      <c r="C464" s="11"/>
      <c r="D464" s="11"/>
      <c r="E464" s="11"/>
      <c r="F464" s="11"/>
      <c r="H464" s="11" t="s">
        <v>490</v>
      </c>
      <c r="I464" s="11"/>
      <c r="J464" s="11"/>
      <c r="K464" s="11"/>
      <c r="L464" s="11"/>
      <c r="M464" s="11"/>
      <c r="N464" s="11"/>
      <c r="P464" s="14" t="s">
        <v>246</v>
      </c>
    </row>
    <row r="465" customFormat="false" ht="15" hidden="false" customHeight="false" outlineLevel="0" collapsed="false">
      <c r="A465" s="15" t="s">
        <v>247</v>
      </c>
      <c r="B465" s="16" t="s">
        <v>248</v>
      </c>
      <c r="C465" s="17"/>
      <c r="D465" s="17"/>
      <c r="E465" s="17"/>
      <c r="F465" s="17"/>
      <c r="H465" s="18" t="s">
        <v>491</v>
      </c>
      <c r="I465" s="19"/>
      <c r="J465" s="19"/>
      <c r="L465" s="20" t="s">
        <v>492</v>
      </c>
      <c r="M465" s="21"/>
      <c r="N465" s="21"/>
      <c r="P465" s="14" t="s">
        <v>493</v>
      </c>
    </row>
    <row r="466" customFormat="false" ht="15" hidden="false" customHeight="false" outlineLevel="0" collapsed="false">
      <c r="B466" s="3" t="s">
        <v>252</v>
      </c>
      <c r="C466" s="3" t="s">
        <v>253</v>
      </c>
      <c r="D466" s="3" t="s">
        <v>254</v>
      </c>
      <c r="E466" s="3" t="s">
        <v>255</v>
      </c>
      <c r="F466" s="3" t="s">
        <v>256</v>
      </c>
      <c r="H466" s="22" t="s">
        <v>252</v>
      </c>
      <c r="I466" s="22" t="s">
        <v>255</v>
      </c>
      <c r="J466" s="22" t="s">
        <v>256</v>
      </c>
      <c r="L466" s="23" t="s">
        <v>252</v>
      </c>
      <c r="M466" s="23" t="s">
        <v>255</v>
      </c>
      <c r="N466" s="23" t="s">
        <v>256</v>
      </c>
      <c r="P466" s="14" t="s">
        <v>494</v>
      </c>
    </row>
    <row r="467" customFormat="false" ht="15" hidden="false" customHeight="false" outlineLevel="0" collapsed="false">
      <c r="A467" s="24" t="s">
        <v>258</v>
      </c>
      <c r="B467" s="25" t="n">
        <v>10</v>
      </c>
      <c r="C467" s="25" t="n">
        <v>30</v>
      </c>
      <c r="D467" s="26" t="n">
        <v>3.68919</v>
      </c>
      <c r="E467" s="27" t="n">
        <v>4.82</v>
      </c>
      <c r="F467" s="28" t="n">
        <f aca="false">ROUND(B467*E467,2)</f>
        <v>48.2</v>
      </c>
      <c r="H467" s="29" t="n">
        <v>10</v>
      </c>
      <c r="I467" s="30" t="n">
        <v>4.82</v>
      </c>
      <c r="J467" s="31" t="n">
        <f aca="false">ROUND(H467*I467,2)</f>
        <v>48.2</v>
      </c>
      <c r="L467" s="32" t="n">
        <v>10</v>
      </c>
      <c r="M467" s="33" t="n">
        <v>4.82</v>
      </c>
      <c r="N467" s="34" t="n">
        <f aca="false">ROUND(L467*M467,2)</f>
        <v>48.2</v>
      </c>
      <c r="P467" s="35" t="s">
        <v>495</v>
      </c>
    </row>
    <row r="468" customFormat="false" ht="15" hidden="false" customHeight="false" outlineLevel="0" collapsed="false">
      <c r="A468" s="24" t="s">
        <v>260</v>
      </c>
      <c r="B468" s="25" t="n">
        <v>10</v>
      </c>
      <c r="C468" s="25" t="n">
        <v>30</v>
      </c>
      <c r="D468" s="26" t="n">
        <v>1.31928</v>
      </c>
      <c r="E468" s="27" t="n">
        <v>2.3744</v>
      </c>
      <c r="F468" s="28" t="n">
        <f aca="false">ROUND(B468*E468,2)</f>
        <v>23.74</v>
      </c>
      <c r="H468" s="29" t="n">
        <v>10</v>
      </c>
      <c r="I468" s="30" t="n">
        <v>2.3744</v>
      </c>
      <c r="J468" s="31" t="n">
        <f aca="false">ROUND(H468*I468,2)</f>
        <v>23.74</v>
      </c>
      <c r="L468" s="32" t="n">
        <v>10</v>
      </c>
      <c r="M468" s="33" t="n">
        <v>2.3744</v>
      </c>
      <c r="N468" s="34" t="n">
        <f aca="false">ROUND(L468*M468,2)</f>
        <v>23.74</v>
      </c>
      <c r="P468" s="36" t="s">
        <v>261</v>
      </c>
    </row>
    <row r="469" customFormat="false" ht="15" hidden="false" customHeight="false" outlineLevel="0" collapsed="false">
      <c r="A469" s="24" t="s">
        <v>262</v>
      </c>
      <c r="B469" s="25" t="n">
        <v>40.797</v>
      </c>
      <c r="C469" s="25" t="n">
        <v>30</v>
      </c>
      <c r="D469" s="26" t="n">
        <v>0.111171</v>
      </c>
      <c r="E469" s="27" t="n">
        <v>0.1724</v>
      </c>
      <c r="F469" s="28" t="n">
        <f aca="false">ROUND(B469*E469,2)</f>
        <v>7.03</v>
      </c>
      <c r="H469" s="29" t="n">
        <v>43.749</v>
      </c>
      <c r="I469" s="30" t="n">
        <v>0.1724</v>
      </c>
      <c r="J469" s="31" t="n">
        <f aca="false">ROUND(H469*I469,2)</f>
        <v>7.54</v>
      </c>
      <c r="L469" s="32" t="n">
        <v>79.149</v>
      </c>
      <c r="M469" s="33" t="n">
        <v>0.1724</v>
      </c>
      <c r="N469" s="34" t="n">
        <f aca="false">ROUND(L469*M469,2)</f>
        <v>13.65</v>
      </c>
      <c r="P469" s="35" t="s">
        <v>496</v>
      </c>
    </row>
    <row r="470" customFormat="false" ht="15" hidden="false" customHeight="false" outlineLevel="0" collapsed="false">
      <c r="A470" s="24" t="s">
        <v>264</v>
      </c>
      <c r="B470" s="25" t="n">
        <v>32.288</v>
      </c>
      <c r="C470" s="25" t="n">
        <v>30</v>
      </c>
      <c r="D470" s="26" t="n">
        <v>0.111171</v>
      </c>
      <c r="E470" s="27" t="n">
        <v>0.1724</v>
      </c>
      <c r="F470" s="28" t="n">
        <f aca="false">ROUND(B470*E470,2)</f>
        <v>5.57</v>
      </c>
      <c r="H470" s="29" t="n">
        <v>39.941</v>
      </c>
      <c r="I470" s="30" t="n">
        <v>0.1724</v>
      </c>
      <c r="J470" s="31" t="n">
        <f aca="false">ROUND(H470*I470,2)</f>
        <v>6.89</v>
      </c>
      <c r="L470" s="32" t="n">
        <v>132.18</v>
      </c>
      <c r="M470" s="33" t="n">
        <v>0.1724</v>
      </c>
      <c r="N470" s="34" t="n">
        <f aca="false">ROUND(L470*M470,2)</f>
        <v>22.79</v>
      </c>
    </row>
    <row r="471" customFormat="false" ht="15" hidden="false" customHeight="false" outlineLevel="0" collapsed="false">
      <c r="A471" s="24" t="s">
        <v>265</v>
      </c>
      <c r="B471" s="25" t="n">
        <v>138.055</v>
      </c>
      <c r="C471" s="25" t="n">
        <v>30</v>
      </c>
      <c r="D471" s="26" t="n">
        <v>0.111171</v>
      </c>
      <c r="E471" s="27" t="n">
        <v>0.1724</v>
      </c>
      <c r="F471" s="28" t="n">
        <f aca="false">ROUND(B471*E471,2)</f>
        <v>23.8</v>
      </c>
      <c r="H471" s="29" t="n">
        <v>165.945</v>
      </c>
      <c r="I471" s="30" t="n">
        <v>0.1724</v>
      </c>
      <c r="J471" s="31" t="n">
        <f aca="false">ROUND(H471*I471,2)</f>
        <v>28.61</v>
      </c>
      <c r="L471" s="32" t="n">
        <v>266.832</v>
      </c>
      <c r="M471" s="33" t="n">
        <v>0.1724</v>
      </c>
      <c r="N471" s="34" t="n">
        <f aca="false">ROUND(L471*M471,2)</f>
        <v>46</v>
      </c>
    </row>
    <row r="472" customFormat="false" ht="15" hidden="false" customHeight="false" outlineLevel="0" collapsed="false">
      <c r="A472" s="24" t="s">
        <v>266</v>
      </c>
      <c r="B472" s="25" t="n">
        <v>1</v>
      </c>
      <c r="C472" s="25" t="n">
        <v>30</v>
      </c>
      <c r="D472" s="26" t="n">
        <v>1.3414</v>
      </c>
      <c r="E472" s="27" t="n">
        <v>6</v>
      </c>
      <c r="F472" s="28" t="n">
        <f aca="false">ROUND(B472*E472,2)</f>
        <v>6</v>
      </c>
      <c r="H472" s="29" t="n">
        <v>1</v>
      </c>
      <c r="I472" s="30" t="n">
        <v>6</v>
      </c>
      <c r="J472" s="31" t="n">
        <f aca="false">ROUND(H472*I472,2)</f>
        <v>6</v>
      </c>
      <c r="L472" s="32" t="n">
        <v>1</v>
      </c>
      <c r="M472" s="33" t="n">
        <v>6</v>
      </c>
      <c r="N472" s="34" t="n">
        <f aca="false">ROUND(L472*M472,2)</f>
        <v>6</v>
      </c>
    </row>
    <row r="473" customFormat="false" ht="15" hidden="false" customHeight="false" outlineLevel="0" collapsed="false">
      <c r="A473" s="24" t="s">
        <v>267</v>
      </c>
      <c r="B473" s="25" t="n">
        <v>30</v>
      </c>
      <c r="C473" s="25" t="n">
        <v>30</v>
      </c>
      <c r="D473" s="26" t="n">
        <v>0.5736</v>
      </c>
      <c r="E473" s="27" t="n">
        <v>0.01274</v>
      </c>
      <c r="F473" s="28" t="n">
        <f aca="false">ROUND(B473*E473,2)</f>
        <v>0.38</v>
      </c>
      <c r="H473" s="29" t="n">
        <v>30</v>
      </c>
      <c r="I473" s="30" t="n">
        <v>0.01274</v>
      </c>
      <c r="J473" s="31" t="n">
        <f aca="false">ROUND(H473*I473,2)</f>
        <v>0.38</v>
      </c>
      <c r="L473" s="32" t="n">
        <v>30</v>
      </c>
      <c r="M473" s="33" t="n">
        <v>0.00629</v>
      </c>
      <c r="N473" s="34" t="n">
        <f aca="false">ROUND(L473*M473,2)</f>
        <v>0.19</v>
      </c>
    </row>
    <row r="474" customFormat="false" ht="15" hidden="false" customHeight="false" outlineLevel="0" collapsed="false">
      <c r="A474" s="24" t="s">
        <v>268</v>
      </c>
      <c r="B474" s="25" t="n">
        <v>4.64</v>
      </c>
      <c r="C474" s="25" t="n">
        <v>30</v>
      </c>
      <c r="D474" s="26" t="n">
        <v>0.27312</v>
      </c>
      <c r="E474" s="27" t="n">
        <v>1</v>
      </c>
      <c r="F474" s="28" t="n">
        <f aca="false">ROUND(B474*E474,2)</f>
        <v>4.64</v>
      </c>
      <c r="H474" s="29" t="n">
        <v>5.22</v>
      </c>
      <c r="I474" s="30" t="n">
        <v>1</v>
      </c>
      <c r="J474" s="31" t="n">
        <f aca="false">ROUND(H474*I474,2)</f>
        <v>5.22</v>
      </c>
      <c r="L474" s="32" t="n">
        <v>7.31</v>
      </c>
      <c r="M474" s="33" t="n">
        <v>1</v>
      </c>
      <c r="N474" s="34" t="n">
        <f aca="false">ROUND(L474*M474,2)</f>
        <v>7.31</v>
      </c>
    </row>
    <row r="475" customFormat="false" ht="15" hidden="false" customHeight="false" outlineLevel="0" collapsed="false">
      <c r="A475" s="37" t="s">
        <v>269</v>
      </c>
      <c r="F475" s="38" t="n">
        <f aca="false">ROUND((SUM(F467:F474)-F474)*1.1+F474,2)</f>
        <v>130.83</v>
      </c>
      <c r="J475" s="39" t="n">
        <f aca="false">ROUND(SUM(J467:J474),2)</f>
        <v>126.58</v>
      </c>
      <c r="N475" s="40" t="n">
        <f aca="false">ROUND(SUM(N467:N474),2)</f>
        <v>167.88</v>
      </c>
    </row>
    <row r="476" customFormat="false" ht="15" hidden="false" customHeight="false" outlineLevel="0" collapsed="false">
      <c r="A476" s="15" t="s">
        <v>270</v>
      </c>
      <c r="B476" s="41" t="n">
        <f aca="false">IF((F469+F467+F471+F468+F470)=0,"",((F469+F467+F471+F468+F470)-(B469*D469+B467*D467+B471*D471+B468*D468+B470*D470))/(F469+F467+F471+F468+F470))</f>
        <v>0.321050905113531</v>
      </c>
      <c r="D476" s="42" t="str">
        <f aca="false">IF(B476="","SIN PC",IF(B476&gt;=Detalle!$G$1,"APROBAR",IF(B476&gt;=0.2,"REVISAR","RECHAZAR")))</f>
        <v>APROBAR</v>
      </c>
      <c r="E476" s="42"/>
      <c r="F476" s="42"/>
    </row>
    <row r="477" customFormat="false" ht="15" hidden="false" customHeight="false" outlineLevel="0" collapsed="false">
      <c r="A477" s="44" t="s">
        <v>379</v>
      </c>
      <c r="B477" s="44"/>
      <c r="C477" s="44"/>
      <c r="D477" s="44"/>
      <c r="E477" s="44"/>
      <c r="F477" s="44"/>
    </row>
    <row r="478" customFormat="false" ht="15" hidden="false" customHeight="false" outlineLevel="0" collapsed="false">
      <c r="A478" s="45" t="s">
        <v>247</v>
      </c>
      <c r="B478" s="45" t="s">
        <v>380</v>
      </c>
      <c r="D478" s="45" t="s">
        <v>381</v>
      </c>
      <c r="E478" s="45" t="s">
        <v>382</v>
      </c>
      <c r="F478" s="45" t="s">
        <v>256</v>
      </c>
    </row>
    <row r="479" customFormat="false" ht="15" hidden="false" customHeight="false" outlineLevel="0" collapsed="false">
      <c r="A479" s="46" t="s">
        <v>383</v>
      </c>
      <c r="B479" s="47" t="n">
        <v>486</v>
      </c>
      <c r="C479" s="48"/>
      <c r="D479" s="26" t="n">
        <v>0.06</v>
      </c>
      <c r="E479" s="48"/>
      <c r="F479" s="49" t="n">
        <f aca="false">ROUND(B479*D479,2)</f>
        <v>29.16</v>
      </c>
    </row>
    <row r="480" customFormat="false" ht="15" hidden="false" customHeight="false" outlineLevel="0" collapsed="false">
      <c r="A480" s="46" t="s">
        <v>384</v>
      </c>
      <c r="B480" s="48"/>
      <c r="C480" s="48"/>
      <c r="D480" s="48"/>
      <c r="E480" s="50" t="n">
        <v>0.06</v>
      </c>
      <c r="F480" s="49" t="n">
        <v>17.76</v>
      </c>
    </row>
    <row r="481" customFormat="false" ht="15" hidden="false" customHeight="false" outlineLevel="0" collapsed="false">
      <c r="A481" s="51" t="s">
        <v>385</v>
      </c>
      <c r="B481" s="48"/>
      <c r="C481" s="48"/>
      <c r="D481" s="48"/>
      <c r="E481" s="48"/>
      <c r="F481" s="52" t="n">
        <f aca="false">F479-F480</f>
        <v>11.4</v>
      </c>
    </row>
    <row r="483" customFormat="false" ht="15" hidden="false" customHeight="false" outlineLevel="0" collapsed="false">
      <c r="A483" s="11" t="s">
        <v>497</v>
      </c>
      <c r="B483" s="11"/>
      <c r="C483" s="11"/>
      <c r="D483" s="11"/>
      <c r="E483" s="11"/>
      <c r="F483" s="11"/>
      <c r="H483" s="11" t="s">
        <v>498</v>
      </c>
      <c r="I483" s="11"/>
      <c r="J483" s="11"/>
      <c r="K483" s="11"/>
      <c r="L483" s="11"/>
      <c r="M483" s="11"/>
      <c r="N483" s="11"/>
      <c r="P483" s="14" t="s">
        <v>246</v>
      </c>
    </row>
    <row r="484" customFormat="false" ht="15" hidden="false" customHeight="false" outlineLevel="0" collapsed="false">
      <c r="A484" s="15" t="s">
        <v>247</v>
      </c>
      <c r="B484" s="16" t="s">
        <v>248</v>
      </c>
      <c r="C484" s="17"/>
      <c r="D484" s="17"/>
      <c r="E484" s="17"/>
      <c r="F484" s="17"/>
      <c r="H484" s="18" t="s">
        <v>499</v>
      </c>
      <c r="I484" s="19"/>
      <c r="J484" s="19"/>
      <c r="L484" s="20" t="s">
        <v>500</v>
      </c>
      <c r="M484" s="21"/>
      <c r="N484" s="21"/>
      <c r="P484" s="14" t="s">
        <v>501</v>
      </c>
    </row>
    <row r="485" customFormat="false" ht="15" hidden="false" customHeight="false" outlineLevel="0" collapsed="false">
      <c r="B485" s="3" t="s">
        <v>252</v>
      </c>
      <c r="C485" s="3" t="s">
        <v>253</v>
      </c>
      <c r="D485" s="3" t="s">
        <v>254</v>
      </c>
      <c r="E485" s="3" t="s">
        <v>255</v>
      </c>
      <c r="F485" s="3" t="s">
        <v>256</v>
      </c>
      <c r="H485" s="22" t="s">
        <v>252</v>
      </c>
      <c r="I485" s="22" t="s">
        <v>255</v>
      </c>
      <c r="J485" s="22" t="s">
        <v>256</v>
      </c>
      <c r="L485" s="23" t="s">
        <v>252</v>
      </c>
      <c r="M485" s="23" t="s">
        <v>255</v>
      </c>
      <c r="N485" s="23" t="s">
        <v>256</v>
      </c>
      <c r="P485" s="14" t="s">
        <v>502</v>
      </c>
    </row>
    <row r="486" customFormat="false" ht="15" hidden="false" customHeight="false" outlineLevel="0" collapsed="false">
      <c r="A486" s="24" t="s">
        <v>258</v>
      </c>
      <c r="B486" s="25" t="n">
        <v>5.75</v>
      </c>
      <c r="C486" s="25" t="n">
        <v>30</v>
      </c>
      <c r="D486" s="26" t="n">
        <v>3.4086</v>
      </c>
      <c r="E486" s="27" t="n">
        <v>4.17</v>
      </c>
      <c r="F486" s="28" t="n">
        <f aca="false">ROUND(B486*E486,2)</f>
        <v>23.98</v>
      </c>
      <c r="H486" s="29" t="n">
        <v>5.75</v>
      </c>
      <c r="I486" s="30" t="n">
        <v>4.17</v>
      </c>
      <c r="J486" s="31" t="n">
        <f aca="false">ROUND(H486*I486,2)</f>
        <v>23.98</v>
      </c>
      <c r="L486" s="32" t="n">
        <v>5.75</v>
      </c>
      <c r="M486" s="33" t="n">
        <v>4.17</v>
      </c>
      <c r="N486" s="34" t="n">
        <f aca="false">ROUND(L486*M486,2)</f>
        <v>23.98</v>
      </c>
      <c r="P486" s="35" t="s">
        <v>503</v>
      </c>
    </row>
    <row r="487" customFormat="false" ht="15" hidden="false" customHeight="false" outlineLevel="0" collapsed="false">
      <c r="A487" s="24" t="s">
        <v>260</v>
      </c>
      <c r="B487" s="25" t="n">
        <v>5.75</v>
      </c>
      <c r="C487" s="25" t="n">
        <v>30</v>
      </c>
      <c r="D487" s="26" t="n">
        <v>1.09728</v>
      </c>
      <c r="E487" s="27" t="n">
        <v>1.37</v>
      </c>
      <c r="F487" s="28" t="n">
        <f aca="false">ROUND(B487*E487,2)</f>
        <v>7.88</v>
      </c>
      <c r="H487" s="29" t="n">
        <v>5.75</v>
      </c>
      <c r="I487" s="30" t="n">
        <v>1.37</v>
      </c>
      <c r="J487" s="31" t="n">
        <f aca="false">ROUND(H487*I487,2)</f>
        <v>7.88</v>
      </c>
      <c r="L487" s="32" t="n">
        <v>5.75</v>
      </c>
      <c r="M487" s="33" t="n">
        <v>1.37</v>
      </c>
      <c r="N487" s="34" t="n">
        <f aca="false">ROUND(L487*M487,2)</f>
        <v>7.88</v>
      </c>
      <c r="P487" s="36" t="s">
        <v>261</v>
      </c>
    </row>
    <row r="488" customFormat="false" ht="15" hidden="false" customHeight="false" outlineLevel="0" collapsed="false">
      <c r="A488" s="24" t="s">
        <v>262</v>
      </c>
      <c r="B488" s="25" t="n">
        <v>51.333</v>
      </c>
      <c r="C488" s="25" t="n">
        <v>30</v>
      </c>
      <c r="D488" s="26" t="n">
        <v>0.110306</v>
      </c>
      <c r="E488" s="27" t="n">
        <v>0.14937</v>
      </c>
      <c r="F488" s="28" t="n">
        <f aca="false">ROUND(B488*E488,2)</f>
        <v>7.67</v>
      </c>
      <c r="H488" s="29" t="n">
        <v>102.117</v>
      </c>
      <c r="I488" s="30" t="n">
        <v>0.14937</v>
      </c>
      <c r="J488" s="31" t="n">
        <f aca="false">ROUND(H488*I488,2)</f>
        <v>15.25</v>
      </c>
      <c r="L488" s="32" t="n">
        <v>84.566</v>
      </c>
      <c r="M488" s="33" t="n">
        <v>0.14937</v>
      </c>
      <c r="N488" s="34" t="n">
        <f aca="false">ROUND(L488*M488,2)</f>
        <v>12.63</v>
      </c>
      <c r="P488" s="35" t="s">
        <v>504</v>
      </c>
    </row>
    <row r="489" customFormat="false" ht="15" hidden="false" customHeight="false" outlineLevel="0" collapsed="false">
      <c r="A489" s="24" t="s">
        <v>264</v>
      </c>
      <c r="B489" s="25" t="n">
        <v>66.936</v>
      </c>
      <c r="C489" s="25" t="n">
        <v>30</v>
      </c>
      <c r="D489" s="26" t="n">
        <v>0.110306</v>
      </c>
      <c r="E489" s="27" t="n">
        <v>0.14937</v>
      </c>
      <c r="F489" s="28" t="n">
        <f aca="false">ROUND(B489*E489,2)</f>
        <v>10</v>
      </c>
      <c r="H489" s="29" t="n">
        <v>116.38</v>
      </c>
      <c r="I489" s="30" t="n">
        <v>0.14937</v>
      </c>
      <c r="J489" s="31" t="n">
        <f aca="false">ROUND(H489*I489,2)</f>
        <v>17.38</v>
      </c>
      <c r="L489" s="32" t="n">
        <v>99.926</v>
      </c>
      <c r="M489" s="33" t="n">
        <v>0.14937</v>
      </c>
      <c r="N489" s="34" t="n">
        <f aca="false">ROUND(L489*M489,2)</f>
        <v>14.93</v>
      </c>
    </row>
    <row r="490" customFormat="false" ht="15" hidden="false" customHeight="false" outlineLevel="0" collapsed="false">
      <c r="A490" s="24" t="s">
        <v>265</v>
      </c>
      <c r="B490" s="25" t="n">
        <v>208.116</v>
      </c>
      <c r="C490" s="25" t="n">
        <v>30</v>
      </c>
      <c r="D490" s="26" t="n">
        <v>0.110306</v>
      </c>
      <c r="E490" s="27" t="n">
        <v>0.14937</v>
      </c>
      <c r="F490" s="28" t="n">
        <f aca="false">ROUND(B490*E490,2)</f>
        <v>31.09</v>
      </c>
      <c r="H490" s="29" t="n">
        <v>242.633</v>
      </c>
      <c r="I490" s="30" t="n">
        <v>0.14937</v>
      </c>
      <c r="J490" s="31" t="n">
        <f aca="false">ROUND(H490*I490,2)</f>
        <v>36.24</v>
      </c>
      <c r="L490" s="32" t="n">
        <v>282.175</v>
      </c>
      <c r="M490" s="33" t="n">
        <v>0.14937</v>
      </c>
      <c r="N490" s="34" t="n">
        <f aca="false">ROUND(L490*M490,2)</f>
        <v>42.15</v>
      </c>
    </row>
    <row r="491" customFormat="false" ht="15" hidden="false" customHeight="false" outlineLevel="0" collapsed="false">
      <c r="A491" s="24" t="s">
        <v>266</v>
      </c>
      <c r="B491" s="25" t="n">
        <v>1</v>
      </c>
      <c r="C491" s="25" t="n">
        <v>30</v>
      </c>
      <c r="D491" s="26" t="n">
        <v>0.7989</v>
      </c>
      <c r="E491" s="27" t="n">
        <v>4</v>
      </c>
      <c r="F491" s="28" t="n">
        <f aca="false">ROUND(B491*E491,2)</f>
        <v>4</v>
      </c>
      <c r="H491" s="29" t="n">
        <v>1</v>
      </c>
      <c r="I491" s="30" t="n">
        <v>4</v>
      </c>
      <c r="J491" s="31" t="n">
        <f aca="false">ROUND(H491*I491,2)</f>
        <v>4</v>
      </c>
      <c r="L491" s="32" t="n">
        <v>1</v>
      </c>
      <c r="M491" s="33" t="n">
        <v>4</v>
      </c>
      <c r="N491" s="34" t="n">
        <f aca="false">ROUND(L491*M491,2)</f>
        <v>4</v>
      </c>
    </row>
    <row r="492" customFormat="false" ht="15" hidden="false" customHeight="false" outlineLevel="0" collapsed="false">
      <c r="A492" s="24" t="s">
        <v>267</v>
      </c>
      <c r="B492" s="25" t="n">
        <v>30</v>
      </c>
      <c r="C492" s="25" t="n">
        <v>30</v>
      </c>
      <c r="D492" s="26" t="n">
        <v>0.5736</v>
      </c>
      <c r="E492" s="27" t="n">
        <v>0.01274</v>
      </c>
      <c r="F492" s="28" t="n">
        <f aca="false">ROUND(B492*E492,2)</f>
        <v>0.38</v>
      </c>
      <c r="H492" s="29" t="n">
        <v>30</v>
      </c>
      <c r="I492" s="30" t="n">
        <v>0.01274</v>
      </c>
      <c r="J492" s="31" t="n">
        <f aca="false">ROUND(H492*I492,2)</f>
        <v>0.38</v>
      </c>
      <c r="L492" s="32" t="n">
        <v>30</v>
      </c>
      <c r="M492" s="33" t="n">
        <v>0.00629</v>
      </c>
      <c r="N492" s="34" t="n">
        <f aca="false">ROUND(L492*M492,2)</f>
        <v>0.19</v>
      </c>
    </row>
    <row r="493" customFormat="false" ht="15" hidden="false" customHeight="false" outlineLevel="0" collapsed="false">
      <c r="A493" s="24" t="s">
        <v>268</v>
      </c>
      <c r="B493" s="25" t="n">
        <v>3.6</v>
      </c>
      <c r="C493" s="25" t="n">
        <v>30</v>
      </c>
      <c r="D493" s="26" t="n">
        <v>0.24729</v>
      </c>
      <c r="E493" s="27" t="n">
        <v>1</v>
      </c>
      <c r="F493" s="28" t="n">
        <f aca="false">ROUND(B493*E493,2)</f>
        <v>3.6</v>
      </c>
      <c r="H493" s="29" t="n">
        <v>4.83</v>
      </c>
      <c r="I493" s="30" t="n">
        <v>1</v>
      </c>
      <c r="J493" s="31" t="n">
        <f aca="false">ROUND(H493*I493,2)</f>
        <v>4.83</v>
      </c>
      <c r="L493" s="32" t="n">
        <v>4.86</v>
      </c>
      <c r="M493" s="33" t="n">
        <v>1</v>
      </c>
      <c r="N493" s="34" t="n">
        <f aca="false">ROUND(L493*M493,2)</f>
        <v>4.86</v>
      </c>
    </row>
    <row r="494" customFormat="false" ht="15" hidden="false" customHeight="false" outlineLevel="0" collapsed="false">
      <c r="A494" s="37" t="s">
        <v>269</v>
      </c>
      <c r="F494" s="38" t="n">
        <f aca="false">ROUND((SUM(F486:F493)-F493)*1.1+F493,2)</f>
        <v>97.1</v>
      </c>
      <c r="J494" s="39" t="n">
        <f aca="false">ROUND(SUM(J486:J493),2)</f>
        <v>109.94</v>
      </c>
      <c r="N494" s="40" t="n">
        <f aca="false">ROUND(SUM(N486:N493),2)</f>
        <v>110.62</v>
      </c>
    </row>
    <row r="495" customFormat="false" ht="15" hidden="false" customHeight="false" outlineLevel="0" collapsed="false">
      <c r="A495" s="15" t="s">
        <v>270</v>
      </c>
      <c r="B495" s="41" t="n">
        <f aca="false">IF((F488+F486+F490+F487+F489)=0,"",((F488+F486+F490+F487+F489)-(B488*D488+B486*D486+B490*D490+B487*D487+B489*D489))/(F488+F486+F490+F487+F489))</f>
        <v>0.232063584594393</v>
      </c>
      <c r="D495" s="42" t="str">
        <f aca="false">IF(B495="","SIN PC",IF(B495&gt;=Detalle!$G$1,"APROBAR",IF(B495&gt;=0.2,"REVISAR","RECHAZAR")))</f>
        <v>REVISAR</v>
      </c>
      <c r="E495" s="42"/>
      <c r="F495" s="42"/>
    </row>
    <row r="496" customFormat="false" ht="15" hidden="false" customHeight="false" outlineLevel="0" collapsed="false">
      <c r="A496" s="44" t="s">
        <v>379</v>
      </c>
      <c r="B496" s="44"/>
      <c r="C496" s="44"/>
      <c r="D496" s="44"/>
      <c r="E496" s="44"/>
      <c r="F496" s="44"/>
    </row>
    <row r="497" customFormat="false" ht="15" hidden="false" customHeight="false" outlineLevel="0" collapsed="false">
      <c r="A497" s="45" t="s">
        <v>247</v>
      </c>
      <c r="B497" s="45" t="s">
        <v>380</v>
      </c>
      <c r="D497" s="45" t="s">
        <v>381</v>
      </c>
      <c r="E497" s="45" t="s">
        <v>382</v>
      </c>
      <c r="F497" s="45" t="s">
        <v>256</v>
      </c>
    </row>
    <row r="498" customFormat="false" ht="15" hidden="false" customHeight="false" outlineLevel="0" collapsed="false">
      <c r="A498" s="46" t="s">
        <v>383</v>
      </c>
      <c r="B498" s="47" t="n">
        <v>206</v>
      </c>
      <c r="C498" s="48"/>
      <c r="D498" s="26" t="n">
        <v>0.06</v>
      </c>
      <c r="E498" s="48"/>
      <c r="F498" s="49" t="n">
        <f aca="false">ROUND(B498*D498,2)</f>
        <v>12.36</v>
      </c>
    </row>
    <row r="499" customFormat="false" ht="15" hidden="false" customHeight="false" outlineLevel="0" collapsed="false">
      <c r="A499" s="46" t="s">
        <v>384</v>
      </c>
      <c r="B499" s="48"/>
      <c r="C499" s="48"/>
      <c r="D499" s="48"/>
      <c r="E499" s="50" t="n">
        <v>0.06</v>
      </c>
      <c r="F499" s="49" t="n">
        <v>10.4</v>
      </c>
    </row>
    <row r="500" customFormat="false" ht="15" hidden="false" customHeight="false" outlineLevel="0" collapsed="false">
      <c r="A500" s="51" t="s">
        <v>385</v>
      </c>
      <c r="B500" s="48"/>
      <c r="C500" s="48"/>
      <c r="D500" s="48"/>
      <c r="E500" s="48"/>
      <c r="F500" s="52" t="n">
        <f aca="false">F498-F499</f>
        <v>1.96</v>
      </c>
    </row>
    <row r="502" customFormat="false" ht="15" hidden="false" customHeight="false" outlineLevel="0" collapsed="false">
      <c r="A502" s="11" t="s">
        <v>505</v>
      </c>
      <c r="B502" s="11"/>
      <c r="C502" s="11"/>
      <c r="D502" s="11"/>
      <c r="E502" s="11"/>
      <c r="F502" s="11"/>
      <c r="H502" s="11" t="s">
        <v>506</v>
      </c>
      <c r="I502" s="11"/>
      <c r="J502" s="11"/>
      <c r="K502" s="11"/>
      <c r="L502" s="11"/>
      <c r="M502" s="11"/>
      <c r="N502" s="11"/>
      <c r="P502" s="14" t="s">
        <v>246</v>
      </c>
    </row>
    <row r="503" customFormat="false" ht="15" hidden="false" customHeight="false" outlineLevel="0" collapsed="false">
      <c r="A503" s="15" t="s">
        <v>247</v>
      </c>
      <c r="B503" s="16" t="s">
        <v>248</v>
      </c>
      <c r="C503" s="17"/>
      <c r="D503" s="17"/>
      <c r="E503" s="17"/>
      <c r="F503" s="17"/>
      <c r="H503" s="18" t="s">
        <v>507</v>
      </c>
      <c r="I503" s="19"/>
      <c r="J503" s="19"/>
      <c r="L503" s="20" t="s">
        <v>508</v>
      </c>
      <c r="M503" s="21"/>
      <c r="N503" s="21"/>
      <c r="P503" s="14" t="s">
        <v>509</v>
      </c>
    </row>
    <row r="504" customFormat="false" ht="15" hidden="false" customHeight="false" outlineLevel="0" collapsed="false">
      <c r="B504" s="3" t="s">
        <v>252</v>
      </c>
      <c r="C504" s="3" t="s">
        <v>253</v>
      </c>
      <c r="D504" s="3" t="s">
        <v>254</v>
      </c>
      <c r="E504" s="3" t="s">
        <v>255</v>
      </c>
      <c r="F504" s="3" t="s">
        <v>256</v>
      </c>
      <c r="H504" s="22" t="s">
        <v>252</v>
      </c>
      <c r="I504" s="22" t="s">
        <v>255</v>
      </c>
      <c r="J504" s="22" t="s">
        <v>256</v>
      </c>
      <c r="L504" s="23" t="s">
        <v>252</v>
      </c>
      <c r="M504" s="23" t="s">
        <v>255</v>
      </c>
      <c r="N504" s="23" t="s">
        <v>256</v>
      </c>
      <c r="P504" s="14" t="s">
        <v>510</v>
      </c>
    </row>
    <row r="505" customFormat="false" ht="15" hidden="false" customHeight="false" outlineLevel="0" collapsed="false">
      <c r="A505" s="24" t="s">
        <v>258</v>
      </c>
      <c r="B505" s="25" t="n">
        <v>8</v>
      </c>
      <c r="C505" s="25" t="n">
        <v>30</v>
      </c>
      <c r="D505" s="26" t="n">
        <v>3.4086</v>
      </c>
      <c r="E505" s="27" t="n">
        <v>3.85</v>
      </c>
      <c r="F505" s="28" t="n">
        <f aca="false">ROUND(B505*E505,2)</f>
        <v>30.8</v>
      </c>
      <c r="H505" s="29" t="n">
        <v>8</v>
      </c>
      <c r="I505" s="30" t="n">
        <v>3.85</v>
      </c>
      <c r="J505" s="31" t="n">
        <f aca="false">ROUND(H505*I505,2)</f>
        <v>30.8</v>
      </c>
      <c r="L505" s="32" t="n">
        <v>8</v>
      </c>
      <c r="M505" s="33" t="n">
        <v>3.85</v>
      </c>
      <c r="N505" s="34" t="n">
        <f aca="false">ROUND(L505*M505,2)</f>
        <v>30.8</v>
      </c>
      <c r="P505" s="35" t="s">
        <v>511</v>
      </c>
    </row>
    <row r="506" customFormat="false" ht="15" hidden="false" customHeight="false" outlineLevel="0" collapsed="false">
      <c r="A506" s="24" t="s">
        <v>260</v>
      </c>
      <c r="B506" s="25" t="n">
        <v>8</v>
      </c>
      <c r="C506" s="25" t="n">
        <v>30</v>
      </c>
      <c r="D506" s="26" t="n">
        <v>1.09728</v>
      </c>
      <c r="E506" s="27" t="n">
        <v>1.33</v>
      </c>
      <c r="F506" s="28" t="n">
        <f aca="false">ROUND(B506*E506,2)</f>
        <v>10.64</v>
      </c>
      <c r="H506" s="29" t="n">
        <v>8</v>
      </c>
      <c r="I506" s="30" t="n">
        <v>1.33</v>
      </c>
      <c r="J506" s="31" t="n">
        <f aca="false">ROUND(H506*I506,2)</f>
        <v>10.64</v>
      </c>
      <c r="L506" s="32" t="n">
        <v>8</v>
      </c>
      <c r="M506" s="33" t="n">
        <v>1.33</v>
      </c>
      <c r="N506" s="34" t="n">
        <f aca="false">ROUND(L506*M506,2)</f>
        <v>10.64</v>
      </c>
      <c r="P506" s="36" t="s">
        <v>261</v>
      </c>
    </row>
    <row r="507" customFormat="false" ht="15" hidden="false" customHeight="false" outlineLevel="0" collapsed="false">
      <c r="A507" s="24" t="s">
        <v>262</v>
      </c>
      <c r="B507" s="25" t="n">
        <v>25.483</v>
      </c>
      <c r="C507" s="25" t="n">
        <v>30</v>
      </c>
      <c r="D507" s="26" t="n">
        <v>0.110306</v>
      </c>
      <c r="E507" s="27" t="n">
        <v>0.13788</v>
      </c>
      <c r="F507" s="28" t="n">
        <f aca="false">ROUND(B507*E507,2)</f>
        <v>3.51</v>
      </c>
      <c r="H507" s="29" t="n">
        <v>217.137</v>
      </c>
      <c r="I507" s="30" t="n">
        <v>0.13788</v>
      </c>
      <c r="J507" s="31" t="n">
        <f aca="false">ROUND(H507*I507,2)</f>
        <v>29.94</v>
      </c>
      <c r="L507" s="32" t="n">
        <v>2.808</v>
      </c>
      <c r="M507" s="33" t="n">
        <v>0.13788</v>
      </c>
      <c r="N507" s="34" t="n">
        <f aca="false">ROUND(L507*M507,2)</f>
        <v>0.39</v>
      </c>
      <c r="P507" s="35" t="s">
        <v>512</v>
      </c>
    </row>
    <row r="508" customFormat="false" ht="15" hidden="false" customHeight="false" outlineLevel="0" collapsed="false">
      <c r="A508" s="24" t="s">
        <v>264</v>
      </c>
      <c r="B508" s="25" t="n">
        <v>62.697</v>
      </c>
      <c r="C508" s="25" t="n">
        <v>30</v>
      </c>
      <c r="D508" s="26" t="n">
        <v>0.110306</v>
      </c>
      <c r="E508" s="27" t="n">
        <v>0.13788</v>
      </c>
      <c r="F508" s="28" t="n">
        <f aca="false">ROUND(B508*E508,2)</f>
        <v>8.64</v>
      </c>
      <c r="H508" s="29" t="n">
        <v>163.934</v>
      </c>
      <c r="I508" s="30" t="n">
        <v>0.13788</v>
      </c>
      <c r="J508" s="31" t="n">
        <f aca="false">ROUND(H508*I508,2)</f>
        <v>22.6</v>
      </c>
      <c r="L508" s="32" t="n">
        <v>25.709</v>
      </c>
      <c r="M508" s="33" t="n">
        <v>0.13788</v>
      </c>
      <c r="N508" s="34" t="n">
        <f aca="false">ROUND(L508*M508,2)</f>
        <v>3.54</v>
      </c>
    </row>
    <row r="509" customFormat="false" ht="15" hidden="false" customHeight="false" outlineLevel="0" collapsed="false">
      <c r="A509" s="24" t="s">
        <v>265</v>
      </c>
      <c r="B509" s="25" t="n">
        <v>260.137</v>
      </c>
      <c r="C509" s="25" t="n">
        <v>30</v>
      </c>
      <c r="D509" s="26" t="n">
        <v>0.110306</v>
      </c>
      <c r="E509" s="27" t="n">
        <v>0.13788</v>
      </c>
      <c r="F509" s="28" t="n">
        <f aca="false">ROUND(B509*E509,2)</f>
        <v>35.87</v>
      </c>
      <c r="H509" s="29" t="n">
        <v>380.582</v>
      </c>
      <c r="I509" s="30" t="n">
        <v>0.13788</v>
      </c>
      <c r="J509" s="31" t="n">
        <f aca="false">ROUND(H509*I509,2)</f>
        <v>52.47</v>
      </c>
      <c r="L509" s="32" t="n">
        <v>137.748</v>
      </c>
      <c r="M509" s="33" t="n">
        <v>0.13788</v>
      </c>
      <c r="N509" s="34" t="n">
        <f aca="false">ROUND(L509*M509,2)</f>
        <v>18.99</v>
      </c>
    </row>
    <row r="510" customFormat="false" ht="15" hidden="false" customHeight="false" outlineLevel="0" collapsed="false">
      <c r="A510" s="24" t="s">
        <v>266</v>
      </c>
      <c r="B510" s="25" t="n">
        <v>1</v>
      </c>
      <c r="C510" s="25" t="n">
        <v>30</v>
      </c>
      <c r="D510" s="26" t="n">
        <v>1.3414</v>
      </c>
      <c r="E510" s="27" t="n">
        <v>3</v>
      </c>
      <c r="F510" s="28" t="n">
        <f aca="false">ROUND(B510*E510,2)</f>
        <v>3</v>
      </c>
      <c r="H510" s="29" t="n">
        <v>1</v>
      </c>
      <c r="I510" s="30" t="n">
        <v>3</v>
      </c>
      <c r="J510" s="31" t="n">
        <f aca="false">ROUND(H510*I510,2)</f>
        <v>3</v>
      </c>
      <c r="L510" s="32" t="n">
        <v>1</v>
      </c>
      <c r="M510" s="33" t="n">
        <v>3</v>
      </c>
      <c r="N510" s="34" t="n">
        <f aca="false">ROUND(L510*M510,2)</f>
        <v>3</v>
      </c>
    </row>
    <row r="511" customFormat="false" ht="15" hidden="false" customHeight="false" outlineLevel="0" collapsed="false">
      <c r="A511" s="24" t="s">
        <v>267</v>
      </c>
      <c r="B511" s="25" t="n">
        <v>30</v>
      </c>
      <c r="C511" s="25" t="n">
        <v>30</v>
      </c>
      <c r="D511" s="26" t="n">
        <v>0.5736</v>
      </c>
      <c r="E511" s="27" t="n">
        <v>0.01274</v>
      </c>
      <c r="F511" s="28" t="n">
        <f aca="false">ROUND(B511*E511,2)</f>
        <v>0.38</v>
      </c>
      <c r="H511" s="29" t="n">
        <v>30</v>
      </c>
      <c r="I511" s="30" t="n">
        <v>0.01274</v>
      </c>
      <c r="J511" s="31" t="n">
        <f aca="false">ROUND(H511*I511,2)</f>
        <v>0.38</v>
      </c>
      <c r="L511" s="32" t="n">
        <v>30</v>
      </c>
      <c r="M511" s="33" t="n">
        <v>0.00629</v>
      </c>
      <c r="N511" s="34" t="n">
        <f aca="false">ROUND(L511*M511,2)</f>
        <v>0.19</v>
      </c>
    </row>
    <row r="512" customFormat="false" ht="15" hidden="false" customHeight="false" outlineLevel="0" collapsed="false">
      <c r="A512" s="24" t="s">
        <v>268</v>
      </c>
      <c r="B512" s="25" t="n">
        <v>3.26</v>
      </c>
      <c r="C512" s="25" t="n">
        <v>30</v>
      </c>
      <c r="D512" s="26" t="n">
        <v>0.24729</v>
      </c>
      <c r="E512" s="27" t="n">
        <v>1</v>
      </c>
      <c r="F512" s="28" t="n">
        <f aca="false">ROUND(B512*E512,2)</f>
        <v>3.26</v>
      </c>
      <c r="H512" s="29" t="n">
        <v>6.54</v>
      </c>
      <c r="I512" s="30" t="n">
        <v>1</v>
      </c>
      <c r="J512" s="31" t="n">
        <f aca="false">ROUND(H512*I512,2)</f>
        <v>6.54</v>
      </c>
      <c r="L512" s="32" t="n">
        <v>2.13</v>
      </c>
      <c r="M512" s="33" t="n">
        <v>1</v>
      </c>
      <c r="N512" s="34" t="n">
        <f aca="false">ROUND(L512*M512,2)</f>
        <v>2.13</v>
      </c>
    </row>
    <row r="513" customFormat="false" ht="15" hidden="false" customHeight="false" outlineLevel="0" collapsed="false">
      <c r="A513" s="37" t="s">
        <v>269</v>
      </c>
      <c r="F513" s="38" t="n">
        <f aca="false">ROUND((SUM(F505:F512)-F512)*1.1+F512,2)</f>
        <v>105.38</v>
      </c>
      <c r="J513" s="39" t="n">
        <f aca="false">ROUND(SUM(J505:J512),2)</f>
        <v>156.37</v>
      </c>
      <c r="N513" s="40" t="n">
        <f aca="false">ROUND(SUM(N505:N512),2)</f>
        <v>69.68</v>
      </c>
    </row>
    <row r="514" customFormat="false" ht="15" hidden="false" customHeight="false" outlineLevel="0" collapsed="false">
      <c r="A514" s="15" t="s">
        <v>270</v>
      </c>
      <c r="B514" s="41" t="n">
        <f aca="false">IF((F507+F505+F509+F506+F508)=0,"",((F507+F505+F509+F506+F508)-(B507*D507+B505*D505+B509*D509+B506*D506+B508*D508))/(F507+F505+F509+F506+F508))</f>
        <v>0.167577744220881</v>
      </c>
      <c r="D514" s="42" t="str">
        <f aca="false">IF(B514="","SIN PC",IF(B514&gt;=Detalle!$G$1,"APROBAR",IF(B514&gt;=0.2,"REVISAR","RECHAZAR")))</f>
        <v>RECHAZAR</v>
      </c>
      <c r="E514" s="42"/>
      <c r="F514" s="42"/>
    </row>
    <row r="515" customFormat="false" ht="15" hidden="false" customHeight="false" outlineLevel="0" collapsed="false">
      <c r="A515" s="44" t="s">
        <v>379</v>
      </c>
      <c r="B515" s="44"/>
      <c r="C515" s="44"/>
      <c r="D515" s="44"/>
      <c r="E515" s="44"/>
      <c r="F515" s="44"/>
    </row>
    <row r="516" customFormat="false" ht="15" hidden="false" customHeight="false" outlineLevel="0" collapsed="false">
      <c r="A516" s="45" t="s">
        <v>247</v>
      </c>
      <c r="B516" s="45" t="s">
        <v>380</v>
      </c>
      <c r="D516" s="45" t="s">
        <v>381</v>
      </c>
      <c r="E516" s="45" t="s">
        <v>382</v>
      </c>
      <c r="F516" s="45" t="s">
        <v>256</v>
      </c>
    </row>
    <row r="517" customFormat="false" ht="15" hidden="false" customHeight="false" outlineLevel="0" collapsed="false">
      <c r="A517" s="46" t="s">
        <v>383</v>
      </c>
      <c r="B517" s="47" t="n">
        <v>471</v>
      </c>
      <c r="C517" s="48"/>
      <c r="D517" s="26" t="n">
        <v>0.06</v>
      </c>
      <c r="E517" s="48"/>
      <c r="F517" s="49" t="n">
        <f aca="false">ROUND(B517*D517,2)</f>
        <v>28.26</v>
      </c>
    </row>
    <row r="518" customFormat="false" ht="15" hidden="false" customHeight="false" outlineLevel="0" collapsed="false">
      <c r="A518" s="46" t="s">
        <v>384</v>
      </c>
      <c r="B518" s="48"/>
      <c r="C518" s="48"/>
      <c r="D518" s="48"/>
      <c r="E518" s="50" t="n">
        <v>0.06</v>
      </c>
      <c r="F518" s="49" t="n">
        <v>25.84</v>
      </c>
    </row>
    <row r="519" customFormat="false" ht="15" hidden="false" customHeight="false" outlineLevel="0" collapsed="false">
      <c r="A519" s="51" t="s">
        <v>385</v>
      </c>
      <c r="B519" s="48"/>
      <c r="C519" s="48"/>
      <c r="D519" s="48"/>
      <c r="E519" s="48"/>
      <c r="F519" s="52" t="n">
        <f aca="false">F517-F518</f>
        <v>2.42</v>
      </c>
    </row>
    <row r="521" customFormat="false" ht="15" hidden="false" customHeight="false" outlineLevel="0" collapsed="false">
      <c r="A521" s="11" t="s">
        <v>513</v>
      </c>
      <c r="B521" s="11"/>
      <c r="C521" s="11"/>
      <c r="D521" s="11"/>
      <c r="E521" s="11"/>
      <c r="F521" s="11"/>
      <c r="H521" s="11" t="s">
        <v>514</v>
      </c>
      <c r="I521" s="11"/>
      <c r="J521" s="11"/>
      <c r="K521" s="11"/>
      <c r="L521" s="11"/>
      <c r="M521" s="11"/>
      <c r="N521" s="11"/>
      <c r="P521" s="14" t="s">
        <v>246</v>
      </c>
    </row>
    <row r="522" customFormat="false" ht="15" hidden="false" customHeight="false" outlineLevel="0" collapsed="false">
      <c r="A522" s="15" t="s">
        <v>247</v>
      </c>
      <c r="B522" s="16" t="s">
        <v>248</v>
      </c>
      <c r="C522" s="17"/>
      <c r="D522" s="17"/>
      <c r="E522" s="17"/>
      <c r="F522" s="17"/>
      <c r="H522" s="18" t="s">
        <v>515</v>
      </c>
      <c r="I522" s="19"/>
      <c r="J522" s="19"/>
      <c r="L522" s="20" t="s">
        <v>428</v>
      </c>
      <c r="M522" s="21"/>
      <c r="N522" s="21"/>
      <c r="P522" s="14" t="s">
        <v>516</v>
      </c>
    </row>
    <row r="523" customFormat="false" ht="15" hidden="false" customHeight="false" outlineLevel="0" collapsed="false">
      <c r="B523" s="3" t="s">
        <v>252</v>
      </c>
      <c r="C523" s="3" t="s">
        <v>253</v>
      </c>
      <c r="D523" s="3" t="s">
        <v>254</v>
      </c>
      <c r="E523" s="3" t="s">
        <v>255</v>
      </c>
      <c r="F523" s="3" t="s">
        <v>256</v>
      </c>
      <c r="H523" s="22" t="s">
        <v>252</v>
      </c>
      <c r="I523" s="22" t="s">
        <v>255</v>
      </c>
      <c r="J523" s="22" t="s">
        <v>256</v>
      </c>
      <c r="L523" s="23" t="s">
        <v>252</v>
      </c>
      <c r="M523" s="23" t="s">
        <v>255</v>
      </c>
      <c r="N523" s="23" t="s">
        <v>256</v>
      </c>
      <c r="P523" s="14" t="s">
        <v>517</v>
      </c>
    </row>
    <row r="524" customFormat="false" ht="15" hidden="false" customHeight="false" outlineLevel="0" collapsed="false">
      <c r="A524" s="24" t="s">
        <v>258</v>
      </c>
      <c r="B524" s="25" t="n">
        <v>5.75</v>
      </c>
      <c r="C524" s="25" t="n">
        <v>30</v>
      </c>
      <c r="D524" s="26" t="n">
        <v>3.68919</v>
      </c>
      <c r="E524" s="27" t="n">
        <v>3.85</v>
      </c>
      <c r="F524" s="28" t="n">
        <f aca="false">ROUND(B524*E524,2)</f>
        <v>22.14</v>
      </c>
      <c r="H524" s="29" t="n">
        <v>5.75</v>
      </c>
      <c r="I524" s="30" t="n">
        <v>3.85</v>
      </c>
      <c r="J524" s="31" t="n">
        <f aca="false">ROUND(H524*I524,2)</f>
        <v>22.14</v>
      </c>
      <c r="L524" s="53"/>
      <c r="M524" s="53"/>
      <c r="N524" s="53"/>
      <c r="P524" s="35" t="s">
        <v>518</v>
      </c>
    </row>
    <row r="525" customFormat="false" ht="15" hidden="false" customHeight="false" outlineLevel="0" collapsed="false">
      <c r="A525" s="24" t="s">
        <v>260</v>
      </c>
      <c r="B525" s="25" t="n">
        <v>5.75</v>
      </c>
      <c r="C525" s="25" t="n">
        <v>30</v>
      </c>
      <c r="D525" s="26" t="n">
        <v>1.31928</v>
      </c>
      <c r="E525" s="27" t="n">
        <v>1.33</v>
      </c>
      <c r="F525" s="28" t="n">
        <f aca="false">ROUND(B525*E525,2)</f>
        <v>7.65</v>
      </c>
      <c r="H525" s="29" t="n">
        <v>5.75</v>
      </c>
      <c r="I525" s="30" t="n">
        <v>1.33</v>
      </c>
      <c r="J525" s="31" t="n">
        <f aca="false">ROUND(H525*I525,2)</f>
        <v>7.65</v>
      </c>
      <c r="L525" s="53"/>
      <c r="M525" s="53"/>
      <c r="N525" s="53"/>
      <c r="P525" s="36" t="s">
        <v>261</v>
      </c>
    </row>
    <row r="526" customFormat="false" ht="15" hidden="false" customHeight="false" outlineLevel="0" collapsed="false">
      <c r="A526" s="24" t="s">
        <v>262</v>
      </c>
      <c r="B526" s="25" t="n">
        <v>86.537</v>
      </c>
      <c r="C526" s="25" t="n">
        <v>30</v>
      </c>
      <c r="D526" s="26" t="n">
        <v>0.111171</v>
      </c>
      <c r="E526" s="27" t="n">
        <v>0.13788</v>
      </c>
      <c r="F526" s="28" t="n">
        <f aca="false">ROUND(B526*E526,2)</f>
        <v>11.93</v>
      </c>
      <c r="H526" s="29" t="n">
        <v>142.934</v>
      </c>
      <c r="I526" s="30" t="n">
        <v>0.13788</v>
      </c>
      <c r="J526" s="31" t="n">
        <f aca="false">ROUND(H526*I526,2)</f>
        <v>19.71</v>
      </c>
      <c r="L526" s="53"/>
      <c r="M526" s="53"/>
      <c r="N526" s="53"/>
      <c r="P526" s="35" t="s">
        <v>519</v>
      </c>
    </row>
    <row r="527" customFormat="false" ht="15" hidden="false" customHeight="false" outlineLevel="0" collapsed="false">
      <c r="A527" s="24" t="s">
        <v>264</v>
      </c>
      <c r="B527" s="25" t="n">
        <v>53.745</v>
      </c>
      <c r="C527" s="25" t="n">
        <v>30</v>
      </c>
      <c r="D527" s="26" t="n">
        <v>0.111171</v>
      </c>
      <c r="E527" s="27" t="n">
        <v>0.13788</v>
      </c>
      <c r="F527" s="28" t="n">
        <f aca="false">ROUND(B527*E527,2)</f>
        <v>7.41</v>
      </c>
      <c r="H527" s="29" t="n">
        <v>139.259</v>
      </c>
      <c r="I527" s="30" t="n">
        <v>0.13788</v>
      </c>
      <c r="J527" s="31" t="n">
        <f aca="false">ROUND(H527*I527,2)</f>
        <v>19.2</v>
      </c>
      <c r="L527" s="53"/>
      <c r="M527" s="53"/>
      <c r="N527" s="53"/>
    </row>
    <row r="528" customFormat="false" ht="15" hidden="false" customHeight="false" outlineLevel="0" collapsed="false">
      <c r="A528" s="24" t="s">
        <v>265</v>
      </c>
      <c r="B528" s="25" t="n">
        <v>131.782</v>
      </c>
      <c r="C528" s="25" t="n">
        <v>30</v>
      </c>
      <c r="D528" s="26" t="n">
        <v>0.111171</v>
      </c>
      <c r="E528" s="27" t="n">
        <v>0.13788</v>
      </c>
      <c r="F528" s="28" t="n">
        <f aca="false">ROUND(B528*E528,2)</f>
        <v>18.17</v>
      </c>
      <c r="H528" s="29" t="n">
        <v>285.917</v>
      </c>
      <c r="I528" s="30" t="n">
        <v>0.13788</v>
      </c>
      <c r="J528" s="31" t="n">
        <f aca="false">ROUND(H528*I528,2)</f>
        <v>39.42</v>
      </c>
      <c r="L528" s="53"/>
      <c r="M528" s="53"/>
      <c r="N528" s="53"/>
    </row>
    <row r="529" customFormat="false" ht="15" hidden="false" customHeight="false" outlineLevel="0" collapsed="false">
      <c r="A529" s="24" t="s">
        <v>266</v>
      </c>
      <c r="B529" s="25" t="n">
        <v>1</v>
      </c>
      <c r="C529" s="25" t="n">
        <v>30</v>
      </c>
      <c r="D529" s="26" t="n">
        <v>0.7989</v>
      </c>
      <c r="E529" s="27" t="n">
        <v>3</v>
      </c>
      <c r="F529" s="28" t="n">
        <f aca="false">ROUND(B529*E529,2)</f>
        <v>3</v>
      </c>
      <c r="H529" s="29" t="n">
        <v>1</v>
      </c>
      <c r="I529" s="30" t="n">
        <v>3</v>
      </c>
      <c r="J529" s="31" t="n">
        <f aca="false">ROUND(H529*I529,2)</f>
        <v>3</v>
      </c>
      <c r="L529" s="53"/>
      <c r="M529" s="53"/>
      <c r="N529" s="53"/>
    </row>
    <row r="530" customFormat="false" ht="15" hidden="false" customHeight="false" outlineLevel="0" collapsed="false">
      <c r="A530" s="24" t="s">
        <v>267</v>
      </c>
      <c r="B530" s="25" t="n">
        <v>30</v>
      </c>
      <c r="C530" s="25" t="n">
        <v>30</v>
      </c>
      <c r="D530" s="26" t="n">
        <v>0.5736</v>
      </c>
      <c r="E530" s="27" t="n">
        <v>0.01274</v>
      </c>
      <c r="F530" s="28" t="n">
        <f aca="false">ROUND(B530*E530,2)</f>
        <v>0.38</v>
      </c>
      <c r="H530" s="29" t="n">
        <v>30</v>
      </c>
      <c r="I530" s="30" t="n">
        <v>0.01274</v>
      </c>
      <c r="J530" s="31" t="n">
        <f aca="false">ROUND(H530*I530,2)</f>
        <v>0.38</v>
      </c>
      <c r="L530" s="53"/>
      <c r="M530" s="53"/>
      <c r="N530" s="53"/>
    </row>
    <row r="531" customFormat="false" ht="15" hidden="false" customHeight="false" outlineLevel="0" collapsed="false">
      <c r="A531" s="24" t="s">
        <v>268</v>
      </c>
      <c r="B531" s="25" t="n">
        <v>1.9</v>
      </c>
      <c r="C531" s="25" t="n">
        <v>30</v>
      </c>
      <c r="D531" s="26" t="n">
        <v>0.27312</v>
      </c>
      <c r="E531" s="27" t="n">
        <v>1</v>
      </c>
      <c r="F531" s="28" t="n">
        <f aca="false">ROUND(B531*E531,2)</f>
        <v>1.9</v>
      </c>
      <c r="H531" s="29" t="n">
        <v>4.6</v>
      </c>
      <c r="I531" s="30" t="n">
        <v>1</v>
      </c>
      <c r="J531" s="31" t="n">
        <f aca="false">ROUND(H531*I531,2)</f>
        <v>4.6</v>
      </c>
      <c r="L531" s="53"/>
      <c r="M531" s="53"/>
      <c r="N531" s="53"/>
    </row>
    <row r="532" customFormat="false" ht="15" hidden="false" customHeight="false" outlineLevel="0" collapsed="false">
      <c r="A532" s="37" t="s">
        <v>269</v>
      </c>
      <c r="F532" s="38" t="n">
        <f aca="false">ROUND((SUM(F524:F531)-F531)*1.1+F531,2)</f>
        <v>79.65</v>
      </c>
      <c r="J532" s="39" t="n">
        <f aca="false">ROUND(SUM(J524:J531),2)</f>
        <v>116.1</v>
      </c>
      <c r="N532" s="54"/>
    </row>
    <row r="533" customFormat="false" ht="15" hidden="false" customHeight="false" outlineLevel="0" collapsed="false">
      <c r="A533" s="15" t="s">
        <v>270</v>
      </c>
      <c r="B533" s="41" t="n">
        <f aca="false">IF((F526+F524+F528+F525+F527)=0,"",((F526+F524+F528+F525+F527)-(B526*D526+B524*D524+B528*D528+B525*D525+B527*D527))/(F526+F524+F528+F525+F527))</f>
        <v>0.122669696225854</v>
      </c>
      <c r="D533" s="42" t="str">
        <f aca="false">IF(B533="","SIN PC",IF(B533&gt;=Detalle!$G$1,"APROBAR",IF(B533&gt;=0.2,"REVISAR","RECHAZAR")))</f>
        <v>RECHAZAR</v>
      </c>
      <c r="E533" s="42"/>
      <c r="F533" s="42"/>
    </row>
    <row r="534" customFormat="false" ht="15" hidden="false" customHeight="false" outlineLevel="0" collapsed="false">
      <c r="A534" s="44" t="s">
        <v>379</v>
      </c>
      <c r="B534" s="44"/>
      <c r="C534" s="44"/>
      <c r="D534" s="44"/>
      <c r="E534" s="44"/>
      <c r="F534" s="44"/>
    </row>
    <row r="535" customFormat="false" ht="15" hidden="false" customHeight="false" outlineLevel="0" collapsed="false">
      <c r="A535" s="45" t="s">
        <v>247</v>
      </c>
      <c r="B535" s="45" t="s">
        <v>380</v>
      </c>
      <c r="D535" s="45" t="s">
        <v>381</v>
      </c>
      <c r="E535" s="45" t="s">
        <v>382</v>
      </c>
      <c r="F535" s="45" t="s">
        <v>256</v>
      </c>
    </row>
    <row r="536" customFormat="false" ht="15" hidden="false" customHeight="false" outlineLevel="0" collapsed="false">
      <c r="A536" s="46" t="s">
        <v>383</v>
      </c>
      <c r="B536" s="47" t="n">
        <v>528</v>
      </c>
      <c r="C536" s="48"/>
      <c r="D536" s="26" t="n">
        <v>0.06</v>
      </c>
      <c r="E536" s="48"/>
      <c r="F536" s="49" t="n">
        <f aca="false">ROUND(B536*D536,2)</f>
        <v>31.68</v>
      </c>
    </row>
    <row r="537" customFormat="false" ht="15" hidden="false" customHeight="false" outlineLevel="0" collapsed="false">
      <c r="A537" s="46" t="s">
        <v>384</v>
      </c>
      <c r="B537" s="48"/>
      <c r="C537" s="48"/>
      <c r="D537" s="48"/>
      <c r="E537" s="50" t="n">
        <v>0.07</v>
      </c>
      <c r="F537" s="49" t="n">
        <v>30.38</v>
      </c>
    </row>
    <row r="538" customFormat="false" ht="15" hidden="false" customHeight="false" outlineLevel="0" collapsed="false">
      <c r="A538" s="51" t="s">
        <v>385</v>
      </c>
      <c r="B538" s="48"/>
      <c r="C538" s="48"/>
      <c r="D538" s="48"/>
      <c r="E538" s="48"/>
      <c r="F538" s="52" t="n">
        <f aca="false">F536-F537</f>
        <v>1.3</v>
      </c>
    </row>
    <row r="540" customFormat="false" ht="15" hidden="false" customHeight="false" outlineLevel="0" collapsed="false">
      <c r="A540" s="11" t="s">
        <v>520</v>
      </c>
      <c r="B540" s="11"/>
      <c r="C540" s="11"/>
      <c r="D540" s="11"/>
      <c r="E540" s="11"/>
      <c r="F540" s="11"/>
      <c r="H540" s="11" t="s">
        <v>521</v>
      </c>
      <c r="I540" s="11"/>
      <c r="J540" s="11"/>
      <c r="K540" s="11"/>
      <c r="L540" s="11"/>
      <c r="M540" s="11"/>
      <c r="N540" s="11"/>
      <c r="P540" s="14" t="s">
        <v>246</v>
      </c>
    </row>
    <row r="541" customFormat="false" ht="15" hidden="false" customHeight="false" outlineLevel="0" collapsed="false">
      <c r="A541" s="15" t="s">
        <v>247</v>
      </c>
      <c r="B541" s="16" t="s">
        <v>248</v>
      </c>
      <c r="C541" s="17"/>
      <c r="D541" s="17"/>
      <c r="E541" s="17"/>
      <c r="F541" s="17"/>
      <c r="H541" s="18" t="s">
        <v>522</v>
      </c>
      <c r="I541" s="19"/>
      <c r="J541" s="19"/>
      <c r="L541" s="20" t="s">
        <v>523</v>
      </c>
      <c r="M541" s="21"/>
      <c r="N541" s="21"/>
      <c r="P541" s="14" t="s">
        <v>524</v>
      </c>
    </row>
    <row r="542" customFormat="false" ht="15" hidden="false" customHeight="false" outlineLevel="0" collapsed="false">
      <c r="B542" s="3" t="s">
        <v>252</v>
      </c>
      <c r="C542" s="3" t="s">
        <v>253</v>
      </c>
      <c r="D542" s="3" t="s">
        <v>254</v>
      </c>
      <c r="E542" s="3" t="s">
        <v>255</v>
      </c>
      <c r="F542" s="3" t="s">
        <v>256</v>
      </c>
      <c r="H542" s="22" t="s">
        <v>252</v>
      </c>
      <c r="I542" s="22" t="s">
        <v>255</v>
      </c>
      <c r="J542" s="22" t="s">
        <v>256</v>
      </c>
      <c r="L542" s="23" t="s">
        <v>252</v>
      </c>
      <c r="M542" s="23" t="s">
        <v>255</v>
      </c>
      <c r="N542" s="23" t="s">
        <v>256</v>
      </c>
      <c r="P542" s="14" t="s">
        <v>525</v>
      </c>
    </row>
    <row r="543" customFormat="false" ht="15" hidden="false" customHeight="false" outlineLevel="0" collapsed="false">
      <c r="A543" s="24" t="s">
        <v>258</v>
      </c>
      <c r="B543" s="25" t="n">
        <v>9.9</v>
      </c>
      <c r="C543" s="25" t="n">
        <v>30</v>
      </c>
      <c r="D543" s="26" t="n">
        <v>3.4086</v>
      </c>
      <c r="E543" s="27" t="n">
        <v>3.85</v>
      </c>
      <c r="F543" s="28" t="n">
        <f aca="false">ROUND(B543*E543,2)</f>
        <v>38.12</v>
      </c>
      <c r="H543" s="29" t="n">
        <v>9.9</v>
      </c>
      <c r="I543" s="30" t="n">
        <v>3.85</v>
      </c>
      <c r="J543" s="31" t="n">
        <f aca="false">ROUND(H543*I543,2)</f>
        <v>38.12</v>
      </c>
      <c r="L543" s="32" t="n">
        <v>9.9</v>
      </c>
      <c r="M543" s="33" t="n">
        <v>3.85</v>
      </c>
      <c r="N543" s="34" t="n">
        <f aca="false">ROUND(L543*M543,2)</f>
        <v>38.12</v>
      </c>
      <c r="P543" s="35" t="s">
        <v>526</v>
      </c>
    </row>
    <row r="544" customFormat="false" ht="15" hidden="false" customHeight="false" outlineLevel="0" collapsed="false">
      <c r="A544" s="24" t="s">
        <v>260</v>
      </c>
      <c r="B544" s="25" t="n">
        <v>9.9</v>
      </c>
      <c r="C544" s="25" t="n">
        <v>30</v>
      </c>
      <c r="D544" s="26" t="n">
        <v>1.09728</v>
      </c>
      <c r="E544" s="27" t="n">
        <v>1.33</v>
      </c>
      <c r="F544" s="28" t="n">
        <f aca="false">ROUND(B544*E544,2)</f>
        <v>13.17</v>
      </c>
      <c r="H544" s="29" t="n">
        <v>9.9</v>
      </c>
      <c r="I544" s="30" t="n">
        <v>1.33</v>
      </c>
      <c r="J544" s="31" t="n">
        <f aca="false">ROUND(H544*I544,2)</f>
        <v>13.17</v>
      </c>
      <c r="L544" s="32" t="n">
        <v>9.9</v>
      </c>
      <c r="M544" s="33" t="n">
        <v>1.33</v>
      </c>
      <c r="N544" s="34" t="n">
        <f aca="false">ROUND(L544*M544,2)</f>
        <v>13.17</v>
      </c>
      <c r="P544" s="36" t="s">
        <v>261</v>
      </c>
    </row>
    <row r="545" customFormat="false" ht="15" hidden="false" customHeight="false" outlineLevel="0" collapsed="false">
      <c r="A545" s="24" t="s">
        <v>262</v>
      </c>
      <c r="B545" s="25" t="n">
        <v>104.855</v>
      </c>
      <c r="C545" s="25" t="n">
        <v>30</v>
      </c>
      <c r="D545" s="26" t="n">
        <v>0.110306</v>
      </c>
      <c r="E545" s="27" t="n">
        <v>0.13788</v>
      </c>
      <c r="F545" s="28" t="n">
        <f aca="false">ROUND(B545*E545,2)</f>
        <v>14.46</v>
      </c>
      <c r="H545" s="29" t="n">
        <v>163.129</v>
      </c>
      <c r="I545" s="30" t="n">
        <v>0.129</v>
      </c>
      <c r="J545" s="31" t="n">
        <f aca="false">ROUND(H545*I545,2)</f>
        <v>21.04</v>
      </c>
      <c r="L545" s="32" t="n">
        <v>110.834</v>
      </c>
      <c r="M545" s="33" t="n">
        <v>0.13788</v>
      </c>
      <c r="N545" s="34" t="n">
        <f aca="false">ROUND(L545*M545,2)</f>
        <v>15.28</v>
      </c>
      <c r="P545" s="35" t="s">
        <v>527</v>
      </c>
    </row>
    <row r="546" customFormat="false" ht="15" hidden="false" customHeight="false" outlineLevel="0" collapsed="false">
      <c r="A546" s="24" t="s">
        <v>264</v>
      </c>
      <c r="B546" s="25" t="n">
        <v>87.457</v>
      </c>
      <c r="C546" s="25" t="n">
        <v>30</v>
      </c>
      <c r="D546" s="26" t="n">
        <v>0.110306</v>
      </c>
      <c r="E546" s="27" t="n">
        <v>0.13788</v>
      </c>
      <c r="F546" s="28" t="n">
        <f aca="false">ROUND(B546*E546,2)</f>
        <v>12.06</v>
      </c>
      <c r="H546" s="29" t="n">
        <v>178.752</v>
      </c>
      <c r="I546" s="30" t="n">
        <v>0.129</v>
      </c>
      <c r="J546" s="31" t="n">
        <f aca="false">ROUND(H546*I546,2)</f>
        <v>23.06</v>
      </c>
      <c r="L546" s="32" t="n">
        <v>92.373</v>
      </c>
      <c r="M546" s="33" t="n">
        <v>0.13788</v>
      </c>
      <c r="N546" s="34" t="n">
        <f aca="false">ROUND(L546*M546,2)</f>
        <v>12.74</v>
      </c>
    </row>
    <row r="547" customFormat="false" ht="15" hidden="false" customHeight="false" outlineLevel="0" collapsed="false">
      <c r="A547" s="24" t="s">
        <v>265</v>
      </c>
      <c r="B547" s="25" t="n">
        <v>357.718</v>
      </c>
      <c r="C547" s="25" t="n">
        <v>30</v>
      </c>
      <c r="D547" s="26" t="n">
        <v>0.110306</v>
      </c>
      <c r="E547" s="27" t="n">
        <v>0.13788</v>
      </c>
      <c r="F547" s="28" t="n">
        <f aca="false">ROUND(B547*E547,2)</f>
        <v>49.32</v>
      </c>
      <c r="H547" s="29" t="n">
        <v>515.8</v>
      </c>
      <c r="I547" s="30" t="n">
        <v>0.129</v>
      </c>
      <c r="J547" s="31" t="n">
        <f aca="false">ROUND(H547*I547,2)</f>
        <v>66.54</v>
      </c>
      <c r="L547" s="32" t="n">
        <v>242.716</v>
      </c>
      <c r="M547" s="33" t="n">
        <v>0.13788</v>
      </c>
      <c r="N547" s="34" t="n">
        <f aca="false">ROUND(L547*M547,2)</f>
        <v>33.47</v>
      </c>
    </row>
    <row r="548" customFormat="false" ht="15" hidden="false" customHeight="false" outlineLevel="0" collapsed="false">
      <c r="A548" s="24" t="s">
        <v>266</v>
      </c>
      <c r="B548" s="25" t="n">
        <v>1</v>
      </c>
      <c r="C548" s="25" t="n">
        <v>30</v>
      </c>
      <c r="D548" s="26" t="n">
        <v>1.3414</v>
      </c>
      <c r="E548" s="27" t="n">
        <v>3</v>
      </c>
      <c r="F548" s="28" t="n">
        <f aca="false">ROUND(B548*E548,2)</f>
        <v>3</v>
      </c>
      <c r="H548" s="29" t="n">
        <v>1</v>
      </c>
      <c r="I548" s="30" t="n">
        <v>3</v>
      </c>
      <c r="J548" s="31" t="n">
        <f aca="false">ROUND(H548*I548,2)</f>
        <v>3</v>
      </c>
      <c r="L548" s="32" t="n">
        <v>1</v>
      </c>
      <c r="M548" s="33" t="n">
        <v>3</v>
      </c>
      <c r="N548" s="34" t="n">
        <f aca="false">ROUND(L548*M548,2)</f>
        <v>3</v>
      </c>
    </row>
    <row r="549" customFormat="false" ht="15" hidden="false" customHeight="false" outlineLevel="0" collapsed="false">
      <c r="A549" s="24" t="s">
        <v>267</v>
      </c>
      <c r="B549" s="25" t="n">
        <v>30</v>
      </c>
      <c r="C549" s="25" t="n">
        <v>30</v>
      </c>
      <c r="D549" s="26" t="n">
        <v>0.5736</v>
      </c>
      <c r="E549" s="27" t="n">
        <v>0.01274</v>
      </c>
      <c r="F549" s="28" t="n">
        <f aca="false">ROUND(B549*E549,2)</f>
        <v>0.38</v>
      </c>
      <c r="H549" s="29" t="n">
        <v>30</v>
      </c>
      <c r="I549" s="30" t="n">
        <v>0.01274</v>
      </c>
      <c r="J549" s="31" t="n">
        <f aca="false">ROUND(H549*I549,2)</f>
        <v>0.38</v>
      </c>
      <c r="L549" s="32" t="n">
        <v>30</v>
      </c>
      <c r="M549" s="33" t="n">
        <v>0.00629</v>
      </c>
      <c r="N549" s="34" t="n">
        <f aca="false">ROUND(L549*M549,2)</f>
        <v>0.19</v>
      </c>
    </row>
    <row r="550" customFormat="false" ht="15" hidden="false" customHeight="false" outlineLevel="0" collapsed="false">
      <c r="A550" s="24" t="s">
        <v>268</v>
      </c>
      <c r="B550" s="25" t="n">
        <v>5.49</v>
      </c>
      <c r="C550" s="25" t="n">
        <v>30</v>
      </c>
      <c r="D550" s="26" t="n">
        <v>0.24729</v>
      </c>
      <c r="E550" s="27" t="n">
        <v>1</v>
      </c>
      <c r="F550" s="28" t="n">
        <f aca="false">ROUND(B550*E550,2)</f>
        <v>5.49</v>
      </c>
      <c r="H550" s="29" t="n">
        <v>8.28</v>
      </c>
      <c r="I550" s="30" t="n">
        <v>1</v>
      </c>
      <c r="J550" s="31" t="n">
        <f aca="false">ROUND(H550*I550,2)</f>
        <v>8.28</v>
      </c>
      <c r="L550" s="32" t="n">
        <v>4.98</v>
      </c>
      <c r="M550" s="33" t="n">
        <v>1</v>
      </c>
      <c r="N550" s="34" t="n">
        <f aca="false">ROUND(L550*M550,2)</f>
        <v>4.98</v>
      </c>
    </row>
    <row r="551" customFormat="false" ht="15" hidden="false" customHeight="false" outlineLevel="0" collapsed="false">
      <c r="A551" s="37" t="s">
        <v>269</v>
      </c>
      <c r="F551" s="38" t="n">
        <f aca="false">ROUND((SUM(F543:F550)-F550)*1.1+F550,2)</f>
        <v>149.05</v>
      </c>
      <c r="J551" s="39" t="n">
        <f aca="false">ROUND(SUM(J543:J550),2)</f>
        <v>173.59</v>
      </c>
      <c r="N551" s="40" t="n">
        <f aca="false">ROUND(SUM(N543:N550),2)</f>
        <v>120.95</v>
      </c>
    </row>
    <row r="552" customFormat="false" ht="15" hidden="false" customHeight="false" outlineLevel="0" collapsed="false">
      <c r="A552" s="15" t="s">
        <v>270</v>
      </c>
      <c r="B552" s="41" t="n">
        <f aca="false">IF((F545+F543+F547+F544+F546)=0,"",((F545+F543+F547+F544+F546)-(B545*D545+B543*D543+B547*D547+B544*D544+B546*D546))/(F545+F543+F547+F544+F546))</f>
        <v>0.171872719421065</v>
      </c>
      <c r="D552" s="42" t="str">
        <f aca="false">IF(B552="","SIN PC",IF(B552&gt;=Detalle!$G$1,"APROBAR",IF(B552&gt;=0.2,"REVISAR","RECHAZAR")))</f>
        <v>RECHAZAR</v>
      </c>
      <c r="E552" s="42"/>
      <c r="F552" s="42"/>
    </row>
    <row r="553" customFormat="false" ht="15" hidden="false" customHeight="false" outlineLevel="0" collapsed="false">
      <c r="A553" s="44" t="s">
        <v>379</v>
      </c>
      <c r="B553" s="44"/>
      <c r="C553" s="44"/>
      <c r="D553" s="44"/>
      <c r="E553" s="44"/>
      <c r="F553" s="44"/>
    </row>
    <row r="554" customFormat="false" ht="15" hidden="false" customHeight="false" outlineLevel="0" collapsed="false">
      <c r="A554" s="45" t="s">
        <v>247</v>
      </c>
      <c r="B554" s="45" t="s">
        <v>380</v>
      </c>
      <c r="D554" s="45" t="s">
        <v>381</v>
      </c>
      <c r="E554" s="45" t="s">
        <v>382</v>
      </c>
      <c r="F554" s="45" t="s">
        <v>256</v>
      </c>
    </row>
    <row r="555" customFormat="false" ht="15" hidden="false" customHeight="false" outlineLevel="0" collapsed="false">
      <c r="A555" s="46" t="s">
        <v>383</v>
      </c>
      <c r="B555" s="47" t="n">
        <v>324</v>
      </c>
      <c r="C555" s="48"/>
      <c r="D555" s="26" t="n">
        <v>0.06</v>
      </c>
      <c r="E555" s="48"/>
      <c r="F555" s="49" t="n">
        <f aca="false">ROUND(B555*D555,2)</f>
        <v>19.44</v>
      </c>
    </row>
    <row r="556" customFormat="false" ht="15" hidden="false" customHeight="false" outlineLevel="0" collapsed="false">
      <c r="A556" s="46" t="s">
        <v>384</v>
      </c>
      <c r="B556" s="48"/>
      <c r="C556" s="48"/>
      <c r="D556" s="48"/>
      <c r="E556" s="50" t="n">
        <v>0.06</v>
      </c>
      <c r="F556" s="49" t="n">
        <v>19.87</v>
      </c>
    </row>
    <row r="557" customFormat="false" ht="15" hidden="false" customHeight="false" outlineLevel="0" collapsed="false">
      <c r="A557" s="51" t="s">
        <v>385</v>
      </c>
      <c r="B557" s="48"/>
      <c r="C557" s="48"/>
      <c r="D557" s="48"/>
      <c r="E557" s="48"/>
      <c r="F557" s="52" t="n">
        <f aca="false">F555-F556</f>
        <v>-0.43</v>
      </c>
    </row>
    <row r="559" customFormat="false" ht="15" hidden="false" customHeight="false" outlineLevel="0" collapsed="false">
      <c r="A559" s="11" t="s">
        <v>528</v>
      </c>
      <c r="B559" s="11"/>
      <c r="C559" s="11"/>
      <c r="D559" s="11"/>
      <c r="E559" s="11"/>
      <c r="F559" s="11"/>
      <c r="H559" s="11" t="s">
        <v>529</v>
      </c>
      <c r="I559" s="11"/>
      <c r="J559" s="11"/>
      <c r="K559" s="11"/>
      <c r="L559" s="11"/>
      <c r="M559" s="11"/>
      <c r="N559" s="11"/>
      <c r="P559" s="14" t="s">
        <v>246</v>
      </c>
    </row>
    <row r="560" customFormat="false" ht="15" hidden="false" customHeight="false" outlineLevel="0" collapsed="false">
      <c r="A560" s="15" t="s">
        <v>247</v>
      </c>
      <c r="B560" s="16" t="s">
        <v>248</v>
      </c>
      <c r="C560" s="17"/>
      <c r="D560" s="17"/>
      <c r="E560" s="17"/>
      <c r="F560" s="17"/>
      <c r="H560" s="18" t="s">
        <v>530</v>
      </c>
      <c r="I560" s="19"/>
      <c r="J560" s="19"/>
      <c r="L560" s="20" t="s">
        <v>531</v>
      </c>
      <c r="M560" s="21"/>
      <c r="N560" s="21"/>
      <c r="P560" s="14" t="s">
        <v>532</v>
      </c>
    </row>
    <row r="561" customFormat="false" ht="15" hidden="false" customHeight="false" outlineLevel="0" collapsed="false">
      <c r="B561" s="3" t="s">
        <v>252</v>
      </c>
      <c r="C561" s="3" t="s">
        <v>253</v>
      </c>
      <c r="D561" s="3" t="s">
        <v>254</v>
      </c>
      <c r="E561" s="3" t="s">
        <v>255</v>
      </c>
      <c r="F561" s="3" t="s">
        <v>256</v>
      </c>
      <c r="H561" s="22" t="s">
        <v>252</v>
      </c>
      <c r="I561" s="22" t="s">
        <v>255</v>
      </c>
      <c r="J561" s="22" t="s">
        <v>256</v>
      </c>
      <c r="L561" s="23" t="s">
        <v>252</v>
      </c>
      <c r="M561" s="23" t="s">
        <v>255</v>
      </c>
      <c r="N561" s="23" t="s">
        <v>256</v>
      </c>
      <c r="P561" s="14" t="s">
        <v>533</v>
      </c>
    </row>
    <row r="562" customFormat="false" ht="15" hidden="false" customHeight="false" outlineLevel="0" collapsed="false">
      <c r="A562" s="24" t="s">
        <v>258</v>
      </c>
      <c r="B562" s="25" t="n">
        <v>3.45</v>
      </c>
      <c r="C562" s="25" t="n">
        <v>30</v>
      </c>
      <c r="D562" s="26" t="n">
        <v>3.68919</v>
      </c>
      <c r="E562" s="27" t="n">
        <v>4.17</v>
      </c>
      <c r="F562" s="28" t="n">
        <f aca="false">ROUND(B562*E562,2)</f>
        <v>14.39</v>
      </c>
      <c r="H562" s="29" t="n">
        <v>3.45</v>
      </c>
      <c r="I562" s="30" t="n">
        <v>4.17</v>
      </c>
      <c r="J562" s="31" t="n">
        <f aca="false">ROUND(H562*I562,2)</f>
        <v>14.39</v>
      </c>
      <c r="L562" s="32" t="n">
        <v>3.45</v>
      </c>
      <c r="M562" s="33" t="n">
        <v>4.17</v>
      </c>
      <c r="N562" s="34" t="n">
        <f aca="false">ROUND(L562*M562,2)</f>
        <v>14.39</v>
      </c>
      <c r="P562" s="35" t="s">
        <v>534</v>
      </c>
    </row>
    <row r="563" customFormat="false" ht="15" hidden="false" customHeight="false" outlineLevel="0" collapsed="false">
      <c r="A563" s="24" t="s">
        <v>260</v>
      </c>
      <c r="B563" s="25" t="n">
        <v>3.45</v>
      </c>
      <c r="C563" s="25" t="n">
        <v>30</v>
      </c>
      <c r="D563" s="26" t="n">
        <v>1.31928</v>
      </c>
      <c r="E563" s="27" t="n">
        <v>1.37</v>
      </c>
      <c r="F563" s="28" t="n">
        <f aca="false">ROUND(B563*E563,2)</f>
        <v>4.73</v>
      </c>
      <c r="H563" s="29" t="n">
        <v>3.45</v>
      </c>
      <c r="I563" s="30" t="n">
        <v>1.37</v>
      </c>
      <c r="J563" s="31" t="n">
        <f aca="false">ROUND(H563*I563,2)</f>
        <v>4.73</v>
      </c>
      <c r="L563" s="32" t="n">
        <v>3.45</v>
      </c>
      <c r="M563" s="33" t="n">
        <v>1.37</v>
      </c>
      <c r="N563" s="34" t="n">
        <f aca="false">ROUND(L563*M563,2)</f>
        <v>4.73</v>
      </c>
      <c r="P563" s="36" t="s">
        <v>261</v>
      </c>
    </row>
    <row r="564" customFormat="false" ht="15" hidden="false" customHeight="false" outlineLevel="0" collapsed="false">
      <c r="A564" s="24" t="s">
        <v>262</v>
      </c>
      <c r="B564" s="25" t="n">
        <v>22.482</v>
      </c>
      <c r="C564" s="25" t="n">
        <v>30</v>
      </c>
      <c r="D564" s="26" t="n">
        <v>0.111171</v>
      </c>
      <c r="E564" s="27" t="n">
        <v>0.14937</v>
      </c>
      <c r="F564" s="28" t="n">
        <f aca="false">ROUND(B564*E564,2)</f>
        <v>3.36</v>
      </c>
      <c r="H564" s="29" t="n">
        <v>28.042</v>
      </c>
      <c r="I564" s="30" t="n">
        <v>0.14937</v>
      </c>
      <c r="J564" s="31" t="n">
        <f aca="false">ROUND(H564*I564,2)</f>
        <v>4.19</v>
      </c>
      <c r="L564" s="32" t="n">
        <v>28.487</v>
      </c>
      <c r="M564" s="33" t="n">
        <v>0.14937</v>
      </c>
      <c r="N564" s="34" t="n">
        <f aca="false">ROUND(L564*M564,2)</f>
        <v>4.26</v>
      </c>
      <c r="P564" s="35" t="s">
        <v>408</v>
      </c>
    </row>
    <row r="565" customFormat="false" ht="15" hidden="false" customHeight="false" outlineLevel="0" collapsed="false">
      <c r="A565" s="24" t="s">
        <v>264</v>
      </c>
      <c r="B565" s="25" t="n">
        <v>20.603</v>
      </c>
      <c r="C565" s="25" t="n">
        <v>30</v>
      </c>
      <c r="D565" s="26" t="n">
        <v>0.111171</v>
      </c>
      <c r="E565" s="27" t="n">
        <v>0.14937</v>
      </c>
      <c r="F565" s="28" t="n">
        <f aca="false">ROUND(B565*E565,2)</f>
        <v>3.08</v>
      </c>
      <c r="H565" s="29" t="n">
        <v>23.22</v>
      </c>
      <c r="I565" s="30" t="n">
        <v>0.14937</v>
      </c>
      <c r="J565" s="31" t="n">
        <f aca="false">ROUND(H565*I565,2)</f>
        <v>3.47</v>
      </c>
      <c r="L565" s="32" t="n">
        <v>18.742</v>
      </c>
      <c r="M565" s="33" t="n">
        <v>0.14937</v>
      </c>
      <c r="N565" s="34" t="n">
        <f aca="false">ROUND(L565*M565,2)</f>
        <v>2.8</v>
      </c>
    </row>
    <row r="566" customFormat="false" ht="15" hidden="false" customHeight="false" outlineLevel="0" collapsed="false">
      <c r="A566" s="24" t="s">
        <v>265</v>
      </c>
      <c r="B566" s="25" t="n">
        <v>39.904</v>
      </c>
      <c r="C566" s="25" t="n">
        <v>30</v>
      </c>
      <c r="D566" s="26" t="n">
        <v>0.111171</v>
      </c>
      <c r="E566" s="27" t="n">
        <v>0.14937</v>
      </c>
      <c r="F566" s="28" t="n">
        <f aca="false">ROUND(B566*E566,2)</f>
        <v>5.96</v>
      </c>
      <c r="H566" s="29" t="n">
        <v>49.374</v>
      </c>
      <c r="I566" s="30" t="n">
        <v>0.14937</v>
      </c>
      <c r="J566" s="31" t="n">
        <f aca="false">ROUND(H566*I566,2)</f>
        <v>7.37</v>
      </c>
      <c r="L566" s="32" t="n">
        <v>35.281</v>
      </c>
      <c r="M566" s="33" t="n">
        <v>0.14937</v>
      </c>
      <c r="N566" s="34" t="n">
        <f aca="false">ROUND(L566*M566,2)</f>
        <v>5.27</v>
      </c>
    </row>
    <row r="567" customFormat="false" ht="15" hidden="false" customHeight="false" outlineLevel="0" collapsed="false">
      <c r="A567" s="24" t="s">
        <v>266</v>
      </c>
      <c r="B567" s="25" t="n">
        <v>1</v>
      </c>
      <c r="C567" s="25" t="n">
        <v>30</v>
      </c>
      <c r="D567" s="26" t="n">
        <v>0.7989</v>
      </c>
      <c r="E567" s="27" t="n">
        <v>4</v>
      </c>
      <c r="F567" s="28" t="n">
        <f aca="false">ROUND(B567*E567,2)</f>
        <v>4</v>
      </c>
      <c r="H567" s="29" t="n">
        <v>1</v>
      </c>
      <c r="I567" s="30" t="n">
        <v>4</v>
      </c>
      <c r="J567" s="31" t="n">
        <f aca="false">ROUND(H567*I567,2)</f>
        <v>4</v>
      </c>
      <c r="L567" s="32" t="n">
        <v>1</v>
      </c>
      <c r="M567" s="33" t="n">
        <v>4</v>
      </c>
      <c r="N567" s="34" t="n">
        <f aca="false">ROUND(L567*M567,2)</f>
        <v>4</v>
      </c>
    </row>
    <row r="568" customFormat="false" ht="15" hidden="false" customHeight="false" outlineLevel="0" collapsed="false">
      <c r="A568" s="24" t="s">
        <v>267</v>
      </c>
      <c r="B568" s="25" t="n">
        <v>30</v>
      </c>
      <c r="C568" s="25" t="n">
        <v>30</v>
      </c>
      <c r="D568" s="26" t="n">
        <v>0.5736</v>
      </c>
      <c r="E568" s="27" t="n">
        <v>0.01274</v>
      </c>
      <c r="F568" s="28" t="n">
        <f aca="false">ROUND(B568*E568,2)</f>
        <v>0.38</v>
      </c>
      <c r="H568" s="29" t="n">
        <v>30</v>
      </c>
      <c r="I568" s="30" t="n">
        <v>0.01274</v>
      </c>
      <c r="J568" s="31" t="n">
        <f aca="false">ROUND(H568*I568,2)</f>
        <v>0.38</v>
      </c>
      <c r="L568" s="32" t="n">
        <v>30</v>
      </c>
      <c r="M568" s="33" t="n">
        <v>0.00629</v>
      </c>
      <c r="N568" s="34" t="n">
        <f aca="false">ROUND(L568*M568,2)</f>
        <v>0.19</v>
      </c>
    </row>
    <row r="569" customFormat="false" ht="15" hidden="false" customHeight="false" outlineLevel="0" collapsed="false">
      <c r="A569" s="24" t="s">
        <v>268</v>
      </c>
      <c r="B569" s="25" t="n">
        <v>1.19</v>
      </c>
      <c r="C569" s="25" t="n">
        <v>30</v>
      </c>
      <c r="D569" s="26" t="n">
        <v>0.27312</v>
      </c>
      <c r="E569" s="27" t="n">
        <v>1</v>
      </c>
      <c r="F569" s="28" t="n">
        <f aca="false">ROUND(B569*E569,2)</f>
        <v>1.19</v>
      </c>
      <c r="H569" s="29" t="n">
        <v>1.39</v>
      </c>
      <c r="I569" s="30" t="n">
        <v>1</v>
      </c>
      <c r="J569" s="31" t="n">
        <f aca="false">ROUND(H569*I569,2)</f>
        <v>1.39</v>
      </c>
      <c r="L569" s="32" t="n">
        <v>1.18</v>
      </c>
      <c r="M569" s="33" t="n">
        <v>1</v>
      </c>
      <c r="N569" s="34" t="n">
        <f aca="false">ROUND(L569*M569,2)</f>
        <v>1.18</v>
      </c>
    </row>
    <row r="570" customFormat="false" ht="15" hidden="false" customHeight="false" outlineLevel="0" collapsed="false">
      <c r="A570" s="37" t="s">
        <v>269</v>
      </c>
      <c r="F570" s="38" t="n">
        <f aca="false">ROUND((SUM(F562:F569)-F569)*1.1+F569,2)</f>
        <v>40.68</v>
      </c>
      <c r="J570" s="39" t="n">
        <f aca="false">ROUND(SUM(J562:J569),2)</f>
        <v>39.92</v>
      </c>
      <c r="N570" s="40" t="n">
        <f aca="false">ROUND(SUM(N562:N569),2)</f>
        <v>36.82</v>
      </c>
    </row>
    <row r="571" customFormat="false" ht="15" hidden="false" customHeight="false" outlineLevel="0" collapsed="false">
      <c r="A571" s="15" t="s">
        <v>270</v>
      </c>
      <c r="B571" s="41" t="n">
        <f aca="false">IF((F564+F562+F566+F563+F565)=0,"",((F564+F562+F566+F563+F565)-(B564*D564+B562*D562+B566*D566+B563*D563+B565*D565))/(F564+F562+F566+F563+F565))</f>
        <v>0.159099250666244</v>
      </c>
      <c r="D571" s="42" t="str">
        <f aca="false">IF(B571="","SIN PC",IF(B571&gt;=Detalle!$G$1,"APROBAR",IF(B571&gt;=0.2,"REVISAR","RECHAZAR")))</f>
        <v>RECHAZAR</v>
      </c>
      <c r="E571" s="42"/>
      <c r="F571" s="42"/>
    </row>
    <row r="572" customFormat="false" ht="15" hidden="false" customHeight="false" outlineLevel="0" collapsed="false">
      <c r="A572" s="44" t="s">
        <v>379</v>
      </c>
      <c r="B572" s="44"/>
      <c r="C572" s="44"/>
      <c r="D572" s="44"/>
      <c r="E572" s="44"/>
      <c r="F572" s="44"/>
    </row>
    <row r="573" customFormat="false" ht="15" hidden="false" customHeight="false" outlineLevel="0" collapsed="false">
      <c r="A573" s="45" t="s">
        <v>247</v>
      </c>
      <c r="B573" s="45" t="s">
        <v>380</v>
      </c>
      <c r="D573" s="45" t="s">
        <v>381</v>
      </c>
      <c r="E573" s="45" t="s">
        <v>382</v>
      </c>
      <c r="F573" s="45" t="s">
        <v>256</v>
      </c>
    </row>
    <row r="574" customFormat="false" ht="15" hidden="false" customHeight="false" outlineLevel="0" collapsed="false">
      <c r="A574" s="46" t="s">
        <v>383</v>
      </c>
      <c r="B574" s="47" t="n">
        <v>166</v>
      </c>
      <c r="C574" s="48"/>
      <c r="D574" s="26" t="n">
        <v>0.06</v>
      </c>
      <c r="E574" s="48"/>
      <c r="F574" s="49" t="n">
        <f aca="false">ROUND(B574*D574,2)</f>
        <v>9.96</v>
      </c>
    </row>
    <row r="575" customFormat="false" ht="15" hidden="false" customHeight="false" outlineLevel="0" collapsed="false">
      <c r="A575" s="46" t="s">
        <v>384</v>
      </c>
      <c r="B575" s="48"/>
      <c r="C575" s="48"/>
      <c r="D575" s="48"/>
      <c r="E575" s="50" t="n">
        <v>0.06</v>
      </c>
      <c r="F575" s="49" t="n">
        <v>8.41</v>
      </c>
    </row>
    <row r="576" customFormat="false" ht="15" hidden="false" customHeight="false" outlineLevel="0" collapsed="false">
      <c r="A576" s="51" t="s">
        <v>385</v>
      </c>
      <c r="B576" s="48"/>
      <c r="C576" s="48"/>
      <c r="D576" s="48"/>
      <c r="E576" s="48"/>
      <c r="F576" s="52" t="n">
        <f aca="false">F574-F575</f>
        <v>1.55</v>
      </c>
    </row>
    <row r="578" customFormat="false" ht="15" hidden="false" customHeight="false" outlineLevel="0" collapsed="false">
      <c r="A578" s="11" t="s">
        <v>535</v>
      </c>
      <c r="B578" s="11"/>
      <c r="C578" s="11"/>
      <c r="D578" s="11"/>
      <c r="E578" s="11"/>
      <c r="F578" s="11"/>
      <c r="H578" s="11" t="s">
        <v>536</v>
      </c>
      <c r="I578" s="11"/>
      <c r="J578" s="11"/>
      <c r="K578" s="11"/>
      <c r="L578" s="11"/>
      <c r="M578" s="11"/>
      <c r="N578" s="11"/>
      <c r="P578" s="14" t="s">
        <v>246</v>
      </c>
    </row>
    <row r="579" customFormat="false" ht="15" hidden="false" customHeight="false" outlineLevel="0" collapsed="false">
      <c r="A579" s="15" t="s">
        <v>247</v>
      </c>
      <c r="B579" s="16" t="s">
        <v>248</v>
      </c>
      <c r="C579" s="17"/>
      <c r="D579" s="17"/>
      <c r="E579" s="17"/>
      <c r="F579" s="17"/>
      <c r="H579" s="18" t="s">
        <v>537</v>
      </c>
      <c r="I579" s="19"/>
      <c r="J579" s="19"/>
      <c r="L579" s="20" t="s">
        <v>538</v>
      </c>
      <c r="M579" s="21"/>
      <c r="N579" s="21"/>
      <c r="P579" s="14" t="s">
        <v>539</v>
      </c>
    </row>
    <row r="580" customFormat="false" ht="15" hidden="false" customHeight="false" outlineLevel="0" collapsed="false">
      <c r="B580" s="3" t="s">
        <v>252</v>
      </c>
      <c r="C580" s="3" t="s">
        <v>253</v>
      </c>
      <c r="D580" s="3" t="s">
        <v>254</v>
      </c>
      <c r="E580" s="3" t="s">
        <v>255</v>
      </c>
      <c r="F580" s="3" t="s">
        <v>256</v>
      </c>
      <c r="H580" s="22" t="s">
        <v>252</v>
      </c>
      <c r="I580" s="22" t="s">
        <v>255</v>
      </c>
      <c r="J580" s="22" t="s">
        <v>256</v>
      </c>
      <c r="L580" s="23" t="s">
        <v>252</v>
      </c>
      <c r="M580" s="23" t="s">
        <v>255</v>
      </c>
      <c r="N580" s="23" t="s">
        <v>256</v>
      </c>
      <c r="P580" s="14" t="s">
        <v>540</v>
      </c>
    </row>
    <row r="581" customFormat="false" ht="15" hidden="false" customHeight="false" outlineLevel="0" collapsed="false">
      <c r="A581" s="24" t="s">
        <v>258</v>
      </c>
      <c r="B581" s="25" t="n">
        <v>3.5</v>
      </c>
      <c r="C581" s="25" t="n">
        <v>30</v>
      </c>
      <c r="D581" s="26" t="n">
        <v>3.68919</v>
      </c>
      <c r="E581" s="27" t="n">
        <v>4.17</v>
      </c>
      <c r="F581" s="28" t="n">
        <f aca="false">ROUND(B581*E581,2)</f>
        <v>14.6</v>
      </c>
      <c r="H581" s="29" t="n">
        <v>3.5</v>
      </c>
      <c r="I581" s="30" t="n">
        <v>4.17</v>
      </c>
      <c r="J581" s="31" t="n">
        <f aca="false">ROUND(H581*I581,2)</f>
        <v>14.6</v>
      </c>
      <c r="L581" s="32" t="n">
        <v>3.5</v>
      </c>
      <c r="M581" s="33" t="n">
        <v>4.17</v>
      </c>
      <c r="N581" s="34" t="n">
        <f aca="false">ROUND(L581*M581,2)</f>
        <v>14.6</v>
      </c>
      <c r="P581" s="35" t="s">
        <v>541</v>
      </c>
    </row>
    <row r="582" customFormat="false" ht="15" hidden="false" customHeight="false" outlineLevel="0" collapsed="false">
      <c r="A582" s="24" t="s">
        <v>260</v>
      </c>
      <c r="B582" s="25" t="n">
        <v>3.5</v>
      </c>
      <c r="C582" s="25" t="n">
        <v>30</v>
      </c>
      <c r="D582" s="26" t="n">
        <v>1.31928</v>
      </c>
      <c r="E582" s="27" t="n">
        <v>1.37</v>
      </c>
      <c r="F582" s="28" t="n">
        <f aca="false">ROUND(B582*E582,2)</f>
        <v>4.8</v>
      </c>
      <c r="H582" s="29" t="n">
        <v>3.5</v>
      </c>
      <c r="I582" s="30" t="n">
        <v>1.37</v>
      </c>
      <c r="J582" s="31" t="n">
        <f aca="false">ROUND(H582*I582,2)</f>
        <v>4.8</v>
      </c>
      <c r="L582" s="32" t="n">
        <v>3.5</v>
      </c>
      <c r="M582" s="33" t="n">
        <v>1.37</v>
      </c>
      <c r="N582" s="34" t="n">
        <f aca="false">ROUND(L582*M582,2)</f>
        <v>4.8</v>
      </c>
      <c r="P582" s="36" t="s">
        <v>261</v>
      </c>
    </row>
    <row r="583" customFormat="false" ht="15" hidden="false" customHeight="false" outlineLevel="0" collapsed="false">
      <c r="A583" s="24" t="s">
        <v>262</v>
      </c>
      <c r="B583" s="25" t="n">
        <v>321.906</v>
      </c>
      <c r="C583" s="25" t="n">
        <v>30</v>
      </c>
      <c r="D583" s="26" t="n">
        <v>0.111171</v>
      </c>
      <c r="E583" s="27" t="n">
        <v>0.139</v>
      </c>
      <c r="F583" s="28" t="n">
        <f aca="false">ROUND(B583*E583,2)</f>
        <v>44.74</v>
      </c>
      <c r="H583" s="29" t="n">
        <v>344.266</v>
      </c>
      <c r="I583" s="30" t="n">
        <v>0.14937</v>
      </c>
      <c r="J583" s="31" t="n">
        <f aca="false">ROUND(H583*I583,2)</f>
        <v>51.42</v>
      </c>
      <c r="L583" s="32" t="n">
        <v>1200</v>
      </c>
      <c r="M583" s="33" t="n">
        <v>0.135</v>
      </c>
      <c r="N583" s="34" t="n">
        <f aca="false">ROUND(L583*M583,2)</f>
        <v>162</v>
      </c>
      <c r="P583" s="35" t="s">
        <v>542</v>
      </c>
    </row>
    <row r="584" customFormat="false" ht="15" hidden="false" customHeight="false" outlineLevel="0" collapsed="false">
      <c r="A584" s="24" t="s">
        <v>264</v>
      </c>
      <c r="B584" s="25" t="n">
        <v>292.863</v>
      </c>
      <c r="C584" s="25" t="n">
        <v>30</v>
      </c>
      <c r="D584" s="26" t="n">
        <v>0.111171</v>
      </c>
      <c r="E584" s="27" t="n">
        <v>0.139</v>
      </c>
      <c r="F584" s="28" t="n">
        <f aca="false">ROUND(B584*E584,2)</f>
        <v>40.71</v>
      </c>
      <c r="H584" s="29" t="n">
        <v>296.264</v>
      </c>
      <c r="I584" s="30" t="n">
        <v>0.14937</v>
      </c>
      <c r="J584" s="31" t="n">
        <f aca="false">ROUND(H584*I584,2)</f>
        <v>44.25</v>
      </c>
      <c r="L584" s="53"/>
      <c r="M584" s="53"/>
      <c r="N584" s="53"/>
    </row>
    <row r="585" customFormat="false" ht="15" hidden="false" customHeight="false" outlineLevel="0" collapsed="false">
      <c r="A585" s="24" t="s">
        <v>265</v>
      </c>
      <c r="B585" s="25" t="n">
        <v>609.667</v>
      </c>
      <c r="C585" s="25" t="n">
        <v>30</v>
      </c>
      <c r="D585" s="26" t="n">
        <v>0.111171</v>
      </c>
      <c r="E585" s="27" t="n">
        <v>0.139</v>
      </c>
      <c r="F585" s="28" t="n">
        <f aca="false">ROUND(B585*E585,2)</f>
        <v>84.74</v>
      </c>
      <c r="H585" s="29" t="n">
        <v>437.899</v>
      </c>
      <c r="I585" s="30" t="n">
        <v>0.14937</v>
      </c>
      <c r="J585" s="31" t="n">
        <f aca="false">ROUND(H585*I585,2)</f>
        <v>65.41</v>
      </c>
      <c r="L585" s="53"/>
      <c r="M585" s="53"/>
      <c r="N585" s="53"/>
    </row>
    <row r="586" customFormat="false" ht="15" hidden="false" customHeight="false" outlineLevel="0" collapsed="false">
      <c r="A586" s="24" t="s">
        <v>266</v>
      </c>
      <c r="B586" s="25" t="n">
        <v>1</v>
      </c>
      <c r="C586" s="25" t="n">
        <v>30</v>
      </c>
      <c r="D586" s="26" t="n">
        <v>1.3414</v>
      </c>
      <c r="E586" s="27" t="n">
        <v>4</v>
      </c>
      <c r="F586" s="28" t="n">
        <f aca="false">ROUND(B586*E586,2)</f>
        <v>4</v>
      </c>
      <c r="H586" s="29" t="n">
        <v>1</v>
      </c>
      <c r="I586" s="30" t="n">
        <v>4</v>
      </c>
      <c r="J586" s="31" t="n">
        <f aca="false">ROUND(H586*I586,2)</f>
        <v>4</v>
      </c>
      <c r="L586" s="32" t="n">
        <v>1</v>
      </c>
      <c r="M586" s="33" t="n">
        <v>4</v>
      </c>
      <c r="N586" s="34" t="n">
        <f aca="false">ROUND(L586*M586,2)</f>
        <v>4</v>
      </c>
    </row>
    <row r="587" customFormat="false" ht="15" hidden="false" customHeight="false" outlineLevel="0" collapsed="false">
      <c r="A587" s="24" t="s">
        <v>267</v>
      </c>
      <c r="B587" s="25" t="n">
        <v>30</v>
      </c>
      <c r="C587" s="25" t="n">
        <v>30</v>
      </c>
      <c r="D587" s="26" t="n">
        <v>0.5736</v>
      </c>
      <c r="E587" s="27" t="n">
        <v>0.01274</v>
      </c>
      <c r="F587" s="28" t="n">
        <f aca="false">ROUND(B587*E587,2)</f>
        <v>0.38</v>
      </c>
      <c r="H587" s="29" t="n">
        <v>30</v>
      </c>
      <c r="I587" s="30" t="n">
        <v>0.01274</v>
      </c>
      <c r="J587" s="31" t="n">
        <f aca="false">ROUND(H587*I587,2)</f>
        <v>0.38</v>
      </c>
      <c r="L587" s="32" t="n">
        <v>29</v>
      </c>
      <c r="M587" s="33" t="n">
        <v>0.01274</v>
      </c>
      <c r="N587" s="34" t="n">
        <f aca="false">ROUND(L587*M587,2)</f>
        <v>0.37</v>
      </c>
    </row>
    <row r="588" customFormat="false" ht="15" hidden="false" customHeight="false" outlineLevel="0" collapsed="false">
      <c r="A588" s="24" t="s">
        <v>268</v>
      </c>
      <c r="B588" s="25" t="n">
        <v>10.4</v>
      </c>
      <c r="C588" s="25" t="n">
        <v>30</v>
      </c>
      <c r="D588" s="26" t="n">
        <v>0.27312</v>
      </c>
      <c r="E588" s="27" t="n">
        <v>1</v>
      </c>
      <c r="F588" s="28" t="n">
        <f aca="false">ROUND(B588*E588,2)</f>
        <v>10.4</v>
      </c>
      <c r="H588" s="29" t="n">
        <v>9.23</v>
      </c>
      <c r="I588" s="30" t="n">
        <v>1</v>
      </c>
      <c r="J588" s="31" t="n">
        <f aca="false">ROUND(H588*I588,2)</f>
        <v>9.23</v>
      </c>
      <c r="L588" s="32" t="n">
        <v>1</v>
      </c>
      <c r="M588" s="33" t="n">
        <v>1</v>
      </c>
      <c r="N588" s="34" t="n">
        <f aca="false">ROUND(L588*M588,2)</f>
        <v>1</v>
      </c>
    </row>
    <row r="589" customFormat="false" ht="15" hidden="false" customHeight="false" outlineLevel="0" collapsed="false">
      <c r="A589" s="37" t="s">
        <v>269</v>
      </c>
      <c r="F589" s="38" t="n">
        <f aca="false">ROUND((SUM(F581:F588)-F588)*1.1+F588,2)</f>
        <v>223.77</v>
      </c>
      <c r="J589" s="39" t="n">
        <f aca="false">ROUND(SUM(J581:J588),2)</f>
        <v>194.09</v>
      </c>
      <c r="N589" s="40" t="n">
        <f aca="false">ROUND(SUM(N581:N588),2)</f>
        <v>186.77</v>
      </c>
    </row>
    <row r="590" customFormat="false" ht="15" hidden="false" customHeight="false" outlineLevel="0" collapsed="false">
      <c r="A590" s="15" t="s">
        <v>270</v>
      </c>
      <c r="B590" s="41" t="n">
        <f aca="false">IF((F583+F581+F585+F582+F584)=0,"",((F583+F581+F585+F582+F584)-(B583*D583+B581*D581+B585*D585+B582*D582+B584*D584))/(F583+F581+F585+F582+F584))</f>
        <v>0.1895594727781</v>
      </c>
      <c r="D590" s="42" t="str">
        <f aca="false">IF(B590="","SIN PC",IF(B590&gt;=Detalle!$G$1,"APROBAR",IF(B590&gt;=0.2,"REVISAR","RECHAZAR")))</f>
        <v>RECHAZAR</v>
      </c>
      <c r="E590" s="42"/>
      <c r="F590" s="42"/>
    </row>
    <row r="592" customFormat="false" ht="15" hidden="false" customHeight="false" outlineLevel="0" collapsed="false">
      <c r="A592" s="11" t="s">
        <v>543</v>
      </c>
      <c r="B592" s="11"/>
      <c r="C592" s="11"/>
      <c r="D592" s="11"/>
      <c r="E592" s="11"/>
      <c r="F592" s="11"/>
      <c r="H592" s="11" t="s">
        <v>402</v>
      </c>
      <c r="I592" s="11"/>
      <c r="J592" s="11"/>
      <c r="K592" s="11"/>
      <c r="L592" s="11"/>
      <c r="M592" s="11"/>
      <c r="N592" s="11"/>
      <c r="P592" s="14" t="s">
        <v>246</v>
      </c>
    </row>
    <row r="593" customFormat="false" ht="15" hidden="false" customHeight="false" outlineLevel="0" collapsed="false">
      <c r="A593" s="15" t="s">
        <v>247</v>
      </c>
      <c r="B593" s="16" t="s">
        <v>248</v>
      </c>
      <c r="C593" s="17"/>
      <c r="D593" s="17"/>
      <c r="E593" s="17"/>
      <c r="F593" s="17"/>
      <c r="H593" s="18" t="s">
        <v>403</v>
      </c>
      <c r="I593" s="19"/>
      <c r="J593" s="19"/>
      <c r="L593" s="20" t="s">
        <v>404</v>
      </c>
      <c r="M593" s="21"/>
      <c r="N593" s="21"/>
      <c r="P593" s="14" t="s">
        <v>405</v>
      </c>
    </row>
    <row r="594" customFormat="false" ht="15" hidden="false" customHeight="false" outlineLevel="0" collapsed="false">
      <c r="B594" s="3" t="s">
        <v>252</v>
      </c>
      <c r="C594" s="3" t="s">
        <v>253</v>
      </c>
      <c r="D594" s="3" t="s">
        <v>254</v>
      </c>
      <c r="E594" s="3" t="s">
        <v>255</v>
      </c>
      <c r="F594" s="3" t="s">
        <v>256</v>
      </c>
      <c r="H594" s="22" t="s">
        <v>252</v>
      </c>
      <c r="I594" s="22" t="s">
        <v>255</v>
      </c>
      <c r="J594" s="22" t="s">
        <v>256</v>
      </c>
      <c r="L594" s="23" t="s">
        <v>252</v>
      </c>
      <c r="M594" s="23" t="s">
        <v>255</v>
      </c>
      <c r="N594" s="23" t="s">
        <v>256</v>
      </c>
      <c r="P594" s="14" t="s">
        <v>406</v>
      </c>
    </row>
    <row r="595" customFormat="false" ht="15" hidden="false" customHeight="false" outlineLevel="0" collapsed="false">
      <c r="A595" s="24" t="s">
        <v>258</v>
      </c>
      <c r="B595" s="25" t="n">
        <v>5.75</v>
      </c>
      <c r="C595" s="25" t="n">
        <v>30</v>
      </c>
      <c r="D595" s="26" t="n">
        <v>3.4086</v>
      </c>
      <c r="E595" s="27" t="n">
        <v>4.17</v>
      </c>
      <c r="F595" s="28" t="n">
        <f aca="false">ROUND(B595*E595,2)</f>
        <v>23.98</v>
      </c>
      <c r="H595" s="29" t="n">
        <v>5.75</v>
      </c>
      <c r="I595" s="30" t="n">
        <v>4.17</v>
      </c>
      <c r="J595" s="31" t="n">
        <f aca="false">ROUND(H595*I595,2)</f>
        <v>23.98</v>
      </c>
      <c r="L595" s="32" t="n">
        <v>5.75</v>
      </c>
      <c r="M595" s="33" t="n">
        <v>4.17</v>
      </c>
      <c r="N595" s="34" t="n">
        <f aca="false">ROUND(L595*M595,2)</f>
        <v>23.98</v>
      </c>
      <c r="P595" s="35" t="s">
        <v>407</v>
      </c>
    </row>
    <row r="596" customFormat="false" ht="15" hidden="false" customHeight="false" outlineLevel="0" collapsed="false">
      <c r="A596" s="24" t="s">
        <v>260</v>
      </c>
      <c r="B596" s="25" t="n">
        <v>5.75</v>
      </c>
      <c r="C596" s="25" t="n">
        <v>30</v>
      </c>
      <c r="D596" s="26" t="n">
        <v>1.09728</v>
      </c>
      <c r="E596" s="27" t="n">
        <v>1.37</v>
      </c>
      <c r="F596" s="28" t="n">
        <f aca="false">ROUND(B596*E596,2)</f>
        <v>7.88</v>
      </c>
      <c r="H596" s="29" t="n">
        <v>5.75</v>
      </c>
      <c r="I596" s="30" t="n">
        <v>1.37</v>
      </c>
      <c r="J596" s="31" t="n">
        <f aca="false">ROUND(H596*I596,2)</f>
        <v>7.88</v>
      </c>
      <c r="L596" s="32" t="n">
        <v>5.75</v>
      </c>
      <c r="M596" s="33" t="n">
        <v>1.37</v>
      </c>
      <c r="N596" s="34" t="n">
        <f aca="false">ROUND(L596*M596,2)</f>
        <v>7.88</v>
      </c>
      <c r="P596" s="36" t="s">
        <v>261</v>
      </c>
    </row>
    <row r="597" customFormat="false" ht="15" hidden="false" customHeight="false" outlineLevel="0" collapsed="false">
      <c r="A597" s="24" t="s">
        <v>262</v>
      </c>
      <c r="B597" s="25" t="n">
        <v>71.84</v>
      </c>
      <c r="C597" s="25" t="n">
        <v>30</v>
      </c>
      <c r="D597" s="26" t="n">
        <v>0.110306</v>
      </c>
      <c r="E597" s="27" t="n">
        <v>0.14937</v>
      </c>
      <c r="F597" s="28" t="n">
        <f aca="false">ROUND(B597*E597,2)</f>
        <v>10.73</v>
      </c>
      <c r="H597" s="29" t="n">
        <v>77.319</v>
      </c>
      <c r="I597" s="30" t="n">
        <v>0.14937</v>
      </c>
      <c r="J597" s="31" t="n">
        <f aca="false">ROUND(H597*I597,2)</f>
        <v>11.55</v>
      </c>
      <c r="L597" s="32" t="n">
        <v>49.27</v>
      </c>
      <c r="M597" s="33" t="n">
        <v>0.14937</v>
      </c>
      <c r="N597" s="34" t="n">
        <f aca="false">ROUND(L597*M597,2)</f>
        <v>7.36</v>
      </c>
      <c r="P597" s="35" t="s">
        <v>408</v>
      </c>
    </row>
    <row r="598" customFormat="false" ht="15" hidden="false" customHeight="false" outlineLevel="0" collapsed="false">
      <c r="A598" s="24" t="s">
        <v>264</v>
      </c>
      <c r="B598" s="25" t="n">
        <v>38.824</v>
      </c>
      <c r="C598" s="25" t="n">
        <v>30</v>
      </c>
      <c r="D598" s="26" t="n">
        <v>0.110306</v>
      </c>
      <c r="E598" s="27" t="n">
        <v>0.14937</v>
      </c>
      <c r="F598" s="28" t="n">
        <f aca="false">ROUND(B598*E598,2)</f>
        <v>5.8</v>
      </c>
      <c r="H598" s="29" t="n">
        <v>44.498</v>
      </c>
      <c r="I598" s="30" t="n">
        <v>0.14937</v>
      </c>
      <c r="J598" s="31" t="n">
        <f aca="false">ROUND(H598*I598,2)</f>
        <v>6.65</v>
      </c>
      <c r="L598" s="32" t="n">
        <v>35.233</v>
      </c>
      <c r="M598" s="33" t="n">
        <v>0.14937</v>
      </c>
      <c r="N598" s="34" t="n">
        <f aca="false">ROUND(L598*M598,2)</f>
        <v>5.26</v>
      </c>
    </row>
    <row r="599" customFormat="false" ht="15" hidden="false" customHeight="false" outlineLevel="0" collapsed="false">
      <c r="A599" s="24" t="s">
        <v>265</v>
      </c>
      <c r="B599" s="25" t="n">
        <v>140.403</v>
      </c>
      <c r="C599" s="25" t="n">
        <v>30</v>
      </c>
      <c r="D599" s="26" t="n">
        <v>0.110306</v>
      </c>
      <c r="E599" s="27" t="n">
        <v>0.14937</v>
      </c>
      <c r="F599" s="28" t="n">
        <f aca="false">ROUND(B599*E599,2)</f>
        <v>20.97</v>
      </c>
      <c r="H599" s="29" t="n">
        <v>121.108</v>
      </c>
      <c r="I599" s="30" t="n">
        <v>0.14937</v>
      </c>
      <c r="J599" s="31" t="n">
        <f aca="false">ROUND(H599*I599,2)</f>
        <v>18.09</v>
      </c>
      <c r="L599" s="32" t="n">
        <v>94.743</v>
      </c>
      <c r="M599" s="33" t="n">
        <v>0.14937</v>
      </c>
      <c r="N599" s="34" t="n">
        <f aca="false">ROUND(L599*M599,2)</f>
        <v>14.15</v>
      </c>
    </row>
    <row r="600" customFormat="false" ht="15" hidden="false" customHeight="false" outlineLevel="0" collapsed="false">
      <c r="A600" s="24" t="s">
        <v>266</v>
      </c>
      <c r="B600" s="25" t="n">
        <v>1</v>
      </c>
      <c r="C600" s="25" t="n">
        <v>30</v>
      </c>
      <c r="D600" s="26" t="n">
        <v>0.7989</v>
      </c>
      <c r="E600" s="27" t="n">
        <v>4</v>
      </c>
      <c r="F600" s="28" t="n">
        <f aca="false">ROUND(B600*E600,2)</f>
        <v>4</v>
      </c>
      <c r="H600" s="29" t="n">
        <v>1</v>
      </c>
      <c r="I600" s="30" t="n">
        <v>4</v>
      </c>
      <c r="J600" s="31" t="n">
        <f aca="false">ROUND(H600*I600,2)</f>
        <v>4</v>
      </c>
      <c r="L600" s="32" t="n">
        <v>1</v>
      </c>
      <c r="M600" s="33" t="n">
        <v>4</v>
      </c>
      <c r="N600" s="34" t="n">
        <f aca="false">ROUND(L600*M600,2)</f>
        <v>4</v>
      </c>
    </row>
    <row r="601" customFormat="false" ht="15" hidden="false" customHeight="false" outlineLevel="0" collapsed="false">
      <c r="A601" s="24" t="s">
        <v>267</v>
      </c>
      <c r="B601" s="25" t="n">
        <v>30</v>
      </c>
      <c r="C601" s="25" t="n">
        <v>30</v>
      </c>
      <c r="D601" s="26" t="n">
        <v>0.5736</v>
      </c>
      <c r="E601" s="27" t="n">
        <v>0.01274</v>
      </c>
      <c r="F601" s="28" t="n">
        <f aca="false">ROUND(B601*E601,2)</f>
        <v>0.38</v>
      </c>
      <c r="H601" s="29" t="n">
        <v>30</v>
      </c>
      <c r="I601" s="30" t="n">
        <v>0.01274</v>
      </c>
      <c r="J601" s="31" t="n">
        <f aca="false">ROUND(H601*I601,2)</f>
        <v>0.38</v>
      </c>
      <c r="L601" s="32" t="n">
        <v>30</v>
      </c>
      <c r="M601" s="33" t="n">
        <v>0.00629</v>
      </c>
      <c r="N601" s="34" t="n">
        <f aca="false">ROUND(L601*M601,2)</f>
        <v>0.19</v>
      </c>
    </row>
    <row r="602" customFormat="false" ht="15" hidden="false" customHeight="false" outlineLevel="0" collapsed="false">
      <c r="A602" s="24" t="s">
        <v>268</v>
      </c>
      <c r="B602" s="25" t="n">
        <v>3.13</v>
      </c>
      <c r="C602" s="25" t="n">
        <v>30</v>
      </c>
      <c r="D602" s="26" t="n">
        <v>0.24729</v>
      </c>
      <c r="E602" s="27" t="n">
        <v>1</v>
      </c>
      <c r="F602" s="28" t="n">
        <f aca="false">ROUND(B602*E602,2)</f>
        <v>3.13</v>
      </c>
      <c r="H602" s="29" t="n">
        <v>3.08</v>
      </c>
      <c r="I602" s="30" t="n">
        <v>1</v>
      </c>
      <c r="J602" s="31" t="n">
        <f aca="false">ROUND(H602*I602,2)</f>
        <v>3.08</v>
      </c>
      <c r="L602" s="32" t="n">
        <v>2.43</v>
      </c>
      <c r="M602" s="33" t="n">
        <v>1</v>
      </c>
      <c r="N602" s="34" t="n">
        <f aca="false">ROUND(L602*M602,2)</f>
        <v>2.43</v>
      </c>
    </row>
    <row r="603" customFormat="false" ht="15" hidden="false" customHeight="false" outlineLevel="0" collapsed="false">
      <c r="A603" s="37" t="s">
        <v>269</v>
      </c>
      <c r="F603" s="38" t="n">
        <f aca="false">ROUND((SUM(F595:F602)-F602)*1.1+F602,2)</f>
        <v>84.24</v>
      </c>
      <c r="J603" s="39" t="n">
        <f aca="false">ROUND(SUM(J595:J602),2)</f>
        <v>75.61</v>
      </c>
      <c r="N603" s="40" t="n">
        <f aca="false">ROUND(SUM(N595:N602),2)</f>
        <v>65.25</v>
      </c>
    </row>
    <row r="604" customFormat="false" ht="15" hidden="false" customHeight="false" outlineLevel="0" collapsed="false">
      <c r="A604" s="15" t="s">
        <v>270</v>
      </c>
      <c r="B604" s="41" t="n">
        <f aca="false">IF((F597+F595+F599+F596+F598)=0,"",((F597+F595+F599+F596+F598)-(B597*D597+B595*D595+B599*D599+B596*D596+B598*D598))/(F597+F595+F599+F596+F598))</f>
        <v>0.227176953546713</v>
      </c>
      <c r="D604" s="42" t="str">
        <f aca="false">IF(B604="","SIN PC",IF(B604&gt;=Detalle!$G$1,"APROBAR",IF(B604&gt;=0.2,"REVISAR","RECHAZAR")))</f>
        <v>REVISAR</v>
      </c>
      <c r="E604" s="42"/>
      <c r="F604" s="42"/>
    </row>
    <row r="605" customFormat="false" ht="15" hidden="false" customHeight="false" outlineLevel="0" collapsed="false">
      <c r="A605" s="44" t="s">
        <v>379</v>
      </c>
      <c r="B605" s="44"/>
      <c r="C605" s="44"/>
      <c r="D605" s="44"/>
      <c r="E605" s="44"/>
      <c r="F605" s="44"/>
    </row>
    <row r="606" customFormat="false" ht="15" hidden="false" customHeight="false" outlineLevel="0" collapsed="false">
      <c r="A606" s="45" t="s">
        <v>247</v>
      </c>
      <c r="B606" s="45" t="s">
        <v>380</v>
      </c>
      <c r="D606" s="45" t="s">
        <v>381</v>
      </c>
      <c r="E606" s="45" t="s">
        <v>382</v>
      </c>
      <c r="F606" s="45" t="s">
        <v>256</v>
      </c>
    </row>
    <row r="607" customFormat="false" ht="15" hidden="false" customHeight="false" outlineLevel="0" collapsed="false">
      <c r="A607" s="46" t="s">
        <v>383</v>
      </c>
      <c r="B607" s="47" t="n">
        <v>161</v>
      </c>
      <c r="C607" s="48"/>
      <c r="D607" s="26" t="n">
        <v>0.06</v>
      </c>
      <c r="E607" s="48"/>
      <c r="F607" s="49" t="n">
        <f aca="false">ROUND(B607*D607,2)</f>
        <v>9.66</v>
      </c>
    </row>
    <row r="608" customFormat="false" ht="15" hidden="false" customHeight="false" outlineLevel="0" collapsed="false">
      <c r="A608" s="46" t="s">
        <v>384</v>
      </c>
      <c r="B608" s="48"/>
      <c r="C608" s="48"/>
      <c r="D608" s="48"/>
      <c r="E608" s="50" t="n">
        <v>0.06</v>
      </c>
      <c r="F608" s="49" t="n">
        <v>8.31</v>
      </c>
    </row>
    <row r="609" customFormat="false" ht="15" hidden="false" customHeight="false" outlineLevel="0" collapsed="false">
      <c r="A609" s="51" t="s">
        <v>385</v>
      </c>
      <c r="B609" s="48"/>
      <c r="C609" s="48"/>
      <c r="D609" s="48"/>
      <c r="E609" s="48"/>
      <c r="F609" s="52" t="n">
        <f aca="false">F607-F608</f>
        <v>1.35</v>
      </c>
    </row>
    <row r="611" customFormat="false" ht="15" hidden="false" customHeight="false" outlineLevel="0" collapsed="false">
      <c r="A611" s="11" t="s">
        <v>544</v>
      </c>
      <c r="B611" s="11"/>
      <c r="C611" s="11"/>
      <c r="D611" s="11"/>
      <c r="E611" s="11"/>
      <c r="F611" s="11"/>
      <c r="H611" s="11" t="s">
        <v>545</v>
      </c>
      <c r="I611" s="11"/>
      <c r="J611" s="11"/>
      <c r="K611" s="11"/>
      <c r="L611" s="11"/>
      <c r="M611" s="11"/>
      <c r="N611" s="11"/>
      <c r="P611" s="14" t="s">
        <v>246</v>
      </c>
    </row>
    <row r="612" customFormat="false" ht="15" hidden="false" customHeight="false" outlineLevel="0" collapsed="false">
      <c r="A612" s="15" t="s">
        <v>247</v>
      </c>
      <c r="B612" s="16" t="s">
        <v>248</v>
      </c>
      <c r="C612" s="17"/>
      <c r="D612" s="17"/>
      <c r="E612" s="17"/>
      <c r="F612" s="17"/>
      <c r="H612" s="18" t="s">
        <v>546</v>
      </c>
      <c r="I612" s="19"/>
      <c r="J612" s="19"/>
      <c r="L612" s="20" t="s">
        <v>547</v>
      </c>
      <c r="M612" s="21"/>
      <c r="N612" s="21"/>
      <c r="P612" s="14" t="s">
        <v>548</v>
      </c>
    </row>
    <row r="613" customFormat="false" ht="15" hidden="false" customHeight="false" outlineLevel="0" collapsed="false">
      <c r="B613" s="3" t="s">
        <v>252</v>
      </c>
      <c r="C613" s="3" t="s">
        <v>253</v>
      </c>
      <c r="D613" s="3" t="s">
        <v>254</v>
      </c>
      <c r="E613" s="3" t="s">
        <v>255</v>
      </c>
      <c r="F613" s="3" t="s">
        <v>256</v>
      </c>
      <c r="H613" s="22" t="s">
        <v>252</v>
      </c>
      <c r="I613" s="22" t="s">
        <v>255</v>
      </c>
      <c r="J613" s="22" t="s">
        <v>256</v>
      </c>
      <c r="L613" s="23" t="s">
        <v>252</v>
      </c>
      <c r="M613" s="23" t="s">
        <v>255</v>
      </c>
      <c r="N613" s="23" t="s">
        <v>256</v>
      </c>
      <c r="P613" s="14" t="s">
        <v>549</v>
      </c>
    </row>
    <row r="614" customFormat="false" ht="15" hidden="false" customHeight="false" outlineLevel="0" collapsed="false">
      <c r="A614" s="24" t="s">
        <v>258</v>
      </c>
      <c r="B614" s="25" t="n">
        <v>3.45</v>
      </c>
      <c r="C614" s="25" t="n">
        <v>30</v>
      </c>
      <c r="D614" s="26" t="n">
        <v>3.4086</v>
      </c>
      <c r="E614" s="27" t="n">
        <v>3.85</v>
      </c>
      <c r="F614" s="28" t="n">
        <f aca="false">ROUND(B614*E614,2)</f>
        <v>13.28</v>
      </c>
      <c r="H614" s="29" t="n">
        <v>3.45</v>
      </c>
      <c r="I614" s="30" t="n">
        <v>3.85</v>
      </c>
      <c r="J614" s="31" t="n">
        <f aca="false">ROUND(H614*I614,2)</f>
        <v>13.28</v>
      </c>
      <c r="L614" s="32" t="n">
        <v>3.45</v>
      </c>
      <c r="M614" s="33" t="n">
        <v>3.85</v>
      </c>
      <c r="N614" s="34" t="n">
        <f aca="false">ROUND(L614*M614,2)</f>
        <v>13.28</v>
      </c>
      <c r="P614" s="35" t="s">
        <v>550</v>
      </c>
    </row>
    <row r="615" customFormat="false" ht="15" hidden="false" customHeight="false" outlineLevel="0" collapsed="false">
      <c r="A615" s="24" t="s">
        <v>260</v>
      </c>
      <c r="B615" s="25" t="n">
        <v>3.45</v>
      </c>
      <c r="C615" s="25" t="n">
        <v>30</v>
      </c>
      <c r="D615" s="26" t="n">
        <v>1.09728</v>
      </c>
      <c r="E615" s="27" t="n">
        <v>1.33</v>
      </c>
      <c r="F615" s="28" t="n">
        <f aca="false">ROUND(B615*E615,2)</f>
        <v>4.59</v>
      </c>
      <c r="H615" s="29" t="n">
        <v>3.45</v>
      </c>
      <c r="I615" s="30" t="n">
        <v>1.33</v>
      </c>
      <c r="J615" s="31" t="n">
        <f aca="false">ROUND(H615*I615,2)</f>
        <v>4.59</v>
      </c>
      <c r="L615" s="32" t="n">
        <v>3.45</v>
      </c>
      <c r="M615" s="33" t="n">
        <v>1.33</v>
      </c>
      <c r="N615" s="34" t="n">
        <f aca="false">ROUND(L615*M615,2)</f>
        <v>4.59</v>
      </c>
      <c r="P615" s="36" t="s">
        <v>261</v>
      </c>
    </row>
    <row r="616" customFormat="false" ht="15" hidden="false" customHeight="false" outlineLevel="0" collapsed="false">
      <c r="A616" s="24" t="s">
        <v>262</v>
      </c>
      <c r="B616" s="25" t="n">
        <v>216.044</v>
      </c>
      <c r="C616" s="25" t="n">
        <v>30</v>
      </c>
      <c r="D616" s="26" t="n">
        <v>0.110306</v>
      </c>
      <c r="E616" s="27" t="n">
        <v>0.13788</v>
      </c>
      <c r="F616" s="28" t="n">
        <f aca="false">ROUND(B616*E616,2)</f>
        <v>29.79</v>
      </c>
      <c r="H616" s="29" t="n">
        <v>441.638</v>
      </c>
      <c r="I616" s="30" t="n">
        <v>0.13788</v>
      </c>
      <c r="J616" s="31" t="n">
        <f aca="false">ROUND(H616*I616,2)</f>
        <v>60.89</v>
      </c>
      <c r="L616" s="32" t="n">
        <v>132.282</v>
      </c>
      <c r="M616" s="33" t="n">
        <v>0.13788</v>
      </c>
      <c r="N616" s="34" t="n">
        <f aca="false">ROUND(L616*M616,2)</f>
        <v>18.24</v>
      </c>
      <c r="P616" s="35" t="s">
        <v>551</v>
      </c>
    </row>
    <row r="617" customFormat="false" ht="15" hidden="false" customHeight="false" outlineLevel="0" collapsed="false">
      <c r="A617" s="24" t="s">
        <v>264</v>
      </c>
      <c r="B617" s="25" t="n">
        <v>49.353</v>
      </c>
      <c r="C617" s="25" t="n">
        <v>30</v>
      </c>
      <c r="D617" s="26" t="n">
        <v>0.110306</v>
      </c>
      <c r="E617" s="27" t="n">
        <v>0.13788</v>
      </c>
      <c r="F617" s="28" t="n">
        <f aca="false">ROUND(B617*E617,2)</f>
        <v>6.8</v>
      </c>
      <c r="H617" s="29" t="n">
        <v>221.575</v>
      </c>
      <c r="I617" s="30" t="n">
        <v>0.13788</v>
      </c>
      <c r="J617" s="31" t="n">
        <f aca="false">ROUND(H617*I617,2)</f>
        <v>30.55</v>
      </c>
      <c r="L617" s="32" t="n">
        <v>35.864</v>
      </c>
      <c r="M617" s="33" t="n">
        <v>0.13788</v>
      </c>
      <c r="N617" s="34" t="n">
        <f aca="false">ROUND(L617*M617,2)</f>
        <v>4.94</v>
      </c>
    </row>
    <row r="618" customFormat="false" ht="15" hidden="false" customHeight="false" outlineLevel="0" collapsed="false">
      <c r="A618" s="24" t="s">
        <v>265</v>
      </c>
      <c r="B618" s="25" t="n">
        <v>242.649</v>
      </c>
      <c r="C618" s="25" t="n">
        <v>30</v>
      </c>
      <c r="D618" s="26" t="n">
        <v>0.110306</v>
      </c>
      <c r="E618" s="27" t="n">
        <v>0.13788</v>
      </c>
      <c r="F618" s="28" t="n">
        <f aca="false">ROUND(B618*E618,2)</f>
        <v>33.46</v>
      </c>
      <c r="H618" s="29" t="n">
        <v>364.187</v>
      </c>
      <c r="I618" s="30" t="n">
        <v>0.13788</v>
      </c>
      <c r="J618" s="31" t="n">
        <f aca="false">ROUND(H618*I618,2)</f>
        <v>50.21</v>
      </c>
      <c r="L618" s="32" t="n">
        <v>143.688</v>
      </c>
      <c r="M618" s="33" t="n">
        <v>0.13788</v>
      </c>
      <c r="N618" s="34" t="n">
        <f aca="false">ROUND(L618*M618,2)</f>
        <v>19.81</v>
      </c>
    </row>
    <row r="619" customFormat="false" ht="15" hidden="false" customHeight="false" outlineLevel="0" collapsed="false">
      <c r="A619" s="24" t="s">
        <v>266</v>
      </c>
      <c r="B619" s="25" t="n">
        <v>1</v>
      </c>
      <c r="C619" s="25" t="n">
        <v>30</v>
      </c>
      <c r="D619" s="26" t="n">
        <v>0.7989</v>
      </c>
      <c r="E619" s="27" t="n">
        <v>3</v>
      </c>
      <c r="F619" s="28" t="n">
        <f aca="false">ROUND(B619*E619,2)</f>
        <v>3</v>
      </c>
      <c r="H619" s="29" t="n">
        <v>1</v>
      </c>
      <c r="I619" s="30" t="n">
        <v>3</v>
      </c>
      <c r="J619" s="31" t="n">
        <f aca="false">ROUND(H619*I619,2)</f>
        <v>3</v>
      </c>
      <c r="L619" s="32" t="n">
        <v>1</v>
      </c>
      <c r="M619" s="33" t="n">
        <v>3</v>
      </c>
      <c r="N619" s="34" t="n">
        <f aca="false">ROUND(L619*M619,2)</f>
        <v>3</v>
      </c>
    </row>
    <row r="620" customFormat="false" ht="15" hidden="false" customHeight="false" outlineLevel="0" collapsed="false">
      <c r="A620" s="24" t="s">
        <v>267</v>
      </c>
      <c r="B620" s="25" t="n">
        <v>30</v>
      </c>
      <c r="C620" s="25" t="n">
        <v>30</v>
      </c>
      <c r="D620" s="26" t="n">
        <v>0.5736</v>
      </c>
      <c r="E620" s="27" t="n">
        <v>0.01274</v>
      </c>
      <c r="F620" s="28" t="n">
        <f aca="false">ROUND(B620*E620,2)</f>
        <v>0.38</v>
      </c>
      <c r="H620" s="29" t="n">
        <v>30</v>
      </c>
      <c r="I620" s="30" t="n">
        <v>0.01274</v>
      </c>
      <c r="J620" s="31" t="n">
        <f aca="false">ROUND(H620*I620,2)</f>
        <v>0.38</v>
      </c>
      <c r="L620" s="32" t="n">
        <v>30</v>
      </c>
      <c r="M620" s="33" t="n">
        <v>0.00629</v>
      </c>
      <c r="N620" s="34" t="n">
        <f aca="false">ROUND(L620*M620,2)</f>
        <v>0.19</v>
      </c>
    </row>
    <row r="621" customFormat="false" ht="15" hidden="false" customHeight="false" outlineLevel="0" collapsed="false">
      <c r="A621" s="24" t="s">
        <v>268</v>
      </c>
      <c r="B621" s="25" t="n">
        <v>3.09</v>
      </c>
      <c r="C621" s="25" t="n">
        <v>30</v>
      </c>
      <c r="D621" s="26" t="n">
        <v>0.24729</v>
      </c>
      <c r="E621" s="27" t="n">
        <v>1</v>
      </c>
      <c r="F621" s="28" t="n">
        <f aca="false">ROUND(B621*E621,2)</f>
        <v>3.09</v>
      </c>
      <c r="H621" s="29" t="n">
        <v>7.77</v>
      </c>
      <c r="I621" s="30" t="n">
        <v>1</v>
      </c>
      <c r="J621" s="31" t="n">
        <f aca="false">ROUND(H621*I621,2)</f>
        <v>7.77</v>
      </c>
      <c r="L621" s="32" t="n">
        <v>1.47</v>
      </c>
      <c r="M621" s="33" t="n">
        <v>1</v>
      </c>
      <c r="N621" s="34" t="n">
        <f aca="false">ROUND(L621*M621,2)</f>
        <v>1.47</v>
      </c>
    </row>
    <row r="622" customFormat="false" ht="15" hidden="false" customHeight="false" outlineLevel="0" collapsed="false">
      <c r="A622" s="37" t="s">
        <v>269</v>
      </c>
      <c r="F622" s="38" t="n">
        <f aca="false">ROUND((SUM(F614:F621)-F621)*1.1+F621,2)</f>
        <v>103.52</v>
      </c>
      <c r="J622" s="39" t="n">
        <f aca="false">ROUND(SUM(J614:J621),2)</f>
        <v>170.67</v>
      </c>
      <c r="N622" s="40" t="n">
        <f aca="false">ROUND(SUM(N614:N621),2)</f>
        <v>65.52</v>
      </c>
    </row>
    <row r="623" customFormat="false" ht="15" hidden="false" customHeight="false" outlineLevel="0" collapsed="false">
      <c r="A623" s="15" t="s">
        <v>270</v>
      </c>
      <c r="B623" s="41" t="n">
        <f aca="false">IF((F616+F614+F618+F615+F617)=0,"",((F616+F614+F618+F615+F617)-(B616*D616+B614*D614+B618*D618+B615*D615+B617*D617))/(F616+F614+F618+F615+F617))</f>
        <v>0.185784712511374</v>
      </c>
      <c r="D623" s="42" t="str">
        <f aca="false">IF(B623="","SIN PC",IF(B623&gt;=Detalle!$G$1,"APROBAR",IF(B623&gt;=0.2,"REVISAR","RECHAZAR")))</f>
        <v>RECHAZAR</v>
      </c>
      <c r="E623" s="42"/>
      <c r="F623" s="42"/>
    </row>
    <row r="624" customFormat="false" ht="15" hidden="false" customHeight="false" outlineLevel="0" collapsed="false">
      <c r="A624" s="44" t="s">
        <v>379</v>
      </c>
      <c r="B624" s="44"/>
      <c r="C624" s="44"/>
      <c r="D624" s="44"/>
      <c r="E624" s="44"/>
      <c r="F624" s="44"/>
    </row>
    <row r="625" customFormat="false" ht="15" hidden="false" customHeight="false" outlineLevel="0" collapsed="false">
      <c r="A625" s="45" t="s">
        <v>247</v>
      </c>
      <c r="B625" s="45" t="s">
        <v>380</v>
      </c>
      <c r="D625" s="45" t="s">
        <v>381</v>
      </c>
      <c r="E625" s="45" t="s">
        <v>382</v>
      </c>
      <c r="F625" s="45" t="s">
        <v>256</v>
      </c>
    </row>
    <row r="626" customFormat="false" ht="15" hidden="false" customHeight="false" outlineLevel="0" collapsed="false">
      <c r="A626" s="46" t="s">
        <v>383</v>
      </c>
      <c r="B626" s="47" t="n">
        <v>462</v>
      </c>
      <c r="C626" s="48"/>
      <c r="D626" s="26" t="n">
        <v>0.06</v>
      </c>
      <c r="E626" s="48"/>
      <c r="F626" s="49" t="n">
        <f aca="false">ROUND(B626*D626,2)</f>
        <v>27.72</v>
      </c>
    </row>
    <row r="627" customFormat="false" ht="15" hidden="false" customHeight="false" outlineLevel="0" collapsed="false">
      <c r="A627" s="46" t="s">
        <v>384</v>
      </c>
      <c r="B627" s="48"/>
      <c r="C627" s="48"/>
      <c r="D627" s="48"/>
      <c r="E627" s="50" t="n">
        <v>0.06</v>
      </c>
      <c r="F627" s="49" t="n">
        <v>27.66</v>
      </c>
    </row>
    <row r="628" customFormat="false" ht="15" hidden="false" customHeight="false" outlineLevel="0" collapsed="false">
      <c r="A628" s="51" t="s">
        <v>385</v>
      </c>
      <c r="B628" s="48"/>
      <c r="C628" s="48"/>
      <c r="D628" s="48"/>
      <c r="E628" s="48"/>
      <c r="F628" s="52" t="n">
        <f aca="false">F626-F627</f>
        <v>0.0599999999999987</v>
      </c>
    </row>
    <row r="630" customFormat="false" ht="15" hidden="false" customHeight="false" outlineLevel="0" collapsed="false">
      <c r="A630" s="11" t="s">
        <v>552</v>
      </c>
      <c r="B630" s="11"/>
      <c r="C630" s="11"/>
      <c r="D630" s="11"/>
      <c r="E630" s="11"/>
      <c r="F630" s="11"/>
      <c r="H630" s="11" t="s">
        <v>553</v>
      </c>
      <c r="I630" s="11"/>
      <c r="J630" s="11"/>
      <c r="K630" s="11"/>
      <c r="L630" s="11"/>
      <c r="M630" s="11"/>
      <c r="N630" s="11"/>
      <c r="P630" s="14" t="s">
        <v>246</v>
      </c>
    </row>
    <row r="631" customFormat="false" ht="15" hidden="false" customHeight="false" outlineLevel="0" collapsed="false">
      <c r="A631" s="15" t="s">
        <v>247</v>
      </c>
      <c r="B631" s="16" t="s">
        <v>248</v>
      </c>
      <c r="C631" s="17"/>
      <c r="D631" s="17"/>
      <c r="E631" s="17"/>
      <c r="F631" s="17"/>
      <c r="H631" s="18" t="s">
        <v>554</v>
      </c>
      <c r="I631" s="19"/>
      <c r="J631" s="19"/>
      <c r="L631" s="20" t="s">
        <v>555</v>
      </c>
      <c r="M631" s="21"/>
      <c r="N631" s="21"/>
      <c r="P631" s="14" t="s">
        <v>556</v>
      </c>
    </row>
    <row r="632" customFormat="false" ht="15" hidden="false" customHeight="false" outlineLevel="0" collapsed="false">
      <c r="B632" s="3" t="s">
        <v>252</v>
      </c>
      <c r="C632" s="3" t="s">
        <v>253</v>
      </c>
      <c r="D632" s="3" t="s">
        <v>254</v>
      </c>
      <c r="E632" s="3" t="s">
        <v>255</v>
      </c>
      <c r="F632" s="3" t="s">
        <v>256</v>
      </c>
      <c r="H632" s="22" t="s">
        <v>252</v>
      </c>
      <c r="I632" s="22" t="s">
        <v>255</v>
      </c>
      <c r="J632" s="22" t="s">
        <v>256</v>
      </c>
      <c r="L632" s="23" t="s">
        <v>252</v>
      </c>
      <c r="M632" s="23" t="s">
        <v>255</v>
      </c>
      <c r="N632" s="23" t="s">
        <v>256</v>
      </c>
      <c r="P632" s="14" t="s">
        <v>557</v>
      </c>
    </row>
    <row r="633" customFormat="false" ht="15" hidden="false" customHeight="false" outlineLevel="0" collapsed="false">
      <c r="A633" s="24" t="s">
        <v>258</v>
      </c>
      <c r="B633" s="25" t="n">
        <v>8.05</v>
      </c>
      <c r="C633" s="25" t="n">
        <v>30</v>
      </c>
      <c r="D633" s="26" t="n">
        <v>3.4086</v>
      </c>
      <c r="E633" s="27" t="n">
        <v>3.85</v>
      </c>
      <c r="F633" s="28" t="n">
        <f aca="false">ROUND(B633*E633,2)</f>
        <v>30.99</v>
      </c>
      <c r="H633" s="29" t="n">
        <v>8.05</v>
      </c>
      <c r="I633" s="30" t="n">
        <v>3.85</v>
      </c>
      <c r="J633" s="31" t="n">
        <f aca="false">ROUND(H633*I633,2)</f>
        <v>30.99</v>
      </c>
      <c r="L633" s="32" t="n">
        <v>8.05</v>
      </c>
      <c r="M633" s="33" t="n">
        <v>3.85</v>
      </c>
      <c r="N633" s="34" t="n">
        <f aca="false">ROUND(L633*M633,2)</f>
        <v>30.99</v>
      </c>
      <c r="P633" s="35" t="s">
        <v>558</v>
      </c>
    </row>
    <row r="634" customFormat="false" ht="15" hidden="false" customHeight="false" outlineLevel="0" collapsed="false">
      <c r="A634" s="24" t="s">
        <v>260</v>
      </c>
      <c r="B634" s="25" t="n">
        <v>8.05</v>
      </c>
      <c r="C634" s="25" t="n">
        <v>30</v>
      </c>
      <c r="D634" s="26" t="n">
        <v>1.09728</v>
      </c>
      <c r="E634" s="27" t="n">
        <v>1.33</v>
      </c>
      <c r="F634" s="28" t="n">
        <f aca="false">ROUND(B634*E634,2)</f>
        <v>10.71</v>
      </c>
      <c r="H634" s="29" t="n">
        <v>8.05</v>
      </c>
      <c r="I634" s="30" t="n">
        <v>1.33</v>
      </c>
      <c r="J634" s="31" t="n">
        <f aca="false">ROUND(H634*I634,2)</f>
        <v>10.71</v>
      </c>
      <c r="L634" s="32" t="n">
        <v>8.05</v>
      </c>
      <c r="M634" s="33" t="n">
        <v>1.33</v>
      </c>
      <c r="N634" s="34" t="n">
        <f aca="false">ROUND(L634*M634,2)</f>
        <v>10.71</v>
      </c>
      <c r="P634" s="36" t="s">
        <v>261</v>
      </c>
    </row>
    <row r="635" customFormat="false" ht="15" hidden="false" customHeight="false" outlineLevel="0" collapsed="false">
      <c r="A635" s="24" t="s">
        <v>262</v>
      </c>
      <c r="B635" s="25" t="n">
        <v>54.544</v>
      </c>
      <c r="C635" s="25" t="n">
        <v>30</v>
      </c>
      <c r="D635" s="26" t="n">
        <v>0.110306</v>
      </c>
      <c r="E635" s="27" t="n">
        <v>0.13788</v>
      </c>
      <c r="F635" s="28" t="n">
        <f aca="false">ROUND(B635*E635,2)</f>
        <v>7.52</v>
      </c>
      <c r="H635" s="29" t="n">
        <v>91.329</v>
      </c>
      <c r="I635" s="30" t="n">
        <v>0.13788</v>
      </c>
      <c r="J635" s="31" t="n">
        <f aca="false">ROUND(H635*I635,2)</f>
        <v>12.59</v>
      </c>
      <c r="L635" s="32" t="n">
        <v>52.858</v>
      </c>
      <c r="M635" s="33" t="n">
        <v>0.13788</v>
      </c>
      <c r="N635" s="34" t="n">
        <f aca="false">ROUND(L635*M635,2)</f>
        <v>7.29</v>
      </c>
      <c r="P635" s="35" t="s">
        <v>416</v>
      </c>
    </row>
    <row r="636" customFormat="false" ht="15" hidden="false" customHeight="false" outlineLevel="0" collapsed="false">
      <c r="A636" s="24" t="s">
        <v>264</v>
      </c>
      <c r="B636" s="25" t="n">
        <v>31.171</v>
      </c>
      <c r="C636" s="25" t="n">
        <v>30</v>
      </c>
      <c r="D636" s="26" t="n">
        <v>0.110306</v>
      </c>
      <c r="E636" s="27" t="n">
        <v>0.13788</v>
      </c>
      <c r="F636" s="28" t="n">
        <f aca="false">ROUND(B636*E636,2)</f>
        <v>4.3</v>
      </c>
      <c r="H636" s="29" t="n">
        <v>63.398</v>
      </c>
      <c r="I636" s="30" t="n">
        <v>0.13788</v>
      </c>
      <c r="J636" s="31" t="n">
        <f aca="false">ROUND(H636*I636,2)</f>
        <v>8.74</v>
      </c>
      <c r="L636" s="32" t="n">
        <v>50.853</v>
      </c>
      <c r="M636" s="33" t="n">
        <v>0.13788</v>
      </c>
      <c r="N636" s="34" t="n">
        <f aca="false">ROUND(L636*M636,2)</f>
        <v>7.01</v>
      </c>
    </row>
    <row r="637" customFormat="false" ht="15" hidden="false" customHeight="false" outlineLevel="0" collapsed="false">
      <c r="A637" s="24" t="s">
        <v>265</v>
      </c>
      <c r="B637" s="25" t="n">
        <v>125.385</v>
      </c>
      <c r="C637" s="25" t="n">
        <v>30</v>
      </c>
      <c r="D637" s="26" t="n">
        <v>0.110306</v>
      </c>
      <c r="E637" s="27" t="n">
        <v>0.13788</v>
      </c>
      <c r="F637" s="28" t="n">
        <f aca="false">ROUND(B637*E637,2)</f>
        <v>17.29</v>
      </c>
      <c r="H637" s="29" t="n">
        <v>133.771</v>
      </c>
      <c r="I637" s="30" t="n">
        <v>0.13788</v>
      </c>
      <c r="J637" s="31" t="n">
        <f aca="false">ROUND(H637*I637,2)</f>
        <v>18.44</v>
      </c>
      <c r="L637" s="32" t="n">
        <v>99.744</v>
      </c>
      <c r="M637" s="33" t="n">
        <v>0.13788</v>
      </c>
      <c r="N637" s="34" t="n">
        <f aca="false">ROUND(L637*M637,2)</f>
        <v>13.75</v>
      </c>
    </row>
    <row r="638" customFormat="false" ht="15" hidden="false" customHeight="false" outlineLevel="0" collapsed="false">
      <c r="A638" s="24" t="s">
        <v>266</v>
      </c>
      <c r="B638" s="25" t="n">
        <v>1</v>
      </c>
      <c r="C638" s="25" t="n">
        <v>30</v>
      </c>
      <c r="D638" s="26" t="n">
        <v>1.3414</v>
      </c>
      <c r="E638" s="27" t="n">
        <v>3</v>
      </c>
      <c r="F638" s="28" t="n">
        <f aca="false">ROUND(B638*E638,2)</f>
        <v>3</v>
      </c>
      <c r="H638" s="29" t="n">
        <v>1</v>
      </c>
      <c r="I638" s="30" t="n">
        <v>3</v>
      </c>
      <c r="J638" s="31" t="n">
        <f aca="false">ROUND(H638*I638,2)</f>
        <v>3</v>
      </c>
      <c r="L638" s="32" t="n">
        <v>1</v>
      </c>
      <c r="M638" s="33" t="n">
        <v>3</v>
      </c>
      <c r="N638" s="34" t="n">
        <f aca="false">ROUND(L638*M638,2)</f>
        <v>3</v>
      </c>
    </row>
    <row r="639" customFormat="false" ht="15" hidden="false" customHeight="false" outlineLevel="0" collapsed="false">
      <c r="A639" s="24" t="s">
        <v>267</v>
      </c>
      <c r="B639" s="25" t="n">
        <v>30</v>
      </c>
      <c r="C639" s="25" t="n">
        <v>30</v>
      </c>
      <c r="D639" s="26" t="n">
        <v>0.5736</v>
      </c>
      <c r="E639" s="27" t="n">
        <v>0.01274</v>
      </c>
      <c r="F639" s="28" t="n">
        <f aca="false">ROUND(B639*E639,2)</f>
        <v>0.38</v>
      </c>
      <c r="H639" s="29" t="n">
        <v>30</v>
      </c>
      <c r="I639" s="30" t="n">
        <v>0.01274</v>
      </c>
      <c r="J639" s="31" t="n">
        <f aca="false">ROUND(H639*I639,2)</f>
        <v>0.38</v>
      </c>
      <c r="L639" s="32" t="n">
        <v>30</v>
      </c>
      <c r="M639" s="33" t="n">
        <v>0.00629</v>
      </c>
      <c r="N639" s="34" t="n">
        <f aca="false">ROUND(L639*M639,2)</f>
        <v>0.19</v>
      </c>
    </row>
    <row r="640" customFormat="false" ht="15" hidden="false" customHeight="false" outlineLevel="0" collapsed="false">
      <c r="A640" s="24" t="s">
        <v>268</v>
      </c>
      <c r="B640" s="25" t="n">
        <v>2.64</v>
      </c>
      <c r="C640" s="25" t="n">
        <v>30</v>
      </c>
      <c r="D640" s="26" t="n">
        <v>0.24729</v>
      </c>
      <c r="E640" s="27" t="n">
        <v>1</v>
      </c>
      <c r="F640" s="28" t="n">
        <f aca="false">ROUND(B640*E640,2)</f>
        <v>2.64</v>
      </c>
      <c r="H640" s="29" t="n">
        <v>3.52</v>
      </c>
      <c r="I640" s="30" t="n">
        <v>1</v>
      </c>
      <c r="J640" s="31" t="n">
        <f aca="false">ROUND(H640*I640,2)</f>
        <v>3.52</v>
      </c>
      <c r="L640" s="32" t="n">
        <v>2.83</v>
      </c>
      <c r="M640" s="33" t="n">
        <v>1</v>
      </c>
      <c r="N640" s="34" t="n">
        <f aca="false">ROUND(L640*M640,2)</f>
        <v>2.83</v>
      </c>
    </row>
    <row r="641" customFormat="false" ht="15" hidden="false" customHeight="false" outlineLevel="0" collapsed="false">
      <c r="A641" s="37" t="s">
        <v>269</v>
      </c>
      <c r="F641" s="38" t="n">
        <f aca="false">ROUND((SUM(F633:F640)-F640)*1.1+F640,2)</f>
        <v>84.25</v>
      </c>
      <c r="J641" s="39" t="n">
        <f aca="false">ROUND(SUM(J633:J640),2)</f>
        <v>88.37</v>
      </c>
      <c r="N641" s="40" t="n">
        <f aca="false">ROUND(SUM(N633:N640),2)</f>
        <v>75.77</v>
      </c>
    </row>
    <row r="642" customFormat="false" ht="15" hidden="false" customHeight="false" outlineLevel="0" collapsed="false">
      <c r="A642" s="15" t="s">
        <v>270</v>
      </c>
      <c r="B642" s="41" t="n">
        <f aca="false">IF((F635+F633+F637+F634+F636)=0,"",((F635+F633+F637+F634+F636)-(B635*D635+B633*D633+B637*D637+B634*D634+B636*D636))/(F635+F633+F637+F634+F636))</f>
        <v>0.158905089676599</v>
      </c>
      <c r="D642" s="42" t="str">
        <f aca="false">IF(B642="","SIN PC",IF(B642&gt;=Detalle!$G$1,"APROBAR",IF(B642&gt;=0.2,"REVISAR","RECHAZAR")))</f>
        <v>RECHAZAR</v>
      </c>
      <c r="E642" s="42"/>
      <c r="F642" s="42"/>
    </row>
    <row r="643" customFormat="false" ht="15" hidden="false" customHeight="false" outlineLevel="0" collapsed="false">
      <c r="A643" s="44" t="s">
        <v>379</v>
      </c>
      <c r="B643" s="44"/>
      <c r="C643" s="44"/>
      <c r="D643" s="44"/>
      <c r="E643" s="44"/>
      <c r="F643" s="44"/>
    </row>
    <row r="644" customFormat="false" ht="15" hidden="false" customHeight="false" outlineLevel="0" collapsed="false">
      <c r="A644" s="45" t="s">
        <v>247</v>
      </c>
      <c r="B644" s="45" t="s">
        <v>380</v>
      </c>
      <c r="D644" s="45" t="s">
        <v>381</v>
      </c>
      <c r="E644" s="45" t="s">
        <v>382</v>
      </c>
      <c r="F644" s="45" t="s">
        <v>256</v>
      </c>
    </row>
    <row r="645" customFormat="false" ht="15" hidden="false" customHeight="false" outlineLevel="0" collapsed="false">
      <c r="A645" s="46" t="s">
        <v>383</v>
      </c>
      <c r="B645" s="47" t="n">
        <v>330</v>
      </c>
      <c r="C645" s="48"/>
      <c r="D645" s="26" t="n">
        <v>0.06</v>
      </c>
      <c r="E645" s="48"/>
      <c r="F645" s="49" t="n">
        <f aca="false">ROUND(B645*D645,2)</f>
        <v>19.8</v>
      </c>
    </row>
    <row r="646" customFormat="false" ht="15" hidden="false" customHeight="false" outlineLevel="0" collapsed="false">
      <c r="A646" s="46" t="s">
        <v>384</v>
      </c>
      <c r="B646" s="48"/>
      <c r="C646" s="48"/>
      <c r="D646" s="48"/>
      <c r="E646" s="50" t="n">
        <v>0.06</v>
      </c>
      <c r="F646" s="49" t="n">
        <v>19.26</v>
      </c>
    </row>
    <row r="647" customFormat="false" ht="15" hidden="false" customHeight="false" outlineLevel="0" collapsed="false">
      <c r="A647" s="51" t="s">
        <v>385</v>
      </c>
      <c r="B647" s="48"/>
      <c r="C647" s="48"/>
      <c r="D647" s="48"/>
      <c r="E647" s="48"/>
      <c r="F647" s="52" t="n">
        <f aca="false">F645-F646</f>
        <v>0.539999999999999</v>
      </c>
    </row>
    <row r="649" customFormat="false" ht="15" hidden="false" customHeight="false" outlineLevel="0" collapsed="false">
      <c r="A649" s="11" t="s">
        <v>559</v>
      </c>
      <c r="B649" s="11"/>
      <c r="C649" s="11"/>
      <c r="D649" s="11"/>
      <c r="E649" s="11"/>
      <c r="F649" s="11"/>
      <c r="H649" s="11" t="s">
        <v>560</v>
      </c>
      <c r="I649" s="11"/>
      <c r="J649" s="11"/>
      <c r="K649" s="11"/>
      <c r="L649" s="11"/>
      <c r="M649" s="11"/>
      <c r="N649" s="11"/>
      <c r="P649" s="14" t="s">
        <v>246</v>
      </c>
    </row>
    <row r="650" customFormat="false" ht="15" hidden="false" customHeight="false" outlineLevel="0" collapsed="false">
      <c r="A650" s="15" t="s">
        <v>247</v>
      </c>
      <c r="B650" s="16" t="s">
        <v>248</v>
      </c>
      <c r="C650" s="17"/>
      <c r="D650" s="17"/>
      <c r="E650" s="17"/>
      <c r="F650" s="17"/>
      <c r="H650" s="18" t="s">
        <v>561</v>
      </c>
      <c r="I650" s="19"/>
      <c r="J650" s="19"/>
      <c r="L650" s="20" t="s">
        <v>562</v>
      </c>
      <c r="M650" s="21"/>
      <c r="N650" s="21"/>
      <c r="P650" s="14" t="s">
        <v>563</v>
      </c>
    </row>
    <row r="651" customFormat="false" ht="15" hidden="false" customHeight="false" outlineLevel="0" collapsed="false">
      <c r="B651" s="3" t="s">
        <v>252</v>
      </c>
      <c r="C651" s="3" t="s">
        <v>253</v>
      </c>
      <c r="D651" s="3" t="s">
        <v>254</v>
      </c>
      <c r="E651" s="3" t="s">
        <v>255</v>
      </c>
      <c r="F651" s="3" t="s">
        <v>256</v>
      </c>
      <c r="H651" s="22" t="s">
        <v>252</v>
      </c>
      <c r="I651" s="22" t="s">
        <v>255</v>
      </c>
      <c r="J651" s="22" t="s">
        <v>256</v>
      </c>
      <c r="L651" s="23" t="s">
        <v>252</v>
      </c>
      <c r="M651" s="23" t="s">
        <v>255</v>
      </c>
      <c r="N651" s="23" t="s">
        <v>256</v>
      </c>
      <c r="P651" s="14" t="s">
        <v>564</v>
      </c>
    </row>
    <row r="652" customFormat="false" ht="15" hidden="false" customHeight="false" outlineLevel="0" collapsed="false">
      <c r="A652" s="24" t="s">
        <v>258</v>
      </c>
      <c r="B652" s="25" t="n">
        <v>5.5</v>
      </c>
      <c r="C652" s="25" t="n">
        <v>30</v>
      </c>
      <c r="D652" s="26" t="n">
        <v>3.4086</v>
      </c>
      <c r="E652" s="27" t="n">
        <v>4.82</v>
      </c>
      <c r="F652" s="28" t="n">
        <f aca="false">ROUND(B652*E652,2)</f>
        <v>26.51</v>
      </c>
      <c r="H652" s="29" t="n">
        <v>5.5</v>
      </c>
      <c r="I652" s="30" t="n">
        <v>4.82</v>
      </c>
      <c r="J652" s="31" t="n">
        <f aca="false">ROUND(H652*I652,2)</f>
        <v>26.51</v>
      </c>
      <c r="L652" s="32" t="n">
        <v>5.5</v>
      </c>
      <c r="M652" s="33" t="n">
        <v>4.82</v>
      </c>
      <c r="N652" s="34" t="n">
        <f aca="false">ROUND(L652*M652,2)</f>
        <v>26.51</v>
      </c>
      <c r="P652" s="35" t="s">
        <v>565</v>
      </c>
    </row>
    <row r="653" customFormat="false" ht="15" hidden="false" customHeight="false" outlineLevel="0" collapsed="false">
      <c r="A653" s="24" t="s">
        <v>260</v>
      </c>
      <c r="B653" s="25" t="n">
        <v>5.5</v>
      </c>
      <c r="C653" s="25" t="n">
        <v>30</v>
      </c>
      <c r="D653" s="26" t="n">
        <v>1.09728</v>
      </c>
      <c r="E653" s="27" t="n">
        <v>2.3744</v>
      </c>
      <c r="F653" s="28" t="n">
        <f aca="false">ROUND(B653*E653,2)</f>
        <v>13.06</v>
      </c>
      <c r="H653" s="29" t="n">
        <v>5.5</v>
      </c>
      <c r="I653" s="30" t="n">
        <v>2.3744</v>
      </c>
      <c r="J653" s="31" t="n">
        <f aca="false">ROUND(H653*I653,2)</f>
        <v>13.06</v>
      </c>
      <c r="L653" s="32" t="n">
        <v>5.5</v>
      </c>
      <c r="M653" s="33" t="n">
        <v>2.3744</v>
      </c>
      <c r="N653" s="34" t="n">
        <f aca="false">ROUND(L653*M653,2)</f>
        <v>13.06</v>
      </c>
      <c r="P653" s="36" t="s">
        <v>261</v>
      </c>
    </row>
    <row r="654" customFormat="false" ht="15" hidden="false" customHeight="false" outlineLevel="0" collapsed="false">
      <c r="A654" s="24" t="s">
        <v>262</v>
      </c>
      <c r="B654" s="25" t="n">
        <v>17.422</v>
      </c>
      <c r="C654" s="25" t="n">
        <v>30</v>
      </c>
      <c r="D654" s="26" t="n">
        <v>0.110306</v>
      </c>
      <c r="E654" s="27" t="n">
        <v>0.139</v>
      </c>
      <c r="F654" s="28" t="n">
        <f aca="false">ROUND(B654*E654,2)</f>
        <v>2.42</v>
      </c>
      <c r="H654" s="29" t="n">
        <v>45.494</v>
      </c>
      <c r="I654" s="30" t="n">
        <v>0.139</v>
      </c>
      <c r="J654" s="31" t="n">
        <f aca="false">ROUND(H654*I654,2)</f>
        <v>6.32</v>
      </c>
      <c r="L654" s="32" t="n">
        <v>14.452</v>
      </c>
      <c r="M654" s="33" t="n">
        <v>0.149</v>
      </c>
      <c r="N654" s="34" t="n">
        <f aca="false">ROUND(L654*M654,2)</f>
        <v>2.15</v>
      </c>
      <c r="P654" s="35" t="s">
        <v>566</v>
      </c>
    </row>
    <row r="655" customFormat="false" ht="15" hidden="false" customHeight="false" outlineLevel="0" collapsed="false">
      <c r="A655" s="24" t="s">
        <v>264</v>
      </c>
      <c r="B655" s="25" t="n">
        <v>43.003</v>
      </c>
      <c r="C655" s="25" t="n">
        <v>30</v>
      </c>
      <c r="D655" s="26" t="n">
        <v>0.110306</v>
      </c>
      <c r="E655" s="27" t="n">
        <v>0.139</v>
      </c>
      <c r="F655" s="28" t="n">
        <f aca="false">ROUND(B655*E655,2)</f>
        <v>5.98</v>
      </c>
      <c r="H655" s="29" t="n">
        <v>84.434</v>
      </c>
      <c r="I655" s="30" t="n">
        <v>0.139</v>
      </c>
      <c r="J655" s="31" t="n">
        <f aca="false">ROUND(H655*I655,2)</f>
        <v>11.74</v>
      </c>
      <c r="L655" s="32" t="n">
        <v>11.099</v>
      </c>
      <c r="M655" s="33" t="n">
        <v>0.149</v>
      </c>
      <c r="N655" s="34" t="n">
        <f aca="false">ROUND(L655*M655,2)</f>
        <v>1.65</v>
      </c>
    </row>
    <row r="656" customFormat="false" ht="15" hidden="false" customHeight="false" outlineLevel="0" collapsed="false">
      <c r="A656" s="24" t="s">
        <v>265</v>
      </c>
      <c r="B656" s="25" t="n">
        <v>98.112</v>
      </c>
      <c r="C656" s="25" t="n">
        <v>30</v>
      </c>
      <c r="D656" s="26" t="n">
        <v>0.110306</v>
      </c>
      <c r="E656" s="27" t="n">
        <v>0.139</v>
      </c>
      <c r="F656" s="28" t="n">
        <f aca="false">ROUND(B656*E656,2)</f>
        <v>13.64</v>
      </c>
      <c r="H656" s="29" t="n">
        <v>131.914</v>
      </c>
      <c r="I656" s="30" t="n">
        <v>0.139</v>
      </c>
      <c r="J656" s="31" t="n">
        <f aca="false">ROUND(H656*I656,2)</f>
        <v>18.34</v>
      </c>
      <c r="L656" s="32" t="n">
        <v>106.482</v>
      </c>
      <c r="M656" s="33" t="n">
        <v>0.149</v>
      </c>
      <c r="N656" s="34" t="n">
        <f aca="false">ROUND(L656*M656,2)</f>
        <v>15.87</v>
      </c>
    </row>
    <row r="657" customFormat="false" ht="15" hidden="false" customHeight="false" outlineLevel="0" collapsed="false">
      <c r="A657" s="24" t="s">
        <v>266</v>
      </c>
      <c r="B657" s="25" t="n">
        <v>1</v>
      </c>
      <c r="C657" s="25" t="n">
        <v>30</v>
      </c>
      <c r="D657" s="26" t="n">
        <v>0.7989</v>
      </c>
      <c r="E657" s="27" t="n">
        <v>1</v>
      </c>
      <c r="F657" s="28" t="n">
        <f aca="false">ROUND(B657*E657,2)</f>
        <v>1</v>
      </c>
      <c r="H657" s="29" t="n">
        <v>1</v>
      </c>
      <c r="I657" s="30" t="n">
        <v>1</v>
      </c>
      <c r="J657" s="31" t="n">
        <f aca="false">ROUND(H657*I657,2)</f>
        <v>1</v>
      </c>
      <c r="L657" s="32" t="n">
        <v>1</v>
      </c>
      <c r="M657" s="33" t="n">
        <v>6</v>
      </c>
      <c r="N657" s="34" t="n">
        <f aca="false">ROUND(L657*M657,2)</f>
        <v>6</v>
      </c>
    </row>
    <row r="658" customFormat="false" ht="15" hidden="false" customHeight="false" outlineLevel="0" collapsed="false">
      <c r="A658" s="24" t="s">
        <v>267</v>
      </c>
      <c r="B658" s="25" t="n">
        <v>30</v>
      </c>
      <c r="C658" s="25" t="n">
        <v>30</v>
      </c>
      <c r="D658" s="26" t="n">
        <v>0.5736</v>
      </c>
      <c r="E658" s="27" t="n">
        <v>0.01274</v>
      </c>
      <c r="F658" s="28" t="n">
        <f aca="false">ROUND(B658*E658,2)</f>
        <v>0.38</v>
      </c>
      <c r="H658" s="29" t="n">
        <v>30</v>
      </c>
      <c r="I658" s="30" t="n">
        <v>0.01912</v>
      </c>
      <c r="J658" s="31" t="n">
        <f aca="false">ROUND(H658*I658,2)</f>
        <v>0.57</v>
      </c>
      <c r="L658" s="32" t="n">
        <v>30</v>
      </c>
      <c r="M658" s="33" t="n">
        <v>0.00629</v>
      </c>
      <c r="N658" s="34" t="n">
        <f aca="false">ROUND(L658*M658,2)</f>
        <v>0.19</v>
      </c>
    </row>
    <row r="659" customFormat="false" ht="15" hidden="false" customHeight="false" outlineLevel="0" collapsed="false">
      <c r="A659" s="24" t="s">
        <v>268</v>
      </c>
      <c r="B659" s="25" t="n">
        <v>1.66</v>
      </c>
      <c r="C659" s="25" t="n">
        <v>30</v>
      </c>
      <c r="D659" s="26" t="n">
        <v>0.24729</v>
      </c>
      <c r="E659" s="27" t="n">
        <v>1</v>
      </c>
      <c r="F659" s="28" t="n">
        <f aca="false">ROUND(B659*E659,2)</f>
        <v>1.66</v>
      </c>
      <c r="H659" s="29" t="n">
        <v>3.05</v>
      </c>
      <c r="I659" s="30" t="n">
        <v>1</v>
      </c>
      <c r="J659" s="31" t="n">
        <f aca="false">ROUND(H659*I659,2)</f>
        <v>3.05</v>
      </c>
      <c r="L659" s="32" t="n">
        <v>2.3</v>
      </c>
      <c r="M659" s="33" t="n">
        <v>1</v>
      </c>
      <c r="N659" s="34" t="n">
        <f aca="false">ROUND(L659*M659,2)</f>
        <v>2.3</v>
      </c>
    </row>
    <row r="660" customFormat="false" ht="15" hidden="false" customHeight="false" outlineLevel="0" collapsed="false">
      <c r="A660" s="37" t="s">
        <v>269</v>
      </c>
      <c r="F660" s="38" t="n">
        <f aca="false">ROUND((SUM(F652:F659)-F659)*1.1+F659,2)</f>
        <v>70.95</v>
      </c>
      <c r="J660" s="39" t="n">
        <f aca="false">ROUND(SUM(J652:J659),2)</f>
        <v>80.59</v>
      </c>
      <c r="N660" s="40" t="n">
        <f aca="false">ROUND(SUM(N652:N659),2)</f>
        <v>67.73</v>
      </c>
    </row>
    <row r="661" customFormat="false" ht="15" hidden="false" customHeight="false" outlineLevel="0" collapsed="false">
      <c r="A661" s="15" t="s">
        <v>270</v>
      </c>
      <c r="B661" s="41" t="n">
        <f aca="false">IF((F654+F652+F656+F653+F655)=0,"",((F654+F652+F656+F653+F655)-(B654*D654+B652*D652+B656*D656+B653*D653+B655*D655))/(F654+F652+F656+F653+F655))</f>
        <v>0.313911340334361</v>
      </c>
      <c r="D661" s="42" t="str">
        <f aca="false">IF(B661="","SIN PC",IF(B661&gt;=Detalle!$G$1,"APROBAR",IF(B661&gt;=0.2,"REVISAR","RECHAZAR")))</f>
        <v>APROBAR</v>
      </c>
      <c r="E661" s="42"/>
      <c r="F661" s="42"/>
    </row>
    <row r="662" customFormat="false" ht="15" hidden="false" customHeight="false" outlineLevel="0" collapsed="false">
      <c r="A662" s="44" t="s">
        <v>379</v>
      </c>
      <c r="B662" s="44"/>
      <c r="C662" s="44"/>
      <c r="D662" s="44"/>
      <c r="E662" s="44"/>
      <c r="F662" s="44"/>
    </row>
    <row r="663" customFormat="false" ht="15" hidden="false" customHeight="false" outlineLevel="0" collapsed="false">
      <c r="A663" s="45" t="s">
        <v>247</v>
      </c>
      <c r="B663" s="45" t="s">
        <v>380</v>
      </c>
      <c r="D663" s="45" t="s">
        <v>381</v>
      </c>
      <c r="E663" s="45" t="s">
        <v>382</v>
      </c>
      <c r="F663" s="45" t="s">
        <v>256</v>
      </c>
    </row>
    <row r="664" customFormat="false" ht="15" hidden="false" customHeight="false" outlineLevel="0" collapsed="false">
      <c r="A664" s="46" t="s">
        <v>383</v>
      </c>
      <c r="B664" s="47" t="n">
        <v>418</v>
      </c>
      <c r="C664" s="48"/>
      <c r="D664" s="26" t="n">
        <v>0.06</v>
      </c>
      <c r="E664" s="48"/>
      <c r="F664" s="49" t="n">
        <f aca="false">ROUND(B664*D664,2)</f>
        <v>25.08</v>
      </c>
    </row>
    <row r="665" customFormat="false" ht="15" hidden="false" customHeight="false" outlineLevel="0" collapsed="false">
      <c r="A665" s="46" t="s">
        <v>384</v>
      </c>
      <c r="B665" s="48"/>
      <c r="C665" s="48"/>
      <c r="D665" s="48"/>
      <c r="E665" s="50" t="n">
        <v>0.06</v>
      </c>
      <c r="F665" s="49" t="n">
        <v>32.89</v>
      </c>
    </row>
    <row r="666" customFormat="false" ht="15" hidden="false" customHeight="false" outlineLevel="0" collapsed="false">
      <c r="A666" s="51" t="s">
        <v>385</v>
      </c>
      <c r="B666" s="48"/>
      <c r="C666" s="48"/>
      <c r="D666" s="48"/>
      <c r="E666" s="48"/>
      <c r="F666" s="52" t="n">
        <f aca="false">F664-F665</f>
        <v>-7.81</v>
      </c>
    </row>
    <row r="668" customFormat="false" ht="15" hidden="false" customHeight="false" outlineLevel="0" collapsed="false">
      <c r="A668" s="11" t="s">
        <v>567</v>
      </c>
      <c r="B668" s="11"/>
      <c r="C668" s="11"/>
      <c r="D668" s="11"/>
      <c r="E668" s="11"/>
      <c r="F668" s="11"/>
      <c r="H668" s="11" t="s">
        <v>568</v>
      </c>
      <c r="I668" s="11"/>
      <c r="J668" s="11"/>
      <c r="K668" s="11"/>
      <c r="L668" s="11"/>
      <c r="M668" s="11"/>
      <c r="N668" s="11"/>
      <c r="P668" s="14" t="s">
        <v>246</v>
      </c>
    </row>
    <row r="669" customFormat="false" ht="15" hidden="false" customHeight="false" outlineLevel="0" collapsed="false">
      <c r="A669" s="15" t="s">
        <v>247</v>
      </c>
      <c r="B669" s="16" t="s">
        <v>248</v>
      </c>
      <c r="C669" s="17"/>
      <c r="D669" s="17"/>
      <c r="E669" s="17"/>
      <c r="F669" s="17"/>
      <c r="H669" s="18" t="s">
        <v>569</v>
      </c>
      <c r="I669" s="19"/>
      <c r="J669" s="19"/>
      <c r="L669" s="20" t="s">
        <v>570</v>
      </c>
      <c r="M669" s="21"/>
      <c r="N669" s="21"/>
      <c r="P669" s="14" t="s">
        <v>571</v>
      </c>
    </row>
    <row r="670" customFormat="false" ht="15" hidden="false" customHeight="false" outlineLevel="0" collapsed="false">
      <c r="B670" s="3" t="s">
        <v>252</v>
      </c>
      <c r="C670" s="3" t="s">
        <v>253</v>
      </c>
      <c r="D670" s="3" t="s">
        <v>254</v>
      </c>
      <c r="E670" s="3" t="s">
        <v>255</v>
      </c>
      <c r="F670" s="3" t="s">
        <v>256</v>
      </c>
      <c r="H670" s="22" t="s">
        <v>252</v>
      </c>
      <c r="I670" s="22" t="s">
        <v>255</v>
      </c>
      <c r="J670" s="22" t="s">
        <v>256</v>
      </c>
      <c r="L670" s="23" t="s">
        <v>252</v>
      </c>
      <c r="M670" s="23" t="s">
        <v>255</v>
      </c>
      <c r="N670" s="23" t="s">
        <v>256</v>
      </c>
      <c r="P670" s="14" t="s">
        <v>572</v>
      </c>
    </row>
    <row r="671" customFormat="false" ht="15" hidden="false" customHeight="false" outlineLevel="0" collapsed="false">
      <c r="A671" s="24" t="s">
        <v>258</v>
      </c>
      <c r="B671" s="25" t="n">
        <v>8.8</v>
      </c>
      <c r="C671" s="25" t="n">
        <v>30</v>
      </c>
      <c r="D671" s="26" t="n">
        <v>3.4086</v>
      </c>
      <c r="E671" s="27" t="n">
        <v>4.17</v>
      </c>
      <c r="F671" s="28" t="n">
        <f aca="false">ROUND(B671*E671,2)</f>
        <v>36.7</v>
      </c>
      <c r="H671" s="29" t="n">
        <v>8.8</v>
      </c>
      <c r="I671" s="30" t="n">
        <v>4.17</v>
      </c>
      <c r="J671" s="31" t="n">
        <f aca="false">ROUND(H671*I671,2)</f>
        <v>36.7</v>
      </c>
      <c r="L671" s="32" t="n">
        <v>8.8</v>
      </c>
      <c r="M671" s="33" t="n">
        <v>4.17</v>
      </c>
      <c r="N671" s="34" t="n">
        <f aca="false">ROUND(L671*M671,2)</f>
        <v>36.7</v>
      </c>
      <c r="P671" s="35" t="s">
        <v>573</v>
      </c>
    </row>
    <row r="672" customFormat="false" ht="15" hidden="false" customHeight="false" outlineLevel="0" collapsed="false">
      <c r="A672" s="24" t="s">
        <v>260</v>
      </c>
      <c r="B672" s="25" t="n">
        <v>8.8</v>
      </c>
      <c r="C672" s="25" t="n">
        <v>30</v>
      </c>
      <c r="D672" s="26" t="n">
        <v>1.09728</v>
      </c>
      <c r="E672" s="27" t="n">
        <v>1.37</v>
      </c>
      <c r="F672" s="28" t="n">
        <f aca="false">ROUND(B672*E672,2)</f>
        <v>12.06</v>
      </c>
      <c r="H672" s="29" t="n">
        <v>8.8</v>
      </c>
      <c r="I672" s="30" t="n">
        <v>1.37</v>
      </c>
      <c r="J672" s="31" t="n">
        <f aca="false">ROUND(H672*I672,2)</f>
        <v>12.06</v>
      </c>
      <c r="L672" s="32" t="n">
        <v>8.8</v>
      </c>
      <c r="M672" s="33" t="n">
        <v>1.37</v>
      </c>
      <c r="N672" s="34" t="n">
        <f aca="false">ROUND(L672*M672,2)</f>
        <v>12.06</v>
      </c>
      <c r="P672" s="36" t="s">
        <v>261</v>
      </c>
    </row>
    <row r="673" customFormat="false" ht="15" hidden="false" customHeight="false" outlineLevel="0" collapsed="false">
      <c r="A673" s="24" t="s">
        <v>262</v>
      </c>
      <c r="B673" s="25" t="n">
        <v>83.967</v>
      </c>
      <c r="C673" s="25" t="n">
        <v>30</v>
      </c>
      <c r="D673" s="26" t="n">
        <v>0.110306</v>
      </c>
      <c r="E673" s="27" t="n">
        <v>0.14937</v>
      </c>
      <c r="F673" s="28" t="n">
        <f aca="false">ROUND(B673*E673,2)</f>
        <v>12.54</v>
      </c>
      <c r="H673" s="29" t="n">
        <v>212.223</v>
      </c>
      <c r="I673" s="30" t="n">
        <v>0.14937</v>
      </c>
      <c r="J673" s="31" t="n">
        <f aca="false">ROUND(H673*I673,2)</f>
        <v>31.7</v>
      </c>
      <c r="L673" s="32" t="n">
        <v>51.779</v>
      </c>
      <c r="M673" s="33" t="n">
        <v>0.14937</v>
      </c>
      <c r="N673" s="34" t="n">
        <f aca="false">ROUND(L673*M673,2)</f>
        <v>7.73</v>
      </c>
      <c r="P673" s="35" t="s">
        <v>574</v>
      </c>
    </row>
    <row r="674" customFormat="false" ht="15" hidden="false" customHeight="false" outlineLevel="0" collapsed="false">
      <c r="A674" s="24" t="s">
        <v>264</v>
      </c>
      <c r="B674" s="25" t="n">
        <v>59.331</v>
      </c>
      <c r="C674" s="25" t="n">
        <v>30</v>
      </c>
      <c r="D674" s="26" t="n">
        <v>0.110306</v>
      </c>
      <c r="E674" s="27" t="n">
        <v>0.14937</v>
      </c>
      <c r="F674" s="28" t="n">
        <f aca="false">ROUND(B674*E674,2)</f>
        <v>8.86</v>
      </c>
      <c r="H674" s="29" t="n">
        <v>157.578</v>
      </c>
      <c r="I674" s="30" t="n">
        <v>0.14937</v>
      </c>
      <c r="J674" s="31" t="n">
        <f aca="false">ROUND(H674*I674,2)</f>
        <v>23.54</v>
      </c>
      <c r="L674" s="32" t="n">
        <v>42.247</v>
      </c>
      <c r="M674" s="33" t="n">
        <v>0.14937</v>
      </c>
      <c r="N674" s="34" t="n">
        <f aca="false">ROUND(L674*M674,2)</f>
        <v>6.31</v>
      </c>
    </row>
    <row r="675" customFormat="false" ht="15" hidden="false" customHeight="false" outlineLevel="0" collapsed="false">
      <c r="A675" s="24" t="s">
        <v>265</v>
      </c>
      <c r="B675" s="25" t="n">
        <v>309.757</v>
      </c>
      <c r="C675" s="25" t="n">
        <v>30</v>
      </c>
      <c r="D675" s="26" t="n">
        <v>0.110306</v>
      </c>
      <c r="E675" s="27" t="n">
        <v>0.14937</v>
      </c>
      <c r="F675" s="28" t="n">
        <f aca="false">ROUND(B675*E675,2)</f>
        <v>46.27</v>
      </c>
      <c r="H675" s="29" t="n">
        <v>535.007</v>
      </c>
      <c r="I675" s="30" t="n">
        <v>0.14937</v>
      </c>
      <c r="J675" s="31" t="n">
        <f aca="false">ROUND(H675*I675,2)</f>
        <v>79.91</v>
      </c>
      <c r="L675" s="32" t="n">
        <v>146.014</v>
      </c>
      <c r="M675" s="33" t="n">
        <v>0.14937</v>
      </c>
      <c r="N675" s="34" t="n">
        <f aca="false">ROUND(L675*M675,2)</f>
        <v>21.81</v>
      </c>
    </row>
    <row r="676" customFormat="false" ht="15" hidden="false" customHeight="false" outlineLevel="0" collapsed="false">
      <c r="A676" s="24" t="s">
        <v>266</v>
      </c>
      <c r="B676" s="25" t="n">
        <v>1</v>
      </c>
      <c r="C676" s="25" t="n">
        <v>30</v>
      </c>
      <c r="D676" s="26" t="n">
        <v>0.7989</v>
      </c>
      <c r="E676" s="27" t="n">
        <v>4</v>
      </c>
      <c r="F676" s="28" t="n">
        <f aca="false">ROUND(B676*E676,2)</f>
        <v>4</v>
      </c>
      <c r="H676" s="29" t="n">
        <v>1</v>
      </c>
      <c r="I676" s="30" t="n">
        <v>4</v>
      </c>
      <c r="J676" s="31" t="n">
        <f aca="false">ROUND(H676*I676,2)</f>
        <v>4</v>
      </c>
      <c r="L676" s="32" t="n">
        <v>1</v>
      </c>
      <c r="M676" s="33" t="n">
        <v>4</v>
      </c>
      <c r="N676" s="34" t="n">
        <f aca="false">ROUND(L676*M676,2)</f>
        <v>4</v>
      </c>
    </row>
    <row r="677" customFormat="false" ht="15" hidden="false" customHeight="false" outlineLevel="0" collapsed="false">
      <c r="A677" s="24" t="s">
        <v>267</v>
      </c>
      <c r="B677" s="25" t="n">
        <v>30</v>
      </c>
      <c r="C677" s="25" t="n">
        <v>30</v>
      </c>
      <c r="D677" s="26" t="n">
        <v>0.5736</v>
      </c>
      <c r="E677" s="27" t="n">
        <v>0.01274</v>
      </c>
      <c r="F677" s="28" t="n">
        <f aca="false">ROUND(B677*E677,2)</f>
        <v>0.38</v>
      </c>
      <c r="H677" s="29" t="n">
        <v>30</v>
      </c>
      <c r="I677" s="30" t="n">
        <v>0.01274</v>
      </c>
      <c r="J677" s="31" t="n">
        <f aca="false">ROUND(H677*I677,2)</f>
        <v>0.38</v>
      </c>
      <c r="L677" s="32" t="n">
        <v>30</v>
      </c>
      <c r="M677" s="33" t="n">
        <v>0.00629</v>
      </c>
      <c r="N677" s="34" t="n">
        <f aca="false">ROUND(L677*M677,2)</f>
        <v>0.19</v>
      </c>
    </row>
    <row r="678" customFormat="false" ht="15" hidden="false" customHeight="false" outlineLevel="0" collapsed="false">
      <c r="A678" s="24" t="s">
        <v>268</v>
      </c>
      <c r="B678" s="25" t="n">
        <v>4.14</v>
      </c>
      <c r="C678" s="25" t="n">
        <v>30</v>
      </c>
      <c r="D678" s="26" t="n">
        <v>0.24729</v>
      </c>
      <c r="E678" s="27" t="n">
        <v>1</v>
      </c>
      <c r="F678" s="28" t="n">
        <f aca="false">ROUND(B678*E678,2)</f>
        <v>4.14</v>
      </c>
      <c r="H678" s="29" t="n">
        <v>8.44</v>
      </c>
      <c r="I678" s="30" t="n">
        <v>1</v>
      </c>
      <c r="J678" s="31" t="n">
        <f aca="false">ROUND(H678*I678,2)</f>
        <v>8.44</v>
      </c>
      <c r="L678" s="32" t="n">
        <v>2.78</v>
      </c>
      <c r="M678" s="33" t="n">
        <v>1</v>
      </c>
      <c r="N678" s="34" t="n">
        <f aca="false">ROUND(L678*M678,2)</f>
        <v>2.78</v>
      </c>
    </row>
    <row r="679" customFormat="false" ht="15" hidden="false" customHeight="false" outlineLevel="0" collapsed="false">
      <c r="A679" s="37" t="s">
        <v>269</v>
      </c>
      <c r="F679" s="38" t="n">
        <f aca="false">ROUND((SUM(F671:F678)-F678)*1.1+F678,2)</f>
        <v>137.03</v>
      </c>
      <c r="J679" s="39" t="n">
        <f aca="false">ROUND(SUM(J671:J678),2)</f>
        <v>196.73</v>
      </c>
      <c r="N679" s="40" t="n">
        <f aca="false">ROUND(SUM(N671:N678),2)</f>
        <v>91.58</v>
      </c>
    </row>
    <row r="680" customFormat="false" ht="15" hidden="false" customHeight="false" outlineLevel="0" collapsed="false">
      <c r="A680" s="15" t="s">
        <v>270</v>
      </c>
      <c r="B680" s="41" t="n">
        <f aca="false">IF((F673+F671+F675+F672+F674)=0,"",((F673+F671+F675+F672+F674)-(B673*D673+B671*D671+B675*D675+B672*D672+B674*D674))/(F673+F671+F675+F672+F674))</f>
        <v>0.230211897019669</v>
      </c>
      <c r="D680" s="42" t="str">
        <f aca="false">IF(B680="","SIN PC",IF(B680&gt;=Detalle!$G$1,"APROBAR",IF(B680&gt;=0.2,"REVISAR","RECHAZAR")))</f>
        <v>REVISAR</v>
      </c>
      <c r="E680" s="42"/>
      <c r="F680" s="42"/>
    </row>
    <row r="681" customFormat="false" ht="15" hidden="false" customHeight="false" outlineLevel="0" collapsed="false">
      <c r="A681" s="44" t="s">
        <v>379</v>
      </c>
      <c r="B681" s="44"/>
      <c r="C681" s="44"/>
      <c r="D681" s="44"/>
      <c r="E681" s="44"/>
      <c r="F681" s="44"/>
    </row>
    <row r="682" customFormat="false" ht="15" hidden="false" customHeight="false" outlineLevel="0" collapsed="false">
      <c r="A682" s="45" t="s">
        <v>247</v>
      </c>
      <c r="B682" s="45" t="s">
        <v>380</v>
      </c>
      <c r="D682" s="45" t="s">
        <v>381</v>
      </c>
      <c r="E682" s="45" t="s">
        <v>382</v>
      </c>
      <c r="F682" s="45" t="s">
        <v>256</v>
      </c>
    </row>
    <row r="683" customFormat="false" ht="15" hidden="false" customHeight="false" outlineLevel="0" collapsed="false">
      <c r="A683" s="46" t="s">
        <v>383</v>
      </c>
      <c r="B683" s="47" t="n">
        <v>708</v>
      </c>
      <c r="C683" s="48"/>
      <c r="D683" s="26" t="n">
        <v>0.06</v>
      </c>
      <c r="E683" s="48"/>
      <c r="F683" s="49" t="n">
        <f aca="false">ROUND(B683*D683,2)</f>
        <v>42.48</v>
      </c>
    </row>
    <row r="684" customFormat="false" ht="15" hidden="false" customHeight="false" outlineLevel="0" collapsed="false">
      <c r="A684" s="46" t="s">
        <v>384</v>
      </c>
      <c r="B684" s="48"/>
      <c r="C684" s="48"/>
      <c r="D684" s="48"/>
      <c r="E684" s="50" t="n">
        <v>0.06</v>
      </c>
      <c r="F684" s="49" t="n">
        <v>17.84</v>
      </c>
    </row>
    <row r="685" customFormat="false" ht="15" hidden="false" customHeight="false" outlineLevel="0" collapsed="false">
      <c r="A685" s="51" t="s">
        <v>385</v>
      </c>
      <c r="B685" s="48"/>
      <c r="C685" s="48"/>
      <c r="D685" s="48"/>
      <c r="E685" s="48"/>
      <c r="F685" s="52" t="n">
        <f aca="false">F683-F684</f>
        <v>24.64</v>
      </c>
    </row>
    <row r="687" customFormat="false" ht="15" hidden="false" customHeight="false" outlineLevel="0" collapsed="false">
      <c r="A687" s="11" t="s">
        <v>575</v>
      </c>
      <c r="B687" s="11"/>
      <c r="C687" s="11"/>
      <c r="D687" s="11"/>
      <c r="E687" s="11"/>
      <c r="F687" s="11"/>
      <c r="H687" s="11" t="s">
        <v>432</v>
      </c>
      <c r="I687" s="11"/>
      <c r="J687" s="11"/>
      <c r="K687" s="11"/>
      <c r="L687" s="11"/>
      <c r="M687" s="11"/>
      <c r="N687" s="11"/>
      <c r="P687" s="14" t="s">
        <v>246</v>
      </c>
    </row>
    <row r="688" customFormat="false" ht="15" hidden="false" customHeight="false" outlineLevel="0" collapsed="false">
      <c r="A688" s="15" t="s">
        <v>247</v>
      </c>
      <c r="B688" s="16" t="s">
        <v>248</v>
      </c>
      <c r="C688" s="17"/>
      <c r="D688" s="17"/>
      <c r="E688" s="17"/>
      <c r="F688" s="17"/>
      <c r="H688" s="18" t="s">
        <v>433</v>
      </c>
      <c r="I688" s="19"/>
      <c r="J688" s="19"/>
      <c r="L688" s="20" t="s">
        <v>434</v>
      </c>
      <c r="M688" s="21"/>
      <c r="N688" s="21"/>
      <c r="P688" s="14" t="s">
        <v>435</v>
      </c>
    </row>
    <row r="689" customFormat="false" ht="15" hidden="false" customHeight="false" outlineLevel="0" collapsed="false">
      <c r="B689" s="3" t="s">
        <v>252</v>
      </c>
      <c r="C689" s="3" t="s">
        <v>253</v>
      </c>
      <c r="D689" s="3" t="s">
        <v>254</v>
      </c>
      <c r="E689" s="3" t="s">
        <v>255</v>
      </c>
      <c r="F689" s="3" t="s">
        <v>256</v>
      </c>
      <c r="H689" s="22" t="s">
        <v>252</v>
      </c>
      <c r="I689" s="22" t="s">
        <v>255</v>
      </c>
      <c r="J689" s="22" t="s">
        <v>256</v>
      </c>
      <c r="L689" s="23" t="s">
        <v>252</v>
      </c>
      <c r="M689" s="23" t="s">
        <v>255</v>
      </c>
      <c r="N689" s="23" t="s">
        <v>256</v>
      </c>
      <c r="P689" s="14" t="s">
        <v>436</v>
      </c>
    </row>
    <row r="690" customFormat="false" ht="15" hidden="false" customHeight="false" outlineLevel="0" collapsed="false">
      <c r="A690" s="24" t="s">
        <v>258</v>
      </c>
      <c r="B690" s="25" t="n">
        <v>9.2</v>
      </c>
      <c r="C690" s="25" t="n">
        <v>30</v>
      </c>
      <c r="D690" s="26" t="n">
        <v>3.4086</v>
      </c>
      <c r="E690" s="27" t="n">
        <v>3.85</v>
      </c>
      <c r="F690" s="28" t="n">
        <f aca="false">ROUND(B690*E690,2)</f>
        <v>35.42</v>
      </c>
      <c r="H690" s="29" t="n">
        <v>9.2</v>
      </c>
      <c r="I690" s="30" t="n">
        <v>3.85</v>
      </c>
      <c r="J690" s="31" t="n">
        <f aca="false">ROUND(H690*I690,2)</f>
        <v>35.42</v>
      </c>
      <c r="L690" s="32" t="n">
        <v>9.2</v>
      </c>
      <c r="M690" s="33" t="n">
        <v>3.85</v>
      </c>
      <c r="N690" s="34" t="n">
        <f aca="false">ROUND(L690*M690,2)</f>
        <v>35.42</v>
      </c>
      <c r="P690" s="35" t="s">
        <v>437</v>
      </c>
    </row>
    <row r="691" customFormat="false" ht="15" hidden="false" customHeight="false" outlineLevel="0" collapsed="false">
      <c r="A691" s="24" t="s">
        <v>260</v>
      </c>
      <c r="B691" s="25" t="n">
        <v>9.2</v>
      </c>
      <c r="C691" s="25" t="n">
        <v>30</v>
      </c>
      <c r="D691" s="26" t="n">
        <v>1.09728</v>
      </c>
      <c r="E691" s="27" t="n">
        <v>1.33</v>
      </c>
      <c r="F691" s="28" t="n">
        <f aca="false">ROUND(B691*E691,2)</f>
        <v>12.24</v>
      </c>
      <c r="H691" s="29" t="n">
        <v>9.2</v>
      </c>
      <c r="I691" s="30" t="n">
        <v>1.33</v>
      </c>
      <c r="J691" s="31" t="n">
        <f aca="false">ROUND(H691*I691,2)</f>
        <v>12.24</v>
      </c>
      <c r="L691" s="32" t="n">
        <v>9.2</v>
      </c>
      <c r="M691" s="33" t="n">
        <v>1.33</v>
      </c>
      <c r="N691" s="34" t="n">
        <f aca="false">ROUND(L691*M691,2)</f>
        <v>12.24</v>
      </c>
      <c r="P691" s="36" t="s">
        <v>261</v>
      </c>
    </row>
    <row r="692" customFormat="false" ht="15" hidden="false" customHeight="false" outlineLevel="0" collapsed="false">
      <c r="A692" s="24" t="s">
        <v>262</v>
      </c>
      <c r="B692" s="25" t="n">
        <v>19.344</v>
      </c>
      <c r="C692" s="25" t="n">
        <v>30</v>
      </c>
      <c r="D692" s="26" t="n">
        <v>0.110306</v>
      </c>
      <c r="E692" s="27" t="n">
        <v>0.13788</v>
      </c>
      <c r="F692" s="28" t="n">
        <f aca="false">ROUND(B692*E692,2)</f>
        <v>2.67</v>
      </c>
      <c r="H692" s="29" t="n">
        <v>109.227</v>
      </c>
      <c r="I692" s="30" t="n">
        <v>0.13788</v>
      </c>
      <c r="J692" s="31" t="n">
        <f aca="false">ROUND(H692*I692,2)</f>
        <v>15.06</v>
      </c>
      <c r="L692" s="32" t="n">
        <v>24.778</v>
      </c>
      <c r="M692" s="33" t="n">
        <v>0.13788</v>
      </c>
      <c r="N692" s="34" t="n">
        <f aca="false">ROUND(L692*M692,2)</f>
        <v>3.42</v>
      </c>
      <c r="P692" s="35" t="s">
        <v>438</v>
      </c>
    </row>
    <row r="693" customFormat="false" ht="15" hidden="false" customHeight="false" outlineLevel="0" collapsed="false">
      <c r="A693" s="24" t="s">
        <v>264</v>
      </c>
      <c r="B693" s="25" t="n">
        <v>14.991</v>
      </c>
      <c r="C693" s="25" t="n">
        <v>30</v>
      </c>
      <c r="D693" s="26" t="n">
        <v>0.110306</v>
      </c>
      <c r="E693" s="27" t="n">
        <v>0.13788</v>
      </c>
      <c r="F693" s="28" t="n">
        <f aca="false">ROUND(B693*E693,2)</f>
        <v>2.07</v>
      </c>
      <c r="H693" s="29" t="n">
        <v>81.879</v>
      </c>
      <c r="I693" s="30" t="n">
        <v>0.13788</v>
      </c>
      <c r="J693" s="31" t="n">
        <f aca="false">ROUND(H693*I693,2)</f>
        <v>11.29</v>
      </c>
      <c r="L693" s="32" t="n">
        <v>21.157</v>
      </c>
      <c r="M693" s="33" t="n">
        <v>0.13788</v>
      </c>
      <c r="N693" s="34" t="n">
        <f aca="false">ROUND(L693*M693,2)</f>
        <v>2.92</v>
      </c>
    </row>
    <row r="694" customFormat="false" ht="15" hidden="false" customHeight="false" outlineLevel="0" collapsed="false">
      <c r="A694" s="24" t="s">
        <v>265</v>
      </c>
      <c r="B694" s="25" t="n">
        <v>73.071</v>
      </c>
      <c r="C694" s="25" t="n">
        <v>30</v>
      </c>
      <c r="D694" s="26" t="n">
        <v>0.110306</v>
      </c>
      <c r="E694" s="27" t="n">
        <v>0.13788</v>
      </c>
      <c r="F694" s="28" t="n">
        <f aca="false">ROUND(B694*E694,2)</f>
        <v>10.08</v>
      </c>
      <c r="H694" s="29" t="n">
        <v>173.798</v>
      </c>
      <c r="I694" s="30" t="n">
        <v>0.13788</v>
      </c>
      <c r="J694" s="31" t="n">
        <f aca="false">ROUND(H694*I694,2)</f>
        <v>23.96</v>
      </c>
      <c r="L694" s="32" t="n">
        <v>77.584</v>
      </c>
      <c r="M694" s="33" t="n">
        <v>0.13788</v>
      </c>
      <c r="N694" s="34" t="n">
        <f aca="false">ROUND(L694*M694,2)</f>
        <v>10.7</v>
      </c>
    </row>
    <row r="695" customFormat="false" ht="15" hidden="false" customHeight="false" outlineLevel="0" collapsed="false">
      <c r="A695" s="24" t="s">
        <v>266</v>
      </c>
      <c r="B695" s="25" t="n">
        <v>1</v>
      </c>
      <c r="C695" s="25" t="n">
        <v>30</v>
      </c>
      <c r="D695" s="26" t="n">
        <v>0.7989</v>
      </c>
      <c r="E695" s="27" t="n">
        <v>3</v>
      </c>
      <c r="F695" s="28" t="n">
        <f aca="false">ROUND(B695*E695,2)</f>
        <v>3</v>
      </c>
      <c r="H695" s="29" t="n">
        <v>1</v>
      </c>
      <c r="I695" s="30" t="n">
        <v>3</v>
      </c>
      <c r="J695" s="31" t="n">
        <f aca="false">ROUND(H695*I695,2)</f>
        <v>3</v>
      </c>
      <c r="L695" s="32" t="n">
        <v>1</v>
      </c>
      <c r="M695" s="33" t="n">
        <v>3</v>
      </c>
      <c r="N695" s="34" t="n">
        <f aca="false">ROUND(L695*M695,2)</f>
        <v>3</v>
      </c>
    </row>
    <row r="696" customFormat="false" ht="15" hidden="false" customHeight="false" outlineLevel="0" collapsed="false">
      <c r="A696" s="24" t="s">
        <v>267</v>
      </c>
      <c r="B696" s="25" t="n">
        <v>30</v>
      </c>
      <c r="C696" s="25" t="n">
        <v>30</v>
      </c>
      <c r="D696" s="26" t="n">
        <v>0.5736</v>
      </c>
      <c r="E696" s="27" t="n">
        <v>0.01274</v>
      </c>
      <c r="F696" s="28" t="n">
        <f aca="false">ROUND(B696*E696,2)</f>
        <v>0.38</v>
      </c>
      <c r="H696" s="29" t="n">
        <v>30</v>
      </c>
      <c r="I696" s="30" t="n">
        <v>0.01274</v>
      </c>
      <c r="J696" s="31" t="n">
        <f aca="false">ROUND(H696*I696,2)</f>
        <v>0.38</v>
      </c>
      <c r="L696" s="32" t="n">
        <v>30</v>
      </c>
      <c r="M696" s="33" t="n">
        <v>0.00629</v>
      </c>
      <c r="N696" s="34" t="n">
        <f aca="false">ROUND(L696*M696,2)</f>
        <v>0.19</v>
      </c>
    </row>
    <row r="697" customFormat="false" ht="15" hidden="false" customHeight="false" outlineLevel="0" collapsed="false">
      <c r="A697" s="24" t="s">
        <v>268</v>
      </c>
      <c r="B697" s="25" t="n">
        <v>2.45</v>
      </c>
      <c r="C697" s="25" t="n">
        <v>30</v>
      </c>
      <c r="D697" s="26" t="n">
        <v>0.24729</v>
      </c>
      <c r="E697" s="27" t="n">
        <v>1</v>
      </c>
      <c r="F697" s="28" t="n">
        <f aca="false">ROUND(B697*E697,2)</f>
        <v>2.45</v>
      </c>
      <c r="H697" s="29" t="n">
        <v>4.04</v>
      </c>
      <c r="I697" s="30" t="n">
        <v>1</v>
      </c>
      <c r="J697" s="31" t="n">
        <f aca="false">ROUND(H697*I697,2)</f>
        <v>4.04</v>
      </c>
      <c r="L697" s="32" t="n">
        <v>2.45</v>
      </c>
      <c r="M697" s="33" t="n">
        <v>1</v>
      </c>
      <c r="N697" s="34" t="n">
        <f aca="false">ROUND(L697*M697,2)</f>
        <v>2.45</v>
      </c>
    </row>
    <row r="698" customFormat="false" ht="15" hidden="false" customHeight="false" outlineLevel="0" collapsed="false">
      <c r="A698" s="37" t="s">
        <v>269</v>
      </c>
      <c r="F698" s="38" t="n">
        <f aca="false">ROUND((SUM(F690:F697)-F697)*1.1+F697,2)</f>
        <v>74.9</v>
      </c>
      <c r="J698" s="39" t="n">
        <f aca="false">ROUND(SUM(J690:J697),2)</f>
        <v>105.39</v>
      </c>
      <c r="N698" s="40" t="n">
        <f aca="false">ROUND(SUM(N690:N697),2)</f>
        <v>70.34</v>
      </c>
    </row>
    <row r="699" customFormat="false" ht="15" hidden="false" customHeight="false" outlineLevel="0" collapsed="false">
      <c r="A699" s="15" t="s">
        <v>270</v>
      </c>
      <c r="B699" s="41" t="n">
        <f aca="false">IF((F692+F690+F694+F691+F693)=0,"",((F692+F690+F694+F691+F693)-(B692*D692+B690*D690+B694*D694+B691*D691+B693*D693))/(F692+F690+F694+F691+F693))</f>
        <v>0.14690105256082</v>
      </c>
      <c r="D699" s="42" t="str">
        <f aca="false">IF(B699="","SIN PC",IF(B699&gt;=Detalle!$G$1,"APROBAR",IF(B699&gt;=0.2,"REVISAR","RECHAZAR")))</f>
        <v>RECHAZAR</v>
      </c>
      <c r="E699" s="42"/>
      <c r="F699" s="42"/>
    </row>
    <row r="700" customFormat="false" ht="15" hidden="false" customHeight="false" outlineLevel="0" collapsed="false">
      <c r="A700" s="44" t="s">
        <v>379</v>
      </c>
      <c r="B700" s="44"/>
      <c r="C700" s="44"/>
      <c r="D700" s="44"/>
      <c r="E700" s="44"/>
      <c r="F700" s="44"/>
    </row>
    <row r="701" customFormat="false" ht="15" hidden="false" customHeight="false" outlineLevel="0" collapsed="false">
      <c r="A701" s="45" t="s">
        <v>247</v>
      </c>
      <c r="B701" s="45" t="s">
        <v>380</v>
      </c>
      <c r="D701" s="45" t="s">
        <v>381</v>
      </c>
      <c r="E701" s="45" t="s">
        <v>382</v>
      </c>
      <c r="F701" s="45" t="s">
        <v>256</v>
      </c>
    </row>
    <row r="702" customFormat="false" ht="15" hidden="false" customHeight="false" outlineLevel="0" collapsed="false">
      <c r="A702" s="46" t="s">
        <v>383</v>
      </c>
      <c r="B702" s="47" t="n">
        <v>554</v>
      </c>
      <c r="C702" s="48"/>
      <c r="D702" s="26" t="n">
        <v>0.06</v>
      </c>
      <c r="E702" s="48"/>
      <c r="F702" s="49" t="n">
        <f aca="false">ROUND(B702*D702,2)</f>
        <v>33.24</v>
      </c>
    </row>
    <row r="703" customFormat="false" ht="15" hidden="false" customHeight="false" outlineLevel="0" collapsed="false">
      <c r="A703" s="46" t="s">
        <v>384</v>
      </c>
      <c r="B703" s="48"/>
      <c r="C703" s="48"/>
      <c r="D703" s="48"/>
      <c r="E703" s="50" t="n">
        <v>0.06</v>
      </c>
      <c r="F703" s="49" t="n">
        <v>14.82</v>
      </c>
    </row>
    <row r="704" customFormat="false" ht="15" hidden="false" customHeight="false" outlineLevel="0" collapsed="false">
      <c r="A704" s="51" t="s">
        <v>385</v>
      </c>
      <c r="B704" s="48"/>
      <c r="C704" s="48"/>
      <c r="D704" s="48"/>
      <c r="E704" s="48"/>
      <c r="F704" s="52" t="n">
        <f aca="false">F702-F703</f>
        <v>18.42</v>
      </c>
    </row>
    <row r="706" customFormat="false" ht="15" hidden="false" customHeight="false" outlineLevel="0" collapsed="false">
      <c r="A706" s="11" t="s">
        <v>576</v>
      </c>
      <c r="B706" s="11"/>
      <c r="C706" s="11"/>
      <c r="D706" s="11"/>
      <c r="E706" s="11"/>
      <c r="F706" s="11"/>
      <c r="H706" s="11" t="s">
        <v>577</v>
      </c>
      <c r="I706" s="11"/>
      <c r="J706" s="11"/>
      <c r="K706" s="11"/>
      <c r="L706" s="11"/>
      <c r="M706" s="11"/>
      <c r="N706" s="11"/>
      <c r="P706" s="14" t="s">
        <v>246</v>
      </c>
    </row>
    <row r="707" customFormat="false" ht="15" hidden="false" customHeight="false" outlineLevel="0" collapsed="false">
      <c r="A707" s="15" t="s">
        <v>247</v>
      </c>
      <c r="B707" s="16" t="s">
        <v>248</v>
      </c>
      <c r="C707" s="17"/>
      <c r="D707" s="17"/>
      <c r="E707" s="17"/>
      <c r="F707" s="17"/>
      <c r="H707" s="18" t="s">
        <v>578</v>
      </c>
      <c r="I707" s="19"/>
      <c r="J707" s="19"/>
      <c r="L707" s="20" t="s">
        <v>579</v>
      </c>
      <c r="M707" s="21"/>
      <c r="N707" s="21"/>
      <c r="P707" s="14" t="s">
        <v>580</v>
      </c>
    </row>
    <row r="708" customFormat="false" ht="15" hidden="false" customHeight="false" outlineLevel="0" collapsed="false">
      <c r="B708" s="3" t="s">
        <v>252</v>
      </c>
      <c r="C708" s="3" t="s">
        <v>253</v>
      </c>
      <c r="D708" s="3" t="s">
        <v>254</v>
      </c>
      <c r="E708" s="3" t="s">
        <v>255</v>
      </c>
      <c r="F708" s="3" t="s">
        <v>256</v>
      </c>
      <c r="H708" s="22" t="s">
        <v>252</v>
      </c>
      <c r="I708" s="22" t="s">
        <v>255</v>
      </c>
      <c r="J708" s="22" t="s">
        <v>256</v>
      </c>
      <c r="L708" s="23" t="s">
        <v>252</v>
      </c>
      <c r="M708" s="23" t="s">
        <v>255</v>
      </c>
      <c r="N708" s="23" t="s">
        <v>256</v>
      </c>
      <c r="P708" s="14" t="s">
        <v>581</v>
      </c>
    </row>
    <row r="709" customFormat="false" ht="15" hidden="false" customHeight="false" outlineLevel="0" collapsed="false">
      <c r="A709" s="24" t="s">
        <v>258</v>
      </c>
      <c r="B709" s="25" t="n">
        <v>9.2</v>
      </c>
      <c r="C709" s="25" t="n">
        <v>30</v>
      </c>
      <c r="D709" s="26" t="n">
        <v>3.4086</v>
      </c>
      <c r="E709" s="27" t="n">
        <v>3.85</v>
      </c>
      <c r="F709" s="28" t="n">
        <f aca="false">ROUND(B709*E709,2)</f>
        <v>35.42</v>
      </c>
      <c r="H709" s="29" t="n">
        <v>9.2</v>
      </c>
      <c r="I709" s="30" t="n">
        <v>3.85</v>
      </c>
      <c r="J709" s="31" t="n">
        <f aca="false">ROUND(H709*I709,2)</f>
        <v>35.42</v>
      </c>
      <c r="L709" s="32" t="n">
        <v>9.2</v>
      </c>
      <c r="M709" s="33" t="n">
        <v>3.85</v>
      </c>
      <c r="N709" s="34" t="n">
        <f aca="false">ROUND(L709*M709,2)</f>
        <v>35.42</v>
      </c>
      <c r="P709" s="35" t="s">
        <v>582</v>
      </c>
    </row>
    <row r="710" customFormat="false" ht="15" hidden="false" customHeight="false" outlineLevel="0" collapsed="false">
      <c r="A710" s="24" t="s">
        <v>260</v>
      </c>
      <c r="B710" s="25" t="n">
        <v>9.2</v>
      </c>
      <c r="C710" s="25" t="n">
        <v>30</v>
      </c>
      <c r="D710" s="26" t="n">
        <v>1.09728</v>
      </c>
      <c r="E710" s="27" t="n">
        <v>1.33</v>
      </c>
      <c r="F710" s="28" t="n">
        <f aca="false">ROUND(B710*E710,2)</f>
        <v>12.24</v>
      </c>
      <c r="H710" s="29" t="n">
        <v>9.2</v>
      </c>
      <c r="I710" s="30" t="n">
        <v>1.33</v>
      </c>
      <c r="J710" s="31" t="n">
        <f aca="false">ROUND(H710*I710,2)</f>
        <v>12.24</v>
      </c>
      <c r="L710" s="32" t="n">
        <v>9.2</v>
      </c>
      <c r="M710" s="33" t="n">
        <v>1.33</v>
      </c>
      <c r="N710" s="34" t="n">
        <f aca="false">ROUND(L710*M710,2)</f>
        <v>12.24</v>
      </c>
      <c r="P710" s="36" t="s">
        <v>261</v>
      </c>
    </row>
    <row r="711" customFormat="false" ht="15" hidden="false" customHeight="false" outlineLevel="0" collapsed="false">
      <c r="A711" s="24" t="s">
        <v>262</v>
      </c>
      <c r="B711" s="25" t="n">
        <v>96.074</v>
      </c>
      <c r="C711" s="25" t="n">
        <v>30</v>
      </c>
      <c r="D711" s="26" t="n">
        <v>0.110306</v>
      </c>
      <c r="E711" s="27" t="n">
        <v>0.13788</v>
      </c>
      <c r="F711" s="28" t="n">
        <f aca="false">ROUND(B711*E711,2)</f>
        <v>13.25</v>
      </c>
      <c r="H711" s="29" t="n">
        <v>389.07</v>
      </c>
      <c r="I711" s="30" t="n">
        <v>0.13788</v>
      </c>
      <c r="J711" s="31" t="n">
        <f aca="false">ROUND(H711*I711,2)</f>
        <v>53.64</v>
      </c>
      <c r="L711" s="32" t="n">
        <v>128.752</v>
      </c>
      <c r="M711" s="33" t="n">
        <v>0.13788</v>
      </c>
      <c r="N711" s="34" t="n">
        <f aca="false">ROUND(L711*M711,2)</f>
        <v>17.75</v>
      </c>
      <c r="P711" s="35" t="s">
        <v>583</v>
      </c>
    </row>
    <row r="712" customFormat="false" ht="15" hidden="false" customHeight="false" outlineLevel="0" collapsed="false">
      <c r="A712" s="24" t="s">
        <v>264</v>
      </c>
      <c r="B712" s="25" t="n">
        <v>128.519</v>
      </c>
      <c r="C712" s="25" t="n">
        <v>30</v>
      </c>
      <c r="D712" s="26" t="n">
        <v>0.110306</v>
      </c>
      <c r="E712" s="27" t="n">
        <v>0.13788</v>
      </c>
      <c r="F712" s="28" t="n">
        <f aca="false">ROUND(B712*E712,2)</f>
        <v>17.72</v>
      </c>
      <c r="H712" s="29" t="n">
        <v>395.085</v>
      </c>
      <c r="I712" s="30" t="n">
        <v>0.13788</v>
      </c>
      <c r="J712" s="31" t="n">
        <f aca="false">ROUND(H712*I712,2)</f>
        <v>54.47</v>
      </c>
      <c r="L712" s="32" t="n">
        <v>176.765</v>
      </c>
      <c r="M712" s="33" t="n">
        <v>0.13788</v>
      </c>
      <c r="N712" s="34" t="n">
        <f aca="false">ROUND(L712*M712,2)</f>
        <v>24.37</v>
      </c>
    </row>
    <row r="713" customFormat="false" ht="15" hidden="false" customHeight="false" outlineLevel="0" collapsed="false">
      <c r="A713" s="24" t="s">
        <v>265</v>
      </c>
      <c r="B713" s="25" t="n">
        <v>479.648</v>
      </c>
      <c r="C713" s="25" t="n">
        <v>30</v>
      </c>
      <c r="D713" s="26" t="n">
        <v>0.110306</v>
      </c>
      <c r="E713" s="27" t="n">
        <v>0.13788</v>
      </c>
      <c r="F713" s="28" t="n">
        <f aca="false">ROUND(B713*E713,2)</f>
        <v>66.13</v>
      </c>
      <c r="H713" s="29" t="n">
        <v>1229.2</v>
      </c>
      <c r="I713" s="30" t="n">
        <v>0.13788</v>
      </c>
      <c r="J713" s="31" t="n">
        <f aca="false">ROUND(H713*I713,2)</f>
        <v>169.48</v>
      </c>
      <c r="L713" s="32" t="n">
        <v>615.253</v>
      </c>
      <c r="M713" s="33" t="n">
        <v>0.13788</v>
      </c>
      <c r="N713" s="34" t="n">
        <f aca="false">ROUND(L713*M713,2)</f>
        <v>84.83</v>
      </c>
    </row>
    <row r="714" customFormat="false" ht="15" hidden="false" customHeight="false" outlineLevel="0" collapsed="false">
      <c r="A714" s="24" t="s">
        <v>266</v>
      </c>
      <c r="B714" s="25" t="n">
        <v>1</v>
      </c>
      <c r="C714" s="25" t="n">
        <v>30</v>
      </c>
      <c r="D714" s="26" t="n">
        <v>0.7989</v>
      </c>
      <c r="E714" s="27" t="n">
        <v>3</v>
      </c>
      <c r="F714" s="28" t="n">
        <f aca="false">ROUND(B714*E714,2)</f>
        <v>3</v>
      </c>
      <c r="H714" s="29" t="n">
        <v>1</v>
      </c>
      <c r="I714" s="30" t="n">
        <v>3</v>
      </c>
      <c r="J714" s="31" t="n">
        <f aca="false">ROUND(H714*I714,2)</f>
        <v>3</v>
      </c>
      <c r="L714" s="32" t="n">
        <v>1</v>
      </c>
      <c r="M714" s="33" t="n">
        <v>3</v>
      </c>
      <c r="N714" s="34" t="n">
        <f aca="false">ROUND(L714*M714,2)</f>
        <v>3</v>
      </c>
    </row>
    <row r="715" customFormat="false" ht="15" hidden="false" customHeight="false" outlineLevel="0" collapsed="false">
      <c r="A715" s="24" t="s">
        <v>267</v>
      </c>
      <c r="B715" s="25" t="n">
        <v>30</v>
      </c>
      <c r="C715" s="25" t="n">
        <v>30</v>
      </c>
      <c r="D715" s="26" t="n">
        <v>0.5736</v>
      </c>
      <c r="E715" s="27" t="n">
        <v>0.01274</v>
      </c>
      <c r="F715" s="28" t="n">
        <f aca="false">ROUND(B715*E715,2)</f>
        <v>0.38</v>
      </c>
      <c r="H715" s="29" t="n">
        <v>30</v>
      </c>
      <c r="I715" s="30" t="n">
        <v>0.01274</v>
      </c>
      <c r="J715" s="31" t="n">
        <f aca="false">ROUND(H715*I715,2)</f>
        <v>0.38</v>
      </c>
      <c r="L715" s="32" t="n">
        <v>30</v>
      </c>
      <c r="M715" s="33" t="n">
        <v>0.00629</v>
      </c>
      <c r="N715" s="34" t="n">
        <f aca="false">ROUND(L715*M715,2)</f>
        <v>0.19</v>
      </c>
    </row>
    <row r="716" customFormat="false" ht="15" hidden="false" customHeight="false" outlineLevel="0" collapsed="false">
      <c r="A716" s="24" t="s">
        <v>268</v>
      </c>
      <c r="B716" s="25" t="n">
        <v>6.36</v>
      </c>
      <c r="C716" s="25" t="n">
        <v>30</v>
      </c>
      <c r="D716" s="26" t="n">
        <v>0.24729</v>
      </c>
      <c r="E716" s="27" t="n">
        <v>1</v>
      </c>
      <c r="F716" s="28" t="n">
        <f aca="false">ROUND(B716*E716,2)</f>
        <v>6.36</v>
      </c>
      <c r="H716" s="29" t="n">
        <v>16.33</v>
      </c>
      <c r="I716" s="30" t="n">
        <v>1</v>
      </c>
      <c r="J716" s="31" t="n">
        <f aca="false">ROUND(H716*I716,2)</f>
        <v>16.33</v>
      </c>
      <c r="L716" s="32" t="n">
        <v>8.1</v>
      </c>
      <c r="M716" s="33" t="n">
        <v>1</v>
      </c>
      <c r="N716" s="34" t="n">
        <f aca="false">ROUND(L716*M716,2)</f>
        <v>8.1</v>
      </c>
    </row>
    <row r="717" customFormat="false" ht="15" hidden="false" customHeight="false" outlineLevel="0" collapsed="false">
      <c r="A717" s="37" t="s">
        <v>269</v>
      </c>
      <c r="F717" s="38" t="n">
        <f aca="false">ROUND((SUM(F709:F716)-F716)*1.1+F716,2)</f>
        <v>169.31</v>
      </c>
      <c r="J717" s="39" t="n">
        <f aca="false">ROUND(SUM(J709:J716),2)</f>
        <v>344.96</v>
      </c>
      <c r="N717" s="40" t="n">
        <f aca="false">ROUND(SUM(N709:N716),2)</f>
        <v>185.9</v>
      </c>
    </row>
    <row r="718" customFormat="false" ht="15" hidden="false" customHeight="false" outlineLevel="0" collapsed="false">
      <c r="A718" s="15" t="s">
        <v>270</v>
      </c>
      <c r="B718" s="41" t="n">
        <f aca="false">IF((F711+F709+F713+F710+F712)=0,"",((F711+F709+F713+F710+F712)-(B711*D711+B709*D709+B713*D713+B710*D710+B712*D712))/(F711+F709+F713+F710+F712))</f>
        <v>0.177009507142857</v>
      </c>
      <c r="D718" s="42" t="str">
        <f aca="false">IF(B718="","SIN PC",IF(B718&gt;=Detalle!$G$1,"APROBAR",IF(B718&gt;=0.2,"REVISAR","RECHAZAR")))</f>
        <v>RECHAZAR</v>
      </c>
      <c r="E718" s="42"/>
      <c r="F718" s="42"/>
    </row>
    <row r="719" customFormat="false" ht="15" hidden="false" customHeight="false" outlineLevel="0" collapsed="false">
      <c r="A719" s="44" t="s">
        <v>379</v>
      </c>
      <c r="B719" s="44"/>
      <c r="C719" s="44"/>
      <c r="D719" s="44"/>
      <c r="E719" s="44"/>
      <c r="F719" s="44"/>
    </row>
    <row r="720" customFormat="false" ht="15" hidden="false" customHeight="false" outlineLevel="0" collapsed="false">
      <c r="A720" s="45" t="s">
        <v>247</v>
      </c>
      <c r="B720" s="45" t="s">
        <v>380</v>
      </c>
      <c r="D720" s="45" t="s">
        <v>381</v>
      </c>
      <c r="E720" s="45" t="s">
        <v>382</v>
      </c>
      <c r="F720" s="45" t="s">
        <v>256</v>
      </c>
    </row>
    <row r="721" customFormat="false" ht="15" hidden="false" customHeight="false" outlineLevel="0" collapsed="false">
      <c r="A721" s="46" t="s">
        <v>383</v>
      </c>
      <c r="B721" s="47" t="n">
        <v>340</v>
      </c>
      <c r="C721" s="48"/>
      <c r="D721" s="26" t="n">
        <v>0.06</v>
      </c>
      <c r="E721" s="48"/>
      <c r="F721" s="49" t="n">
        <f aca="false">ROUND(B721*D721,2)</f>
        <v>20.4</v>
      </c>
    </row>
    <row r="722" customFormat="false" ht="15" hidden="false" customHeight="false" outlineLevel="0" collapsed="false">
      <c r="A722" s="46" t="s">
        <v>384</v>
      </c>
      <c r="B722" s="48"/>
      <c r="C722" s="48"/>
      <c r="D722" s="48"/>
      <c r="E722" s="50" t="n">
        <v>0.06</v>
      </c>
      <c r="F722" s="49" t="n">
        <v>20.53</v>
      </c>
    </row>
    <row r="723" customFormat="false" ht="15" hidden="false" customHeight="false" outlineLevel="0" collapsed="false">
      <c r="A723" s="51" t="s">
        <v>385</v>
      </c>
      <c r="B723" s="48"/>
      <c r="C723" s="48"/>
      <c r="D723" s="48"/>
      <c r="E723" s="48"/>
      <c r="F723" s="52" t="n">
        <f aca="false">F721-F722</f>
        <v>-0.130000000000003</v>
      </c>
    </row>
    <row r="725" customFormat="false" ht="15" hidden="false" customHeight="false" outlineLevel="0" collapsed="false">
      <c r="A725" s="11" t="s">
        <v>584</v>
      </c>
      <c r="B725" s="11"/>
      <c r="C725" s="11"/>
      <c r="D725" s="11"/>
      <c r="E725" s="11"/>
      <c r="F725" s="11"/>
      <c r="H725" s="11" t="s">
        <v>585</v>
      </c>
      <c r="I725" s="11"/>
      <c r="J725" s="11"/>
      <c r="K725" s="11"/>
      <c r="L725" s="11"/>
      <c r="M725" s="11"/>
      <c r="N725" s="11"/>
      <c r="P725" s="14" t="s">
        <v>246</v>
      </c>
    </row>
    <row r="726" customFormat="false" ht="15" hidden="false" customHeight="false" outlineLevel="0" collapsed="false">
      <c r="A726" s="15" t="s">
        <v>247</v>
      </c>
      <c r="B726" s="16" t="s">
        <v>248</v>
      </c>
      <c r="C726" s="17"/>
      <c r="D726" s="17"/>
      <c r="E726" s="17"/>
      <c r="F726" s="17"/>
      <c r="H726" s="18" t="s">
        <v>586</v>
      </c>
      <c r="I726" s="19"/>
      <c r="J726" s="19"/>
      <c r="L726" s="20" t="s">
        <v>587</v>
      </c>
      <c r="M726" s="21"/>
      <c r="N726" s="21"/>
      <c r="P726" s="14" t="s">
        <v>588</v>
      </c>
    </row>
    <row r="727" customFormat="false" ht="15" hidden="false" customHeight="false" outlineLevel="0" collapsed="false">
      <c r="B727" s="3" t="s">
        <v>252</v>
      </c>
      <c r="C727" s="3" t="s">
        <v>253</v>
      </c>
      <c r="D727" s="3" t="s">
        <v>254</v>
      </c>
      <c r="E727" s="3" t="s">
        <v>255</v>
      </c>
      <c r="F727" s="3" t="s">
        <v>256</v>
      </c>
      <c r="H727" s="22" t="s">
        <v>252</v>
      </c>
      <c r="I727" s="22" t="s">
        <v>255</v>
      </c>
      <c r="J727" s="22" t="s">
        <v>256</v>
      </c>
      <c r="L727" s="23" t="s">
        <v>252</v>
      </c>
      <c r="M727" s="23" t="s">
        <v>255</v>
      </c>
      <c r="N727" s="23" t="s">
        <v>256</v>
      </c>
      <c r="P727" s="14" t="s">
        <v>589</v>
      </c>
    </row>
    <row r="728" customFormat="false" ht="15" hidden="false" customHeight="false" outlineLevel="0" collapsed="false">
      <c r="A728" s="24" t="s">
        <v>258</v>
      </c>
      <c r="B728" s="25" t="n">
        <v>13.856</v>
      </c>
      <c r="C728" s="25" t="n">
        <v>30</v>
      </c>
      <c r="D728" s="26" t="n">
        <v>3.4086</v>
      </c>
      <c r="E728" s="27" t="n">
        <v>3.85</v>
      </c>
      <c r="F728" s="28" t="n">
        <f aca="false">ROUND(B728*E728,2)</f>
        <v>53.35</v>
      </c>
      <c r="H728" s="29" t="n">
        <v>13.856</v>
      </c>
      <c r="I728" s="30" t="n">
        <v>3.85</v>
      </c>
      <c r="J728" s="31" t="n">
        <f aca="false">ROUND(H728*I728,2)</f>
        <v>53.35</v>
      </c>
      <c r="L728" s="32" t="n">
        <v>13.856</v>
      </c>
      <c r="M728" s="33" t="n">
        <v>3.85</v>
      </c>
      <c r="N728" s="34" t="n">
        <f aca="false">ROUND(L728*M728,2)</f>
        <v>53.35</v>
      </c>
      <c r="P728" s="35" t="s">
        <v>590</v>
      </c>
    </row>
    <row r="729" customFormat="false" ht="15" hidden="false" customHeight="false" outlineLevel="0" collapsed="false">
      <c r="A729" s="24" t="s">
        <v>260</v>
      </c>
      <c r="B729" s="25" t="n">
        <v>13.856</v>
      </c>
      <c r="C729" s="25" t="n">
        <v>30</v>
      </c>
      <c r="D729" s="26" t="n">
        <v>1.09728</v>
      </c>
      <c r="E729" s="27" t="n">
        <v>1.33</v>
      </c>
      <c r="F729" s="28" t="n">
        <f aca="false">ROUND(B729*E729,2)</f>
        <v>18.43</v>
      </c>
      <c r="H729" s="29" t="n">
        <v>13.856</v>
      </c>
      <c r="I729" s="30" t="n">
        <v>1.33</v>
      </c>
      <c r="J729" s="31" t="n">
        <f aca="false">ROUND(H729*I729,2)</f>
        <v>18.43</v>
      </c>
      <c r="L729" s="32" t="n">
        <v>13.856</v>
      </c>
      <c r="M729" s="33" t="n">
        <v>1.33</v>
      </c>
      <c r="N729" s="34" t="n">
        <f aca="false">ROUND(L729*M729,2)</f>
        <v>18.43</v>
      </c>
      <c r="P729" s="36" t="s">
        <v>261</v>
      </c>
    </row>
    <row r="730" customFormat="false" ht="15" hidden="false" customHeight="false" outlineLevel="0" collapsed="false">
      <c r="A730" s="24" t="s">
        <v>262</v>
      </c>
      <c r="B730" s="25" t="n">
        <v>31.388</v>
      </c>
      <c r="C730" s="25" t="n">
        <v>30</v>
      </c>
      <c r="D730" s="26" t="n">
        <v>0.110306</v>
      </c>
      <c r="E730" s="27" t="n">
        <v>0.13788</v>
      </c>
      <c r="F730" s="28" t="n">
        <f aca="false">ROUND(B730*E730,2)</f>
        <v>4.33</v>
      </c>
      <c r="H730" s="29" t="n">
        <v>38.267</v>
      </c>
      <c r="I730" s="30" t="n">
        <v>0.13788</v>
      </c>
      <c r="J730" s="31" t="n">
        <f aca="false">ROUND(H730*I730,2)</f>
        <v>5.28</v>
      </c>
      <c r="L730" s="32" t="n">
        <v>27.426</v>
      </c>
      <c r="M730" s="33" t="n">
        <v>0.13788</v>
      </c>
      <c r="N730" s="34" t="n">
        <f aca="false">ROUND(L730*M730,2)</f>
        <v>3.78</v>
      </c>
      <c r="P730" s="35" t="s">
        <v>591</v>
      </c>
    </row>
    <row r="731" customFormat="false" ht="15" hidden="false" customHeight="false" outlineLevel="0" collapsed="false">
      <c r="A731" s="24" t="s">
        <v>264</v>
      </c>
      <c r="B731" s="25" t="n">
        <v>16.998</v>
      </c>
      <c r="C731" s="25" t="n">
        <v>30</v>
      </c>
      <c r="D731" s="26" t="n">
        <v>0.110306</v>
      </c>
      <c r="E731" s="27" t="n">
        <v>0.13788</v>
      </c>
      <c r="F731" s="28" t="n">
        <f aca="false">ROUND(B731*E731,2)</f>
        <v>2.34</v>
      </c>
      <c r="H731" s="29" t="n">
        <v>37.738</v>
      </c>
      <c r="I731" s="30" t="n">
        <v>0.13788</v>
      </c>
      <c r="J731" s="31" t="n">
        <f aca="false">ROUND(H731*I731,2)</f>
        <v>5.2</v>
      </c>
      <c r="L731" s="32" t="n">
        <v>24.688</v>
      </c>
      <c r="M731" s="33" t="n">
        <v>0.13788</v>
      </c>
      <c r="N731" s="34" t="n">
        <f aca="false">ROUND(L731*M731,2)</f>
        <v>3.4</v>
      </c>
    </row>
    <row r="732" customFormat="false" ht="15" hidden="false" customHeight="false" outlineLevel="0" collapsed="false">
      <c r="A732" s="24" t="s">
        <v>265</v>
      </c>
      <c r="B732" s="25" t="n">
        <v>75.898</v>
      </c>
      <c r="C732" s="25" t="n">
        <v>30</v>
      </c>
      <c r="D732" s="26" t="n">
        <v>0.110306</v>
      </c>
      <c r="E732" s="27" t="n">
        <v>0.13788</v>
      </c>
      <c r="F732" s="28" t="n">
        <f aca="false">ROUND(B732*E732,2)</f>
        <v>10.46</v>
      </c>
      <c r="H732" s="29" t="n">
        <v>105.098</v>
      </c>
      <c r="I732" s="30" t="n">
        <v>0.13788</v>
      </c>
      <c r="J732" s="31" t="n">
        <f aca="false">ROUND(H732*I732,2)</f>
        <v>14.49</v>
      </c>
      <c r="L732" s="32" t="n">
        <v>88.855</v>
      </c>
      <c r="M732" s="33" t="n">
        <v>0.13788</v>
      </c>
      <c r="N732" s="34" t="n">
        <f aca="false">ROUND(L732*M732,2)</f>
        <v>12.25</v>
      </c>
    </row>
    <row r="733" customFormat="false" ht="15" hidden="false" customHeight="false" outlineLevel="0" collapsed="false">
      <c r="A733" s="24" t="s">
        <v>266</v>
      </c>
      <c r="B733" s="25" t="n">
        <v>1</v>
      </c>
      <c r="C733" s="25" t="n">
        <v>30</v>
      </c>
      <c r="D733" s="26" t="n">
        <v>1.3414</v>
      </c>
      <c r="E733" s="27" t="n">
        <v>3</v>
      </c>
      <c r="F733" s="28" t="n">
        <f aca="false">ROUND(B733*E733,2)</f>
        <v>3</v>
      </c>
      <c r="H733" s="29" t="n">
        <v>1</v>
      </c>
      <c r="I733" s="30" t="n">
        <v>3</v>
      </c>
      <c r="J733" s="31" t="n">
        <f aca="false">ROUND(H733*I733,2)</f>
        <v>3</v>
      </c>
      <c r="L733" s="32" t="n">
        <v>1</v>
      </c>
      <c r="M733" s="33" t="n">
        <v>3</v>
      </c>
      <c r="N733" s="34" t="n">
        <f aca="false">ROUND(L733*M733,2)</f>
        <v>3</v>
      </c>
    </row>
    <row r="734" customFormat="false" ht="15" hidden="false" customHeight="false" outlineLevel="0" collapsed="false">
      <c r="A734" s="24" t="s">
        <v>267</v>
      </c>
      <c r="B734" s="25" t="n">
        <v>30</v>
      </c>
      <c r="C734" s="25" t="n">
        <v>30</v>
      </c>
      <c r="D734" s="26" t="n">
        <v>0.5736</v>
      </c>
      <c r="E734" s="27" t="n">
        <v>0.01274</v>
      </c>
      <c r="F734" s="28" t="n">
        <f aca="false">ROUND(B734*E734,2)</f>
        <v>0.38</v>
      </c>
      <c r="H734" s="29" t="n">
        <v>30</v>
      </c>
      <c r="I734" s="30" t="n">
        <v>0.01274</v>
      </c>
      <c r="J734" s="31" t="n">
        <f aca="false">ROUND(H734*I734,2)</f>
        <v>0.38</v>
      </c>
      <c r="L734" s="32" t="n">
        <v>30</v>
      </c>
      <c r="M734" s="33" t="n">
        <v>0.00629</v>
      </c>
      <c r="N734" s="34" t="n">
        <f aca="false">ROUND(L734*M734,2)</f>
        <v>0.19</v>
      </c>
    </row>
    <row r="735" customFormat="false" ht="15" hidden="false" customHeight="false" outlineLevel="0" collapsed="false">
      <c r="A735" s="24" t="s">
        <v>268</v>
      </c>
      <c r="B735" s="25" t="n">
        <v>3.68</v>
      </c>
      <c r="C735" s="25" t="n">
        <v>30</v>
      </c>
      <c r="D735" s="26" t="n">
        <v>0.24729</v>
      </c>
      <c r="E735" s="27" t="n">
        <v>1</v>
      </c>
      <c r="F735" s="28" t="n">
        <f aca="false">ROUND(B735*E735,2)</f>
        <v>3.68</v>
      </c>
      <c r="H735" s="29" t="n">
        <v>3.68</v>
      </c>
      <c r="I735" s="30" t="n">
        <v>1</v>
      </c>
      <c r="J735" s="31" t="n">
        <f aca="false">ROUND(H735*I735,2)</f>
        <v>3.68</v>
      </c>
      <c r="L735" s="32" t="n">
        <v>3.68</v>
      </c>
      <c r="M735" s="33" t="n">
        <v>1</v>
      </c>
      <c r="N735" s="34" t="n">
        <f aca="false">ROUND(L735*M735,2)</f>
        <v>3.68</v>
      </c>
    </row>
    <row r="736" customFormat="false" ht="15" hidden="false" customHeight="false" outlineLevel="0" collapsed="false">
      <c r="A736" s="37" t="s">
        <v>269</v>
      </c>
      <c r="F736" s="38" t="n">
        <f aca="false">ROUND((SUM(F728:F735)-F735)*1.1+F735,2)</f>
        <v>105.2</v>
      </c>
      <c r="J736" s="39" t="n">
        <f aca="false">ROUND(SUM(J728:J735),2)</f>
        <v>103.81</v>
      </c>
      <c r="N736" s="40" t="n">
        <f aca="false">ROUND(SUM(N728:N735),2)</f>
        <v>98.08</v>
      </c>
    </row>
    <row r="737" customFormat="false" ht="15" hidden="false" customHeight="false" outlineLevel="0" collapsed="false">
      <c r="A737" s="15" t="s">
        <v>270</v>
      </c>
      <c r="B737" s="41" t="n">
        <f aca="false">IF((F730+F728+F732+F729+F731)=0,"",((F730+F728+F732+F729+F731)-(B730*D730+B728*D728+B732*D732+B729*D729+B731*D731))/(F730+F728+F732+F729+F731))</f>
        <v>0.143597523518164</v>
      </c>
      <c r="D737" s="42" t="str">
        <f aca="false">IF(B737="","SIN PC",IF(B737&gt;=Detalle!$G$1,"APROBAR",IF(B737&gt;=0.2,"REVISAR","RECHAZAR")))</f>
        <v>RECHAZAR</v>
      </c>
      <c r="E737" s="42"/>
      <c r="F737" s="42"/>
    </row>
    <row r="738" customFormat="false" ht="15" hidden="false" customHeight="false" outlineLevel="0" collapsed="false">
      <c r="A738" s="44" t="s">
        <v>379</v>
      </c>
      <c r="B738" s="44"/>
      <c r="C738" s="44"/>
      <c r="D738" s="44"/>
      <c r="E738" s="44"/>
      <c r="F738" s="44"/>
    </row>
    <row r="739" customFormat="false" ht="15" hidden="false" customHeight="false" outlineLevel="0" collapsed="false">
      <c r="A739" s="45" t="s">
        <v>247</v>
      </c>
      <c r="B739" s="45" t="s">
        <v>380</v>
      </c>
      <c r="D739" s="45" t="s">
        <v>381</v>
      </c>
      <c r="E739" s="45" t="s">
        <v>382</v>
      </c>
      <c r="F739" s="45" t="s">
        <v>256</v>
      </c>
    </row>
    <row r="740" customFormat="false" ht="15" hidden="false" customHeight="false" outlineLevel="0" collapsed="false">
      <c r="A740" s="46" t="s">
        <v>383</v>
      </c>
      <c r="B740" s="47" t="n">
        <v>680</v>
      </c>
      <c r="C740" s="48"/>
      <c r="D740" s="26" t="n">
        <v>0.06</v>
      </c>
      <c r="E740" s="48"/>
      <c r="F740" s="49" t="n">
        <f aca="false">ROUND(B740*D740,2)</f>
        <v>40.8</v>
      </c>
    </row>
    <row r="741" customFormat="false" ht="15" hidden="false" customHeight="false" outlineLevel="0" collapsed="false">
      <c r="A741" s="46" t="s">
        <v>384</v>
      </c>
      <c r="B741" s="48"/>
      <c r="C741" s="48"/>
      <c r="D741" s="48"/>
      <c r="E741" s="50" t="n">
        <v>0.06</v>
      </c>
      <c r="F741" s="49" t="n">
        <v>17.13</v>
      </c>
    </row>
    <row r="742" customFormat="false" ht="15" hidden="false" customHeight="false" outlineLevel="0" collapsed="false">
      <c r="A742" s="51" t="s">
        <v>385</v>
      </c>
      <c r="B742" s="48"/>
      <c r="C742" s="48"/>
      <c r="D742" s="48"/>
      <c r="E742" s="48"/>
      <c r="F742" s="52" t="n">
        <f aca="false">F740-F741</f>
        <v>23.67</v>
      </c>
    </row>
    <row r="744" customFormat="false" ht="15" hidden="false" customHeight="false" outlineLevel="0" collapsed="false">
      <c r="A744" s="11" t="s">
        <v>592</v>
      </c>
      <c r="B744" s="11"/>
      <c r="C744" s="11"/>
      <c r="D744" s="11"/>
      <c r="E744" s="11"/>
      <c r="F744" s="11"/>
      <c r="H744" s="11" t="s">
        <v>593</v>
      </c>
      <c r="I744" s="11"/>
      <c r="J744" s="11"/>
      <c r="K744" s="11"/>
      <c r="L744" s="11"/>
      <c r="M744" s="11"/>
      <c r="N744" s="11"/>
      <c r="P744" s="14" t="s">
        <v>246</v>
      </c>
    </row>
    <row r="745" customFormat="false" ht="15" hidden="false" customHeight="false" outlineLevel="0" collapsed="false">
      <c r="A745" s="15" t="s">
        <v>247</v>
      </c>
      <c r="B745" s="16" t="s">
        <v>248</v>
      </c>
      <c r="C745" s="17"/>
      <c r="D745" s="17"/>
      <c r="E745" s="17"/>
      <c r="F745" s="17"/>
      <c r="H745" s="18" t="s">
        <v>594</v>
      </c>
      <c r="I745" s="19"/>
      <c r="J745" s="19"/>
      <c r="L745" s="20" t="s">
        <v>595</v>
      </c>
      <c r="M745" s="21"/>
      <c r="N745" s="21"/>
      <c r="P745" s="14" t="s">
        <v>596</v>
      </c>
    </row>
    <row r="746" customFormat="false" ht="15" hidden="false" customHeight="false" outlineLevel="0" collapsed="false">
      <c r="B746" s="3" t="s">
        <v>252</v>
      </c>
      <c r="C746" s="3" t="s">
        <v>253</v>
      </c>
      <c r="D746" s="3" t="s">
        <v>254</v>
      </c>
      <c r="E746" s="3" t="s">
        <v>255</v>
      </c>
      <c r="F746" s="3" t="s">
        <v>256</v>
      </c>
      <c r="H746" s="22" t="s">
        <v>252</v>
      </c>
      <c r="I746" s="22" t="s">
        <v>255</v>
      </c>
      <c r="J746" s="22" t="s">
        <v>256</v>
      </c>
      <c r="L746" s="23" t="s">
        <v>252</v>
      </c>
      <c r="M746" s="23" t="s">
        <v>255</v>
      </c>
      <c r="N746" s="23" t="s">
        <v>256</v>
      </c>
      <c r="P746" s="14" t="s">
        <v>597</v>
      </c>
    </row>
    <row r="747" customFormat="false" ht="15" hidden="false" customHeight="false" outlineLevel="0" collapsed="false">
      <c r="A747" s="24" t="s">
        <v>258</v>
      </c>
      <c r="B747" s="25" t="n">
        <v>5.5</v>
      </c>
      <c r="C747" s="25" t="n">
        <v>30</v>
      </c>
      <c r="D747" s="26" t="n">
        <v>3.4086</v>
      </c>
      <c r="E747" s="27" t="n">
        <v>4.17</v>
      </c>
      <c r="F747" s="28" t="n">
        <f aca="false">ROUND(B747*E747,2)</f>
        <v>22.94</v>
      </c>
      <c r="H747" s="29" t="n">
        <v>5.5</v>
      </c>
      <c r="I747" s="30" t="n">
        <v>4.17</v>
      </c>
      <c r="J747" s="31" t="n">
        <f aca="false">ROUND(H747*I747,2)</f>
        <v>22.94</v>
      </c>
      <c r="L747" s="32" t="n">
        <v>5.5</v>
      </c>
      <c r="M747" s="33" t="n">
        <v>4.17</v>
      </c>
      <c r="N747" s="34" t="n">
        <f aca="false">ROUND(L747*M747,2)</f>
        <v>22.94</v>
      </c>
      <c r="P747" s="35" t="s">
        <v>598</v>
      </c>
    </row>
    <row r="748" customFormat="false" ht="15" hidden="false" customHeight="false" outlineLevel="0" collapsed="false">
      <c r="A748" s="24" t="s">
        <v>260</v>
      </c>
      <c r="B748" s="25" t="n">
        <v>5.5</v>
      </c>
      <c r="C748" s="25" t="n">
        <v>30</v>
      </c>
      <c r="D748" s="26" t="n">
        <v>1.09728</v>
      </c>
      <c r="E748" s="27" t="n">
        <v>1.37</v>
      </c>
      <c r="F748" s="28" t="n">
        <f aca="false">ROUND(B748*E748,2)</f>
        <v>7.54</v>
      </c>
      <c r="H748" s="29" t="n">
        <v>5.5</v>
      </c>
      <c r="I748" s="30" t="n">
        <v>1.37</v>
      </c>
      <c r="J748" s="31" t="n">
        <f aca="false">ROUND(H748*I748,2)</f>
        <v>7.54</v>
      </c>
      <c r="L748" s="32" t="n">
        <v>5.5</v>
      </c>
      <c r="M748" s="33" t="n">
        <v>1.37</v>
      </c>
      <c r="N748" s="34" t="n">
        <f aca="false">ROUND(L748*M748,2)</f>
        <v>7.54</v>
      </c>
      <c r="P748" s="36" t="s">
        <v>261</v>
      </c>
    </row>
    <row r="749" customFormat="false" ht="15" hidden="false" customHeight="false" outlineLevel="0" collapsed="false">
      <c r="A749" s="24" t="s">
        <v>262</v>
      </c>
      <c r="B749" s="25" t="n">
        <v>12.756</v>
      </c>
      <c r="C749" s="25" t="n">
        <v>30</v>
      </c>
      <c r="D749" s="26" t="n">
        <v>0.110306</v>
      </c>
      <c r="E749" s="27" t="n">
        <v>0.14937</v>
      </c>
      <c r="F749" s="28" t="n">
        <f aca="false">ROUND(B749*E749,2)</f>
        <v>1.91</v>
      </c>
      <c r="H749" s="29" t="n">
        <v>43.963</v>
      </c>
      <c r="I749" s="30" t="n">
        <v>0.14937</v>
      </c>
      <c r="J749" s="31" t="n">
        <f aca="false">ROUND(H749*I749,2)</f>
        <v>6.57</v>
      </c>
      <c r="L749" s="32" t="n">
        <v>151.434</v>
      </c>
      <c r="M749" s="33" t="n">
        <v>0.14937</v>
      </c>
      <c r="N749" s="34" t="n">
        <f aca="false">ROUND(L749*M749,2)</f>
        <v>22.62</v>
      </c>
      <c r="P749" s="35" t="s">
        <v>599</v>
      </c>
    </row>
    <row r="750" customFormat="false" ht="15" hidden="false" customHeight="false" outlineLevel="0" collapsed="false">
      <c r="A750" s="24" t="s">
        <v>264</v>
      </c>
      <c r="B750" s="25" t="n">
        <v>7.701</v>
      </c>
      <c r="C750" s="25" t="n">
        <v>30</v>
      </c>
      <c r="D750" s="26" t="n">
        <v>0.110306</v>
      </c>
      <c r="E750" s="27" t="n">
        <v>0.14937</v>
      </c>
      <c r="F750" s="28" t="n">
        <f aca="false">ROUND(B750*E750,2)</f>
        <v>1.15</v>
      </c>
      <c r="H750" s="29" t="n">
        <v>17.986</v>
      </c>
      <c r="I750" s="30" t="n">
        <v>0.14937</v>
      </c>
      <c r="J750" s="31" t="n">
        <f aca="false">ROUND(H750*I750,2)</f>
        <v>2.69</v>
      </c>
      <c r="L750" s="32" t="n">
        <v>248.713</v>
      </c>
      <c r="M750" s="33" t="n">
        <v>0.14937</v>
      </c>
      <c r="N750" s="34" t="n">
        <f aca="false">ROUND(L750*M750,2)</f>
        <v>37.15</v>
      </c>
    </row>
    <row r="751" customFormat="false" ht="15" hidden="false" customHeight="false" outlineLevel="0" collapsed="false">
      <c r="A751" s="24" t="s">
        <v>265</v>
      </c>
      <c r="B751" s="25" t="n">
        <v>29.892</v>
      </c>
      <c r="C751" s="25" t="n">
        <v>30</v>
      </c>
      <c r="D751" s="26" t="n">
        <v>0.110306</v>
      </c>
      <c r="E751" s="27" t="n">
        <v>0.14937</v>
      </c>
      <c r="F751" s="28" t="n">
        <f aca="false">ROUND(B751*E751,2)</f>
        <v>4.46</v>
      </c>
      <c r="H751" s="29" t="n">
        <v>37.506</v>
      </c>
      <c r="I751" s="30" t="n">
        <v>0.14937</v>
      </c>
      <c r="J751" s="31" t="n">
        <f aca="false">ROUND(H751*I751,2)</f>
        <v>5.6</v>
      </c>
      <c r="L751" s="32" t="n">
        <v>338.836</v>
      </c>
      <c r="M751" s="33" t="n">
        <v>0.14937</v>
      </c>
      <c r="N751" s="34" t="n">
        <f aca="false">ROUND(L751*M751,2)</f>
        <v>50.61</v>
      </c>
    </row>
    <row r="752" customFormat="false" ht="15" hidden="false" customHeight="false" outlineLevel="0" collapsed="false">
      <c r="A752" s="24" t="s">
        <v>266</v>
      </c>
      <c r="B752" s="25" t="n">
        <v>1</v>
      </c>
      <c r="C752" s="25" t="n">
        <v>30</v>
      </c>
      <c r="D752" s="26" t="n">
        <v>0.7989</v>
      </c>
      <c r="E752" s="27" t="n">
        <v>4</v>
      </c>
      <c r="F752" s="28" t="n">
        <f aca="false">ROUND(B752*E752,2)</f>
        <v>4</v>
      </c>
      <c r="H752" s="29" t="n">
        <v>1</v>
      </c>
      <c r="I752" s="30" t="n">
        <v>4</v>
      </c>
      <c r="J752" s="31" t="n">
        <f aca="false">ROUND(H752*I752,2)</f>
        <v>4</v>
      </c>
      <c r="L752" s="32" t="n">
        <v>1</v>
      </c>
      <c r="M752" s="33" t="n">
        <v>4</v>
      </c>
      <c r="N752" s="34" t="n">
        <f aca="false">ROUND(L752*M752,2)</f>
        <v>4</v>
      </c>
    </row>
    <row r="753" customFormat="false" ht="15" hidden="false" customHeight="false" outlineLevel="0" collapsed="false">
      <c r="A753" s="24" t="s">
        <v>267</v>
      </c>
      <c r="B753" s="25" t="n">
        <v>30</v>
      </c>
      <c r="C753" s="25" t="n">
        <v>30</v>
      </c>
      <c r="D753" s="26" t="n">
        <v>0.5736</v>
      </c>
      <c r="E753" s="27" t="n">
        <v>0.01274</v>
      </c>
      <c r="F753" s="28" t="n">
        <f aca="false">ROUND(B753*E753,2)</f>
        <v>0.38</v>
      </c>
      <c r="H753" s="29" t="n">
        <v>30</v>
      </c>
      <c r="I753" s="30" t="n">
        <v>0.01274</v>
      </c>
      <c r="J753" s="31" t="n">
        <f aca="false">ROUND(H753*I753,2)</f>
        <v>0.38</v>
      </c>
      <c r="L753" s="32" t="n">
        <v>30</v>
      </c>
      <c r="M753" s="33" t="n">
        <v>0.01274</v>
      </c>
      <c r="N753" s="34" t="n">
        <f aca="false">ROUND(L753*M753,2)</f>
        <v>0.38</v>
      </c>
    </row>
    <row r="754" customFormat="false" ht="15" hidden="false" customHeight="false" outlineLevel="0" collapsed="false">
      <c r="A754" s="24" t="s">
        <v>268</v>
      </c>
      <c r="B754" s="25" t="n">
        <v>1.57</v>
      </c>
      <c r="C754" s="25" t="n">
        <v>30</v>
      </c>
      <c r="D754" s="26" t="n">
        <v>0.24729</v>
      </c>
      <c r="E754" s="27" t="n">
        <v>1</v>
      </c>
      <c r="F754" s="28" t="n">
        <f aca="false">ROUND(B754*E754,2)</f>
        <v>1.57</v>
      </c>
      <c r="H754" s="29" t="n">
        <v>1.63</v>
      </c>
      <c r="I754" s="30" t="n">
        <v>1</v>
      </c>
      <c r="J754" s="31" t="n">
        <f aca="false">ROUND(H754*I754,2)</f>
        <v>1.63</v>
      </c>
      <c r="L754" s="32" t="n">
        <v>1.82</v>
      </c>
      <c r="M754" s="33" t="n">
        <v>1</v>
      </c>
      <c r="N754" s="34" t="n">
        <f aca="false">ROUND(L754*M754,2)</f>
        <v>1.82</v>
      </c>
    </row>
    <row r="755" customFormat="false" ht="15" hidden="false" customHeight="false" outlineLevel="0" collapsed="false">
      <c r="A755" s="37" t="s">
        <v>269</v>
      </c>
      <c r="F755" s="38" t="n">
        <f aca="false">ROUND((SUM(F747:F754)-F754)*1.1+F754,2)</f>
        <v>48.19</v>
      </c>
      <c r="J755" s="39" t="n">
        <f aca="false">ROUND(SUM(J747:J754),2)</f>
        <v>51.35</v>
      </c>
      <c r="N755" s="40" t="n">
        <f aca="false">ROUND(SUM(N747:N754),2)</f>
        <v>147.06</v>
      </c>
    </row>
    <row r="756" customFormat="false" ht="15" hidden="false" customHeight="false" outlineLevel="0" collapsed="false">
      <c r="A756" s="15" t="s">
        <v>270</v>
      </c>
      <c r="B756" s="41" t="n">
        <f aca="false">IF((F749+F747+F751+F748+F750)=0,"",((F749+F747+F751+F748+F750)-(B749*D749+B747*D747+B751*D751+B748*D748+B750*D750))/(F749+F747+F751+F748+F750))</f>
        <v>0.201680610684211</v>
      </c>
      <c r="D756" s="42" t="str">
        <f aca="false">IF(B756="","SIN PC",IF(B756&gt;=Detalle!$G$1,"APROBAR",IF(B756&gt;=0.2,"REVISAR","RECHAZAR")))</f>
        <v>REVISAR</v>
      </c>
      <c r="E756" s="42"/>
      <c r="F756" s="42"/>
    </row>
    <row r="757" customFormat="false" ht="15" hidden="false" customHeight="false" outlineLevel="0" collapsed="false">
      <c r="A757" s="44" t="s">
        <v>379</v>
      </c>
      <c r="B757" s="44"/>
      <c r="C757" s="44"/>
      <c r="D757" s="44"/>
      <c r="E757" s="44"/>
      <c r="F757" s="44"/>
    </row>
    <row r="758" customFormat="false" ht="15" hidden="false" customHeight="false" outlineLevel="0" collapsed="false">
      <c r="A758" s="45" t="s">
        <v>247</v>
      </c>
      <c r="B758" s="45" t="s">
        <v>380</v>
      </c>
      <c r="D758" s="45" t="s">
        <v>381</v>
      </c>
      <c r="E758" s="45" t="s">
        <v>382</v>
      </c>
      <c r="F758" s="45" t="s">
        <v>256</v>
      </c>
    </row>
    <row r="759" customFormat="false" ht="15" hidden="false" customHeight="false" outlineLevel="0" collapsed="false">
      <c r="A759" s="46" t="s">
        <v>383</v>
      </c>
      <c r="B759" s="47" t="n">
        <v>396</v>
      </c>
      <c r="C759" s="48"/>
      <c r="D759" s="26" t="n">
        <v>0.06</v>
      </c>
      <c r="E759" s="48"/>
      <c r="F759" s="49" t="n">
        <f aca="false">ROUND(B759*D759,2)</f>
        <v>23.76</v>
      </c>
    </row>
    <row r="760" customFormat="false" ht="15" hidden="false" customHeight="false" outlineLevel="0" collapsed="false">
      <c r="A760" s="46" t="s">
        <v>384</v>
      </c>
      <c r="B760" s="48"/>
      <c r="C760" s="48"/>
      <c r="D760" s="48"/>
      <c r="E760" s="50" t="n">
        <v>0.06</v>
      </c>
      <c r="F760" s="49" t="n">
        <v>7.52</v>
      </c>
    </row>
    <row r="761" customFormat="false" ht="15" hidden="false" customHeight="false" outlineLevel="0" collapsed="false">
      <c r="A761" s="51" t="s">
        <v>385</v>
      </c>
      <c r="B761" s="48"/>
      <c r="C761" s="48"/>
      <c r="D761" s="48"/>
      <c r="E761" s="48"/>
      <c r="F761" s="52" t="n">
        <f aca="false">F759-F760</f>
        <v>16.24</v>
      </c>
    </row>
    <row r="763" customFormat="false" ht="15" hidden="false" customHeight="false" outlineLevel="0" collapsed="false">
      <c r="A763" s="11" t="s">
        <v>600</v>
      </c>
      <c r="B763" s="11"/>
      <c r="C763" s="11"/>
      <c r="D763" s="11"/>
      <c r="E763" s="11"/>
      <c r="F763" s="11"/>
      <c r="H763" s="11" t="s">
        <v>601</v>
      </c>
      <c r="I763" s="11"/>
      <c r="J763" s="11"/>
      <c r="K763" s="11"/>
      <c r="L763" s="11"/>
      <c r="M763" s="11"/>
      <c r="N763" s="11"/>
      <c r="P763" s="14" t="s">
        <v>246</v>
      </c>
    </row>
    <row r="764" customFormat="false" ht="15" hidden="false" customHeight="false" outlineLevel="0" collapsed="false">
      <c r="A764" s="15" t="s">
        <v>247</v>
      </c>
      <c r="B764" s="16" t="s">
        <v>248</v>
      </c>
      <c r="C764" s="17"/>
      <c r="D764" s="17"/>
      <c r="E764" s="17"/>
      <c r="F764" s="17"/>
      <c r="H764" s="18" t="s">
        <v>602</v>
      </c>
      <c r="I764" s="19"/>
      <c r="J764" s="19"/>
      <c r="L764" s="20" t="s">
        <v>603</v>
      </c>
      <c r="M764" s="21"/>
      <c r="N764" s="21"/>
      <c r="P764" s="14" t="s">
        <v>604</v>
      </c>
    </row>
    <row r="765" customFormat="false" ht="15" hidden="false" customHeight="false" outlineLevel="0" collapsed="false">
      <c r="B765" s="3" t="s">
        <v>252</v>
      </c>
      <c r="C765" s="3" t="s">
        <v>253</v>
      </c>
      <c r="D765" s="3" t="s">
        <v>254</v>
      </c>
      <c r="E765" s="3" t="s">
        <v>255</v>
      </c>
      <c r="F765" s="3" t="s">
        <v>256</v>
      </c>
      <c r="H765" s="22" t="s">
        <v>252</v>
      </c>
      <c r="I765" s="22" t="s">
        <v>255</v>
      </c>
      <c r="J765" s="22" t="s">
        <v>256</v>
      </c>
      <c r="L765" s="23" t="s">
        <v>252</v>
      </c>
      <c r="M765" s="23" t="s">
        <v>255</v>
      </c>
      <c r="N765" s="23" t="s">
        <v>256</v>
      </c>
      <c r="P765" s="14" t="s">
        <v>605</v>
      </c>
    </row>
    <row r="766" customFormat="false" ht="15" hidden="false" customHeight="false" outlineLevel="0" collapsed="false">
      <c r="A766" s="24" t="s">
        <v>258</v>
      </c>
      <c r="B766" s="25" t="n">
        <v>5</v>
      </c>
      <c r="C766" s="25" t="n">
        <v>30</v>
      </c>
      <c r="D766" s="26" t="n">
        <v>3.4086</v>
      </c>
      <c r="E766" s="27" t="n">
        <v>3.85</v>
      </c>
      <c r="F766" s="28" t="n">
        <f aca="false">ROUND(B766*E766,2)</f>
        <v>19.25</v>
      </c>
      <c r="H766" s="29" t="n">
        <v>5</v>
      </c>
      <c r="I766" s="30" t="n">
        <v>3.85</v>
      </c>
      <c r="J766" s="31" t="n">
        <f aca="false">ROUND(H766*I766,2)</f>
        <v>19.25</v>
      </c>
      <c r="L766" s="32" t="n">
        <v>5</v>
      </c>
      <c r="M766" s="33" t="n">
        <v>3.85</v>
      </c>
      <c r="N766" s="34" t="n">
        <f aca="false">ROUND(L766*M766,2)</f>
        <v>19.25</v>
      </c>
      <c r="P766" s="35" t="s">
        <v>606</v>
      </c>
    </row>
    <row r="767" customFormat="false" ht="15" hidden="false" customHeight="false" outlineLevel="0" collapsed="false">
      <c r="A767" s="24" t="s">
        <v>260</v>
      </c>
      <c r="B767" s="25" t="n">
        <v>5</v>
      </c>
      <c r="C767" s="25" t="n">
        <v>30</v>
      </c>
      <c r="D767" s="26" t="n">
        <v>1.09728</v>
      </c>
      <c r="E767" s="27" t="n">
        <v>1.33</v>
      </c>
      <c r="F767" s="28" t="n">
        <f aca="false">ROUND(B767*E767,2)</f>
        <v>6.65</v>
      </c>
      <c r="H767" s="29" t="n">
        <v>5</v>
      </c>
      <c r="I767" s="30" t="n">
        <v>1.33</v>
      </c>
      <c r="J767" s="31" t="n">
        <f aca="false">ROUND(H767*I767,2)</f>
        <v>6.65</v>
      </c>
      <c r="L767" s="32" t="n">
        <v>5</v>
      </c>
      <c r="M767" s="33" t="n">
        <v>1.33</v>
      </c>
      <c r="N767" s="34" t="n">
        <f aca="false">ROUND(L767*M767,2)</f>
        <v>6.65</v>
      </c>
      <c r="P767" s="36" t="s">
        <v>261</v>
      </c>
    </row>
    <row r="768" customFormat="false" ht="15" hidden="false" customHeight="false" outlineLevel="0" collapsed="false">
      <c r="A768" s="24" t="s">
        <v>262</v>
      </c>
      <c r="B768" s="25" t="n">
        <v>6.788</v>
      </c>
      <c r="C768" s="25" t="n">
        <v>30</v>
      </c>
      <c r="D768" s="26" t="n">
        <v>0.110306</v>
      </c>
      <c r="E768" s="27" t="n">
        <v>0.13788</v>
      </c>
      <c r="F768" s="28" t="n">
        <f aca="false">ROUND(B768*E768,2)</f>
        <v>0.94</v>
      </c>
      <c r="H768" s="29" t="n">
        <v>46.764</v>
      </c>
      <c r="I768" s="30" t="n">
        <v>0.13788</v>
      </c>
      <c r="J768" s="31" t="n">
        <f aca="false">ROUND(H768*I768,2)</f>
        <v>6.45</v>
      </c>
      <c r="L768" s="32" t="n">
        <v>65.143</v>
      </c>
      <c r="M768" s="33" t="n">
        <v>0.13788</v>
      </c>
      <c r="N768" s="34" t="n">
        <f aca="false">ROUND(L768*M768,2)</f>
        <v>8.98</v>
      </c>
      <c r="P768" s="35" t="s">
        <v>607</v>
      </c>
    </row>
    <row r="769" customFormat="false" ht="15" hidden="false" customHeight="false" outlineLevel="0" collapsed="false">
      <c r="A769" s="24" t="s">
        <v>264</v>
      </c>
      <c r="B769" s="25" t="n">
        <v>4.887</v>
      </c>
      <c r="C769" s="25" t="n">
        <v>30</v>
      </c>
      <c r="D769" s="26" t="n">
        <v>0.110306</v>
      </c>
      <c r="E769" s="27" t="n">
        <v>0.13788</v>
      </c>
      <c r="F769" s="28" t="n">
        <f aca="false">ROUND(B769*E769,2)</f>
        <v>0.67</v>
      </c>
      <c r="H769" s="29" t="n">
        <v>33.797</v>
      </c>
      <c r="I769" s="30" t="n">
        <v>0.13788</v>
      </c>
      <c r="J769" s="31" t="n">
        <f aca="false">ROUND(H769*I769,2)</f>
        <v>4.66</v>
      </c>
      <c r="L769" s="32" t="n">
        <v>82.196</v>
      </c>
      <c r="M769" s="33" t="n">
        <v>0.13788</v>
      </c>
      <c r="N769" s="34" t="n">
        <f aca="false">ROUND(L769*M769,2)</f>
        <v>11.33</v>
      </c>
    </row>
    <row r="770" customFormat="false" ht="15" hidden="false" customHeight="false" outlineLevel="0" collapsed="false">
      <c r="A770" s="24" t="s">
        <v>265</v>
      </c>
      <c r="B770" s="25" t="n">
        <v>27.901</v>
      </c>
      <c r="C770" s="25" t="n">
        <v>30</v>
      </c>
      <c r="D770" s="26" t="n">
        <v>0.110306</v>
      </c>
      <c r="E770" s="27" t="n">
        <v>0.13788</v>
      </c>
      <c r="F770" s="28" t="n">
        <f aca="false">ROUND(B770*E770,2)</f>
        <v>3.85</v>
      </c>
      <c r="H770" s="29" t="n">
        <v>49.444</v>
      </c>
      <c r="I770" s="30" t="n">
        <v>0.13788</v>
      </c>
      <c r="J770" s="31" t="n">
        <f aca="false">ROUND(H770*I770,2)</f>
        <v>6.82</v>
      </c>
      <c r="L770" s="32" t="n">
        <v>189.412</v>
      </c>
      <c r="M770" s="33" t="n">
        <v>0.13788</v>
      </c>
      <c r="N770" s="34" t="n">
        <f aca="false">ROUND(L770*M770,2)</f>
        <v>26.12</v>
      </c>
    </row>
    <row r="771" customFormat="false" ht="15" hidden="false" customHeight="false" outlineLevel="0" collapsed="false">
      <c r="A771" s="24" t="s">
        <v>266</v>
      </c>
      <c r="B771" s="25" t="n">
        <v>1</v>
      </c>
      <c r="C771" s="25" t="n">
        <v>30</v>
      </c>
      <c r="D771" s="26" t="n">
        <v>0.7989</v>
      </c>
      <c r="E771" s="27" t="n">
        <v>3</v>
      </c>
      <c r="F771" s="28" t="n">
        <f aca="false">ROUND(B771*E771,2)</f>
        <v>3</v>
      </c>
      <c r="H771" s="29" t="n">
        <v>1</v>
      </c>
      <c r="I771" s="30" t="n">
        <v>3</v>
      </c>
      <c r="J771" s="31" t="n">
        <f aca="false">ROUND(H771*I771,2)</f>
        <v>3</v>
      </c>
      <c r="L771" s="32" t="n">
        <v>1</v>
      </c>
      <c r="M771" s="33" t="n">
        <v>3</v>
      </c>
      <c r="N771" s="34" t="n">
        <f aca="false">ROUND(L771*M771,2)</f>
        <v>3</v>
      </c>
    </row>
    <row r="772" customFormat="false" ht="15" hidden="false" customHeight="false" outlineLevel="0" collapsed="false">
      <c r="A772" s="24" t="s">
        <v>267</v>
      </c>
      <c r="B772" s="25" t="n">
        <v>30</v>
      </c>
      <c r="C772" s="25" t="n">
        <v>30</v>
      </c>
      <c r="D772" s="26" t="n">
        <v>0.5736</v>
      </c>
      <c r="E772" s="27" t="n">
        <v>0.01274</v>
      </c>
      <c r="F772" s="28" t="n">
        <f aca="false">ROUND(B772*E772,2)</f>
        <v>0.38</v>
      </c>
      <c r="H772" s="29" t="n">
        <v>30</v>
      </c>
      <c r="I772" s="30" t="n">
        <v>0.01274</v>
      </c>
      <c r="J772" s="31" t="n">
        <f aca="false">ROUND(H772*I772,2)</f>
        <v>0.38</v>
      </c>
      <c r="L772" s="32" t="n">
        <v>30</v>
      </c>
      <c r="M772" s="33" t="n">
        <v>0.00629</v>
      </c>
      <c r="N772" s="34" t="n">
        <f aca="false">ROUND(L772*M772,2)</f>
        <v>0.19</v>
      </c>
    </row>
    <row r="773" customFormat="false" ht="15" hidden="false" customHeight="false" outlineLevel="0" collapsed="false">
      <c r="A773" s="24" t="s">
        <v>268</v>
      </c>
      <c r="B773" s="25" t="n">
        <v>1.33</v>
      </c>
      <c r="C773" s="25" t="n">
        <v>30</v>
      </c>
      <c r="D773" s="26" t="n">
        <v>0.24729</v>
      </c>
      <c r="E773" s="27" t="n">
        <v>1</v>
      </c>
      <c r="F773" s="28" t="n">
        <f aca="false">ROUND(B773*E773,2)</f>
        <v>1.33</v>
      </c>
      <c r="H773" s="29" t="n">
        <v>1.33</v>
      </c>
      <c r="I773" s="30" t="n">
        <v>1</v>
      </c>
      <c r="J773" s="31" t="n">
        <f aca="false">ROUND(H773*I773,2)</f>
        <v>1.33</v>
      </c>
      <c r="L773" s="32" t="n">
        <v>2.9</v>
      </c>
      <c r="M773" s="33" t="n">
        <v>1</v>
      </c>
      <c r="N773" s="34" t="n">
        <f aca="false">ROUND(L773*M773,2)</f>
        <v>2.9</v>
      </c>
    </row>
    <row r="774" customFormat="false" ht="15" hidden="false" customHeight="false" outlineLevel="0" collapsed="false">
      <c r="A774" s="37" t="s">
        <v>269</v>
      </c>
      <c r="F774" s="38" t="n">
        <f aca="false">ROUND((SUM(F766:F773)-F773)*1.1+F773,2)</f>
        <v>39.54</v>
      </c>
      <c r="J774" s="39" t="n">
        <f aca="false">ROUND(SUM(J766:J773),2)</f>
        <v>48.54</v>
      </c>
      <c r="N774" s="40" t="n">
        <f aca="false">ROUND(SUM(N766:N773),2)</f>
        <v>78.42</v>
      </c>
    </row>
    <row r="775" customFormat="false" ht="15" hidden="false" customHeight="false" outlineLevel="0" collapsed="false">
      <c r="A775" s="15" t="s">
        <v>270</v>
      </c>
      <c r="B775" s="41" t="n">
        <f aca="false">IF((F768+F766+F770+F767+F769)=0,"",((F768+F766+F770+F767+F769)-(B768*D768+B766*D766+B770*D770+B767*D767+B769*D769))/(F768+F766+F770+F767+F769))</f>
        <v>0.14238296377551</v>
      </c>
      <c r="D775" s="42" t="str">
        <f aca="false">IF(B775="","SIN PC",IF(B775&gt;=Detalle!$G$1,"APROBAR",IF(B775&gt;=0.2,"REVISAR","RECHAZAR")))</f>
        <v>RECHAZAR</v>
      </c>
      <c r="E775" s="42"/>
      <c r="F775" s="42"/>
    </row>
    <row r="776" customFormat="false" ht="15" hidden="false" customHeight="false" outlineLevel="0" collapsed="false">
      <c r="A776" s="44" t="s">
        <v>379</v>
      </c>
      <c r="B776" s="44"/>
      <c r="C776" s="44"/>
      <c r="D776" s="44"/>
      <c r="E776" s="44"/>
      <c r="F776" s="44"/>
    </row>
    <row r="777" customFormat="false" ht="15" hidden="false" customHeight="false" outlineLevel="0" collapsed="false">
      <c r="A777" s="45" t="s">
        <v>247</v>
      </c>
      <c r="B777" s="45" t="s">
        <v>380</v>
      </c>
      <c r="D777" s="45" t="s">
        <v>381</v>
      </c>
      <c r="E777" s="45" t="s">
        <v>382</v>
      </c>
      <c r="F777" s="45" t="s">
        <v>256</v>
      </c>
    </row>
    <row r="778" customFormat="false" ht="15" hidden="false" customHeight="false" outlineLevel="0" collapsed="false">
      <c r="A778" s="46" t="s">
        <v>383</v>
      </c>
      <c r="B778" s="47" t="n">
        <v>540</v>
      </c>
      <c r="C778" s="48"/>
      <c r="D778" s="26" t="n">
        <v>0.06</v>
      </c>
      <c r="E778" s="48"/>
      <c r="F778" s="49" t="n">
        <f aca="false">ROUND(B778*D778,2)</f>
        <v>32.4</v>
      </c>
    </row>
    <row r="779" customFormat="false" ht="15" hidden="false" customHeight="false" outlineLevel="0" collapsed="false">
      <c r="A779" s="46" t="s">
        <v>384</v>
      </c>
      <c r="B779" s="48"/>
      <c r="C779" s="48"/>
      <c r="D779" s="48"/>
      <c r="E779" s="50" t="n">
        <v>0.06</v>
      </c>
      <c r="F779" s="49" t="n">
        <v>5.46</v>
      </c>
    </row>
    <row r="780" customFormat="false" ht="15" hidden="false" customHeight="false" outlineLevel="0" collapsed="false">
      <c r="A780" s="51" t="s">
        <v>385</v>
      </c>
      <c r="B780" s="48"/>
      <c r="C780" s="48"/>
      <c r="D780" s="48"/>
      <c r="E780" s="48"/>
      <c r="F780" s="52" t="n">
        <f aca="false">F778-F779</f>
        <v>26.94</v>
      </c>
    </row>
    <row r="782" customFormat="false" ht="15" hidden="false" customHeight="false" outlineLevel="0" collapsed="false">
      <c r="A782" s="11" t="s">
        <v>608</v>
      </c>
      <c r="B782" s="11"/>
      <c r="C782" s="11"/>
      <c r="D782" s="11"/>
      <c r="E782" s="11"/>
      <c r="F782" s="11"/>
      <c r="H782" s="11" t="s">
        <v>410</v>
      </c>
      <c r="I782" s="11"/>
      <c r="J782" s="11"/>
      <c r="K782" s="11"/>
      <c r="L782" s="11"/>
      <c r="M782" s="11"/>
      <c r="N782" s="11"/>
      <c r="P782" s="14" t="s">
        <v>246</v>
      </c>
    </row>
    <row r="783" customFormat="false" ht="15" hidden="false" customHeight="false" outlineLevel="0" collapsed="false">
      <c r="A783" s="15" t="s">
        <v>247</v>
      </c>
      <c r="B783" s="16" t="s">
        <v>248</v>
      </c>
      <c r="C783" s="17"/>
      <c r="D783" s="17"/>
      <c r="E783" s="17"/>
      <c r="F783" s="17"/>
      <c r="H783" s="18" t="s">
        <v>411</v>
      </c>
      <c r="I783" s="19"/>
      <c r="J783" s="19"/>
      <c r="L783" s="20" t="s">
        <v>412</v>
      </c>
      <c r="M783" s="21"/>
      <c r="N783" s="21"/>
      <c r="P783" s="14" t="s">
        <v>413</v>
      </c>
    </row>
    <row r="784" customFormat="false" ht="15" hidden="false" customHeight="false" outlineLevel="0" collapsed="false">
      <c r="B784" s="3" t="s">
        <v>252</v>
      </c>
      <c r="C784" s="3" t="s">
        <v>253</v>
      </c>
      <c r="D784" s="3" t="s">
        <v>254</v>
      </c>
      <c r="E784" s="3" t="s">
        <v>255</v>
      </c>
      <c r="F784" s="3" t="s">
        <v>256</v>
      </c>
      <c r="H784" s="22" t="s">
        <v>252</v>
      </c>
      <c r="I784" s="22" t="s">
        <v>255</v>
      </c>
      <c r="J784" s="22" t="s">
        <v>256</v>
      </c>
      <c r="L784" s="23" t="s">
        <v>252</v>
      </c>
      <c r="M784" s="23" t="s">
        <v>255</v>
      </c>
      <c r="N784" s="23" t="s">
        <v>256</v>
      </c>
      <c r="P784" s="14" t="s">
        <v>414</v>
      </c>
    </row>
    <row r="785" customFormat="false" ht="15" hidden="false" customHeight="false" outlineLevel="0" collapsed="false">
      <c r="A785" s="24" t="s">
        <v>258</v>
      </c>
      <c r="B785" s="25" t="n">
        <v>9.2</v>
      </c>
      <c r="C785" s="25" t="n">
        <v>30</v>
      </c>
      <c r="D785" s="26" t="n">
        <v>3.4086</v>
      </c>
      <c r="E785" s="27" t="n">
        <v>4.17</v>
      </c>
      <c r="F785" s="28" t="n">
        <f aca="false">ROUND(B785*E785,2)</f>
        <v>38.36</v>
      </c>
      <c r="H785" s="29" t="n">
        <v>9.2</v>
      </c>
      <c r="I785" s="30" t="n">
        <v>4.17</v>
      </c>
      <c r="J785" s="31" t="n">
        <f aca="false">ROUND(H785*I785,2)</f>
        <v>38.36</v>
      </c>
      <c r="L785" s="32" t="n">
        <v>9.2</v>
      </c>
      <c r="M785" s="33" t="n">
        <v>4.17</v>
      </c>
      <c r="N785" s="34" t="n">
        <f aca="false">ROUND(L785*M785,2)</f>
        <v>38.36</v>
      </c>
      <c r="P785" s="35" t="s">
        <v>415</v>
      </c>
    </row>
    <row r="786" customFormat="false" ht="15" hidden="false" customHeight="false" outlineLevel="0" collapsed="false">
      <c r="A786" s="24" t="s">
        <v>260</v>
      </c>
      <c r="B786" s="25" t="n">
        <v>9.2</v>
      </c>
      <c r="C786" s="25" t="n">
        <v>30</v>
      </c>
      <c r="D786" s="26" t="n">
        <v>1.09728</v>
      </c>
      <c r="E786" s="27" t="n">
        <v>1.37</v>
      </c>
      <c r="F786" s="28" t="n">
        <f aca="false">ROUND(B786*E786,2)</f>
        <v>12.6</v>
      </c>
      <c r="H786" s="29" t="n">
        <v>9.2</v>
      </c>
      <c r="I786" s="30" t="n">
        <v>1.37</v>
      </c>
      <c r="J786" s="31" t="n">
        <f aca="false">ROUND(H786*I786,2)</f>
        <v>12.6</v>
      </c>
      <c r="L786" s="32" t="n">
        <v>9.2</v>
      </c>
      <c r="M786" s="33" t="n">
        <v>1.37</v>
      </c>
      <c r="N786" s="34" t="n">
        <f aca="false">ROUND(L786*M786,2)</f>
        <v>12.6</v>
      </c>
      <c r="P786" s="36" t="s">
        <v>261</v>
      </c>
    </row>
    <row r="787" customFormat="false" ht="15" hidden="false" customHeight="false" outlineLevel="0" collapsed="false">
      <c r="A787" s="24" t="s">
        <v>262</v>
      </c>
      <c r="B787" s="25" t="n">
        <v>78.991</v>
      </c>
      <c r="C787" s="25" t="n">
        <v>30</v>
      </c>
      <c r="D787" s="26" t="n">
        <v>0.110306</v>
      </c>
      <c r="E787" s="27" t="n">
        <v>0.14937</v>
      </c>
      <c r="F787" s="28" t="n">
        <f aca="false">ROUND(B787*E787,2)</f>
        <v>11.8</v>
      </c>
      <c r="H787" s="29" t="n">
        <v>123.339</v>
      </c>
      <c r="I787" s="30" t="n">
        <v>0.14937</v>
      </c>
      <c r="J787" s="31" t="n">
        <f aca="false">ROUND(H787*I787,2)</f>
        <v>18.42</v>
      </c>
      <c r="L787" s="32" t="n">
        <v>83.493</v>
      </c>
      <c r="M787" s="33" t="n">
        <v>0.14937</v>
      </c>
      <c r="N787" s="34" t="n">
        <f aca="false">ROUND(L787*M787,2)</f>
        <v>12.47</v>
      </c>
      <c r="P787" s="35" t="s">
        <v>416</v>
      </c>
    </row>
    <row r="788" customFormat="false" ht="15" hidden="false" customHeight="false" outlineLevel="0" collapsed="false">
      <c r="A788" s="24" t="s">
        <v>264</v>
      </c>
      <c r="B788" s="25" t="n">
        <v>41.717</v>
      </c>
      <c r="C788" s="25" t="n">
        <v>30</v>
      </c>
      <c r="D788" s="26" t="n">
        <v>0.110306</v>
      </c>
      <c r="E788" s="27" t="n">
        <v>0.14937</v>
      </c>
      <c r="F788" s="28" t="n">
        <f aca="false">ROUND(B788*E788,2)</f>
        <v>6.23</v>
      </c>
      <c r="H788" s="29" t="n">
        <v>78.642</v>
      </c>
      <c r="I788" s="30" t="n">
        <v>0.14937</v>
      </c>
      <c r="J788" s="31" t="n">
        <f aca="false">ROUND(H788*I788,2)</f>
        <v>11.75</v>
      </c>
      <c r="L788" s="32" t="n">
        <v>41.141</v>
      </c>
      <c r="M788" s="33" t="n">
        <v>0.14937</v>
      </c>
      <c r="N788" s="34" t="n">
        <f aca="false">ROUND(L788*M788,2)</f>
        <v>6.15</v>
      </c>
    </row>
    <row r="789" customFormat="false" ht="15" hidden="false" customHeight="false" outlineLevel="0" collapsed="false">
      <c r="A789" s="24" t="s">
        <v>265</v>
      </c>
      <c r="B789" s="25" t="n">
        <v>113.918</v>
      </c>
      <c r="C789" s="25" t="n">
        <v>30</v>
      </c>
      <c r="D789" s="26" t="n">
        <v>0.110306</v>
      </c>
      <c r="E789" s="27" t="n">
        <v>0.14937</v>
      </c>
      <c r="F789" s="28" t="n">
        <f aca="false">ROUND(B789*E789,2)</f>
        <v>17.02</v>
      </c>
      <c r="H789" s="29" t="n">
        <v>162.137</v>
      </c>
      <c r="I789" s="30" t="n">
        <v>0.14937</v>
      </c>
      <c r="J789" s="31" t="n">
        <f aca="false">ROUND(H789*I789,2)</f>
        <v>24.22</v>
      </c>
      <c r="L789" s="32" t="n">
        <v>128.318</v>
      </c>
      <c r="M789" s="33" t="n">
        <v>0.14937</v>
      </c>
      <c r="N789" s="34" t="n">
        <f aca="false">ROUND(L789*M789,2)</f>
        <v>19.17</v>
      </c>
    </row>
    <row r="790" customFormat="false" ht="15" hidden="false" customHeight="false" outlineLevel="0" collapsed="false">
      <c r="A790" s="24" t="s">
        <v>266</v>
      </c>
      <c r="B790" s="25" t="n">
        <v>1</v>
      </c>
      <c r="C790" s="25" t="n">
        <v>30</v>
      </c>
      <c r="D790" s="26" t="n">
        <v>0.7989</v>
      </c>
      <c r="E790" s="27" t="n">
        <v>4</v>
      </c>
      <c r="F790" s="28" t="n">
        <f aca="false">ROUND(B790*E790,2)</f>
        <v>4</v>
      </c>
      <c r="H790" s="29" t="n">
        <v>1</v>
      </c>
      <c r="I790" s="30" t="n">
        <v>4</v>
      </c>
      <c r="J790" s="31" t="n">
        <f aca="false">ROUND(H790*I790,2)</f>
        <v>4</v>
      </c>
      <c r="L790" s="32" t="n">
        <v>1</v>
      </c>
      <c r="M790" s="33" t="n">
        <v>4</v>
      </c>
      <c r="N790" s="34" t="n">
        <f aca="false">ROUND(L790*M790,2)</f>
        <v>4</v>
      </c>
    </row>
    <row r="791" customFormat="false" ht="15" hidden="false" customHeight="false" outlineLevel="0" collapsed="false">
      <c r="A791" s="24" t="s">
        <v>267</v>
      </c>
      <c r="B791" s="25" t="n">
        <v>30</v>
      </c>
      <c r="C791" s="25" t="n">
        <v>30</v>
      </c>
      <c r="D791" s="26" t="n">
        <v>0.5736</v>
      </c>
      <c r="E791" s="27" t="n">
        <v>0.01274</v>
      </c>
      <c r="F791" s="28" t="n">
        <f aca="false">ROUND(B791*E791,2)</f>
        <v>0.38</v>
      </c>
      <c r="H791" s="29" t="n">
        <v>30</v>
      </c>
      <c r="I791" s="30" t="n">
        <v>0.01274</v>
      </c>
      <c r="J791" s="31" t="n">
        <f aca="false">ROUND(H791*I791,2)</f>
        <v>0.38</v>
      </c>
      <c r="L791" s="32" t="n">
        <v>30</v>
      </c>
      <c r="M791" s="33" t="n">
        <v>0.00629</v>
      </c>
      <c r="N791" s="34" t="n">
        <f aca="false">ROUND(L791*M791,2)</f>
        <v>0.19</v>
      </c>
    </row>
    <row r="792" customFormat="false" ht="15" hidden="false" customHeight="false" outlineLevel="0" collapsed="false">
      <c r="A792" s="24" t="s">
        <v>268</v>
      </c>
      <c r="B792" s="25" t="n">
        <v>2.61</v>
      </c>
      <c r="C792" s="25" t="n">
        <v>30</v>
      </c>
      <c r="D792" s="26" t="n">
        <v>0.24729</v>
      </c>
      <c r="E792" s="27" t="n">
        <v>1</v>
      </c>
      <c r="F792" s="28" t="n">
        <f aca="false">ROUND(B792*E792,2)</f>
        <v>2.61</v>
      </c>
      <c r="H792" s="29" t="n">
        <v>4.22</v>
      </c>
      <c r="I792" s="30" t="n">
        <v>1</v>
      </c>
      <c r="J792" s="31" t="n">
        <f aca="false">ROUND(H792*I792,2)</f>
        <v>4.22</v>
      </c>
      <c r="L792" s="32" t="n">
        <v>2.83</v>
      </c>
      <c r="M792" s="33" t="n">
        <v>1</v>
      </c>
      <c r="N792" s="34" t="n">
        <f aca="false">ROUND(L792*M792,2)</f>
        <v>2.83</v>
      </c>
    </row>
    <row r="793" customFormat="false" ht="15" hidden="false" customHeight="false" outlineLevel="0" collapsed="false">
      <c r="A793" s="37" t="s">
        <v>269</v>
      </c>
      <c r="F793" s="38" t="n">
        <f aca="false">ROUND((SUM(F785:F792)-F792)*1.1+F792,2)</f>
        <v>102.04</v>
      </c>
      <c r="J793" s="39" t="n">
        <f aca="false">ROUND(SUM(J785:J792),2)</f>
        <v>113.95</v>
      </c>
      <c r="N793" s="40" t="n">
        <f aca="false">ROUND(SUM(N785:N792),2)</f>
        <v>95.77</v>
      </c>
    </row>
    <row r="794" customFormat="false" ht="15" hidden="false" customHeight="false" outlineLevel="0" collapsed="false">
      <c r="A794" s="15" t="s">
        <v>270</v>
      </c>
      <c r="B794" s="41" t="n">
        <f aca="false">IF((F787+F785+F789+F786+F788)=0,"",((F787+F785+F789+F786+F788)-(B787*D787+B785*D785+B789*D789+B786*D786+B788*D788))/(F787+F785+F789+F786+F788))</f>
        <v>0.217128804139054</v>
      </c>
      <c r="D794" s="42" t="str">
        <f aca="false">IF(B794="","SIN PC",IF(B794&gt;=Detalle!$G$1,"APROBAR",IF(B794&gt;=0.2,"REVISAR","RECHAZAR")))</f>
        <v>REVISAR</v>
      </c>
      <c r="E794" s="42"/>
      <c r="F794" s="42"/>
    </row>
    <row r="795" customFormat="false" ht="15" hidden="false" customHeight="false" outlineLevel="0" collapsed="false">
      <c r="A795" s="44" t="s">
        <v>379</v>
      </c>
      <c r="B795" s="44"/>
      <c r="C795" s="44"/>
      <c r="D795" s="44"/>
      <c r="E795" s="44"/>
      <c r="F795" s="44"/>
    </row>
    <row r="796" customFormat="false" ht="15" hidden="false" customHeight="false" outlineLevel="0" collapsed="false">
      <c r="A796" s="45" t="s">
        <v>247</v>
      </c>
      <c r="B796" s="45" t="s">
        <v>380</v>
      </c>
      <c r="D796" s="45" t="s">
        <v>381</v>
      </c>
      <c r="E796" s="45" t="s">
        <v>382</v>
      </c>
      <c r="F796" s="45" t="s">
        <v>256</v>
      </c>
    </row>
    <row r="797" customFormat="false" ht="15" hidden="false" customHeight="false" outlineLevel="0" collapsed="false">
      <c r="A797" s="46" t="s">
        <v>383</v>
      </c>
      <c r="B797" s="47" t="n">
        <v>822</v>
      </c>
      <c r="C797" s="48"/>
      <c r="D797" s="26" t="n">
        <v>0.06</v>
      </c>
      <c r="E797" s="48"/>
      <c r="F797" s="49" t="n">
        <f aca="false">ROUND(B797*D797,2)</f>
        <v>49.32</v>
      </c>
    </row>
    <row r="798" customFormat="false" ht="15" hidden="false" customHeight="false" outlineLevel="0" collapsed="false">
      <c r="A798" s="46" t="s">
        <v>384</v>
      </c>
      <c r="B798" s="48"/>
      <c r="C798" s="48"/>
      <c r="D798" s="48"/>
      <c r="E798" s="50" t="n">
        <v>0.06</v>
      </c>
      <c r="F798" s="49" t="n">
        <v>35.05</v>
      </c>
    </row>
    <row r="799" customFormat="false" ht="15" hidden="false" customHeight="false" outlineLevel="0" collapsed="false">
      <c r="A799" s="51" t="s">
        <v>385</v>
      </c>
      <c r="B799" s="48"/>
      <c r="C799" s="48"/>
      <c r="D799" s="48"/>
      <c r="E799" s="48"/>
      <c r="F799" s="52" t="n">
        <f aca="false">F797-F798</f>
        <v>14.27</v>
      </c>
    </row>
    <row r="801" customFormat="false" ht="15" hidden="false" customHeight="false" outlineLevel="0" collapsed="false">
      <c r="A801" s="11" t="s">
        <v>609</v>
      </c>
      <c r="B801" s="11"/>
      <c r="C801" s="11"/>
      <c r="D801" s="11"/>
      <c r="E801" s="11"/>
      <c r="F801" s="11"/>
      <c r="H801" s="11" t="s">
        <v>610</v>
      </c>
      <c r="I801" s="11"/>
      <c r="J801" s="11"/>
      <c r="K801" s="11"/>
      <c r="L801" s="11"/>
      <c r="M801" s="11"/>
      <c r="N801" s="11"/>
      <c r="P801" s="14" t="s">
        <v>246</v>
      </c>
    </row>
    <row r="802" customFormat="false" ht="15" hidden="false" customHeight="false" outlineLevel="0" collapsed="false">
      <c r="A802" s="15" t="s">
        <v>247</v>
      </c>
      <c r="B802" s="16" t="s">
        <v>248</v>
      </c>
      <c r="C802" s="17"/>
      <c r="D802" s="17"/>
      <c r="E802" s="17"/>
      <c r="F802" s="17"/>
      <c r="H802" s="18" t="s">
        <v>611</v>
      </c>
      <c r="I802" s="19"/>
      <c r="J802" s="19"/>
      <c r="L802" s="20" t="s">
        <v>612</v>
      </c>
      <c r="M802" s="21"/>
      <c r="N802" s="21"/>
      <c r="P802" s="14" t="s">
        <v>613</v>
      </c>
    </row>
    <row r="803" customFormat="false" ht="15" hidden="false" customHeight="false" outlineLevel="0" collapsed="false">
      <c r="B803" s="3" t="s">
        <v>252</v>
      </c>
      <c r="C803" s="3" t="s">
        <v>253</v>
      </c>
      <c r="D803" s="3" t="s">
        <v>254</v>
      </c>
      <c r="E803" s="3" t="s">
        <v>255</v>
      </c>
      <c r="F803" s="3" t="s">
        <v>256</v>
      </c>
      <c r="H803" s="22" t="s">
        <v>252</v>
      </c>
      <c r="I803" s="22" t="s">
        <v>255</v>
      </c>
      <c r="J803" s="22" t="s">
        <v>256</v>
      </c>
      <c r="L803" s="23" t="s">
        <v>252</v>
      </c>
      <c r="M803" s="23" t="s">
        <v>255</v>
      </c>
      <c r="N803" s="23" t="s">
        <v>256</v>
      </c>
      <c r="P803" s="14" t="s">
        <v>614</v>
      </c>
    </row>
    <row r="804" customFormat="false" ht="15" hidden="false" customHeight="false" outlineLevel="0" collapsed="false">
      <c r="A804" s="24" t="s">
        <v>258</v>
      </c>
      <c r="B804" s="25" t="n">
        <v>5.5</v>
      </c>
      <c r="C804" s="25" t="n">
        <v>30</v>
      </c>
      <c r="D804" s="26" t="n">
        <v>3.4086</v>
      </c>
      <c r="E804" s="27" t="n">
        <v>4.17</v>
      </c>
      <c r="F804" s="28" t="n">
        <f aca="false">ROUND(B804*E804,2)</f>
        <v>22.94</v>
      </c>
      <c r="H804" s="29" t="n">
        <v>5.5</v>
      </c>
      <c r="I804" s="30" t="n">
        <v>4.17</v>
      </c>
      <c r="J804" s="31" t="n">
        <f aca="false">ROUND(H804*I804,2)</f>
        <v>22.94</v>
      </c>
      <c r="L804" s="32" t="n">
        <v>5.5</v>
      </c>
      <c r="M804" s="33" t="n">
        <v>4.17</v>
      </c>
      <c r="N804" s="34" t="n">
        <f aca="false">ROUND(L804*M804,2)</f>
        <v>22.94</v>
      </c>
      <c r="P804" s="35" t="s">
        <v>615</v>
      </c>
    </row>
    <row r="805" customFormat="false" ht="15" hidden="false" customHeight="false" outlineLevel="0" collapsed="false">
      <c r="A805" s="24" t="s">
        <v>260</v>
      </c>
      <c r="B805" s="25" t="n">
        <v>5.5</v>
      </c>
      <c r="C805" s="25" t="n">
        <v>30</v>
      </c>
      <c r="D805" s="26" t="n">
        <v>1.09728</v>
      </c>
      <c r="E805" s="27" t="n">
        <v>1.37</v>
      </c>
      <c r="F805" s="28" t="n">
        <f aca="false">ROUND(B805*E805,2)</f>
        <v>7.54</v>
      </c>
      <c r="H805" s="29" t="n">
        <v>5.5</v>
      </c>
      <c r="I805" s="30" t="n">
        <v>1.37</v>
      </c>
      <c r="J805" s="31" t="n">
        <f aca="false">ROUND(H805*I805,2)</f>
        <v>7.54</v>
      </c>
      <c r="L805" s="32" t="n">
        <v>5.5</v>
      </c>
      <c r="M805" s="33" t="n">
        <v>1.37</v>
      </c>
      <c r="N805" s="34" t="n">
        <f aca="false">ROUND(L805*M805,2)</f>
        <v>7.54</v>
      </c>
      <c r="P805" s="36" t="s">
        <v>261</v>
      </c>
    </row>
    <row r="806" customFormat="false" ht="15" hidden="false" customHeight="false" outlineLevel="0" collapsed="false">
      <c r="A806" s="24" t="s">
        <v>262</v>
      </c>
      <c r="B806" s="25" t="n">
        <v>45.983</v>
      </c>
      <c r="C806" s="25" t="n">
        <v>30</v>
      </c>
      <c r="D806" s="26" t="n">
        <v>0.110306</v>
      </c>
      <c r="E806" s="27" t="n">
        <v>0.14937</v>
      </c>
      <c r="F806" s="28" t="n">
        <f aca="false">ROUND(B806*E806,2)</f>
        <v>6.87</v>
      </c>
      <c r="H806" s="29" t="n">
        <v>35.293</v>
      </c>
      <c r="I806" s="30" t="n">
        <v>0.14937</v>
      </c>
      <c r="J806" s="31" t="n">
        <f aca="false">ROUND(H806*I806,2)</f>
        <v>5.27</v>
      </c>
      <c r="L806" s="32" t="n">
        <v>62.841</v>
      </c>
      <c r="M806" s="33" t="n">
        <v>0.14937</v>
      </c>
      <c r="N806" s="34" t="n">
        <f aca="false">ROUND(L806*M806,2)</f>
        <v>9.39</v>
      </c>
      <c r="P806" s="35" t="s">
        <v>616</v>
      </c>
    </row>
    <row r="807" customFormat="false" ht="15" hidden="false" customHeight="false" outlineLevel="0" collapsed="false">
      <c r="A807" s="24" t="s">
        <v>264</v>
      </c>
      <c r="B807" s="25" t="n">
        <v>20.959</v>
      </c>
      <c r="C807" s="25" t="n">
        <v>30</v>
      </c>
      <c r="D807" s="26" t="n">
        <v>0.110306</v>
      </c>
      <c r="E807" s="27" t="n">
        <v>0.14937</v>
      </c>
      <c r="F807" s="28" t="n">
        <f aca="false">ROUND(B807*E807,2)</f>
        <v>3.13</v>
      </c>
      <c r="H807" s="29" t="n">
        <v>8.875</v>
      </c>
      <c r="I807" s="30" t="n">
        <v>0.14937</v>
      </c>
      <c r="J807" s="31" t="n">
        <f aca="false">ROUND(H807*I807,2)</f>
        <v>1.33</v>
      </c>
      <c r="L807" s="32" t="n">
        <v>47.221</v>
      </c>
      <c r="M807" s="33" t="n">
        <v>0.14937</v>
      </c>
      <c r="N807" s="34" t="n">
        <f aca="false">ROUND(L807*M807,2)</f>
        <v>7.05</v>
      </c>
    </row>
    <row r="808" customFormat="false" ht="15" hidden="false" customHeight="false" outlineLevel="0" collapsed="false">
      <c r="A808" s="24" t="s">
        <v>265</v>
      </c>
      <c r="B808" s="25" t="n">
        <v>38.003</v>
      </c>
      <c r="C808" s="25" t="n">
        <v>30</v>
      </c>
      <c r="D808" s="26" t="n">
        <v>0.110306</v>
      </c>
      <c r="E808" s="27" t="n">
        <v>0.14937</v>
      </c>
      <c r="F808" s="28" t="n">
        <f aca="false">ROUND(B808*E808,2)</f>
        <v>5.68</v>
      </c>
      <c r="H808" s="29" t="n">
        <v>47.621</v>
      </c>
      <c r="I808" s="30" t="n">
        <v>0.14937</v>
      </c>
      <c r="J808" s="31" t="n">
        <f aca="false">ROUND(H808*I808,2)</f>
        <v>7.11</v>
      </c>
      <c r="L808" s="32" t="n">
        <v>112.942</v>
      </c>
      <c r="M808" s="33" t="n">
        <v>0.14937</v>
      </c>
      <c r="N808" s="34" t="n">
        <f aca="false">ROUND(L808*M808,2)</f>
        <v>16.87</v>
      </c>
    </row>
    <row r="809" customFormat="false" ht="15" hidden="false" customHeight="false" outlineLevel="0" collapsed="false">
      <c r="A809" s="24" t="s">
        <v>266</v>
      </c>
      <c r="B809" s="25" t="n">
        <v>1</v>
      </c>
      <c r="C809" s="25" t="n">
        <v>30</v>
      </c>
      <c r="D809" s="26" t="n">
        <v>0.7989</v>
      </c>
      <c r="E809" s="27" t="n">
        <v>4</v>
      </c>
      <c r="F809" s="28" t="n">
        <f aca="false">ROUND(B809*E809,2)</f>
        <v>4</v>
      </c>
      <c r="H809" s="29" t="n">
        <v>1</v>
      </c>
      <c r="I809" s="30" t="n">
        <v>4</v>
      </c>
      <c r="J809" s="31" t="n">
        <f aca="false">ROUND(H809*I809,2)</f>
        <v>4</v>
      </c>
      <c r="L809" s="32" t="n">
        <v>1</v>
      </c>
      <c r="M809" s="33" t="n">
        <v>4</v>
      </c>
      <c r="N809" s="34" t="n">
        <f aca="false">ROUND(L809*M809,2)</f>
        <v>4</v>
      </c>
    </row>
    <row r="810" customFormat="false" ht="15" hidden="false" customHeight="false" outlineLevel="0" collapsed="false">
      <c r="A810" s="24" t="s">
        <v>267</v>
      </c>
      <c r="B810" s="25" t="n">
        <v>30</v>
      </c>
      <c r="C810" s="25" t="n">
        <v>30</v>
      </c>
      <c r="D810" s="26" t="n">
        <v>0.5736</v>
      </c>
      <c r="E810" s="27" t="n">
        <v>0.01274</v>
      </c>
      <c r="F810" s="28" t="n">
        <f aca="false">ROUND(B810*E810,2)</f>
        <v>0.38</v>
      </c>
      <c r="H810" s="29" t="n">
        <v>30</v>
      </c>
      <c r="I810" s="30" t="n">
        <v>0.01274</v>
      </c>
      <c r="J810" s="31" t="n">
        <f aca="false">ROUND(H810*I810,2)</f>
        <v>0.38</v>
      </c>
      <c r="L810" s="32" t="n">
        <v>30</v>
      </c>
      <c r="M810" s="33" t="n">
        <v>0.00629</v>
      </c>
      <c r="N810" s="34" t="n">
        <f aca="false">ROUND(L810*M810,2)</f>
        <v>0.19</v>
      </c>
    </row>
    <row r="811" customFormat="false" ht="15" hidden="false" customHeight="false" outlineLevel="0" collapsed="false">
      <c r="A811" s="24" t="s">
        <v>268</v>
      </c>
      <c r="B811" s="25" t="n">
        <v>1.57</v>
      </c>
      <c r="C811" s="25" t="n">
        <v>30</v>
      </c>
      <c r="D811" s="26" t="n">
        <v>0.24729</v>
      </c>
      <c r="E811" s="27" t="n">
        <v>1</v>
      </c>
      <c r="F811" s="28" t="n">
        <f aca="false">ROUND(B811*E811,2)</f>
        <v>1.57</v>
      </c>
      <c r="H811" s="29" t="n">
        <v>1.57</v>
      </c>
      <c r="I811" s="30" t="n">
        <v>1</v>
      </c>
      <c r="J811" s="31" t="n">
        <f aca="false">ROUND(H811*I811,2)</f>
        <v>1.57</v>
      </c>
      <c r="L811" s="32" t="n">
        <v>2.56</v>
      </c>
      <c r="M811" s="33" t="n">
        <v>1</v>
      </c>
      <c r="N811" s="34" t="n">
        <f aca="false">ROUND(L811*M811,2)</f>
        <v>2.56</v>
      </c>
    </row>
    <row r="812" customFormat="false" ht="15" hidden="false" customHeight="false" outlineLevel="0" collapsed="false">
      <c r="A812" s="37" t="s">
        <v>269</v>
      </c>
      <c r="F812" s="38" t="n">
        <f aca="false">ROUND((SUM(F804:F811)-F811)*1.1+F811,2)</f>
        <v>57.16</v>
      </c>
      <c r="J812" s="39" t="n">
        <f aca="false">ROUND(SUM(J804:J811),2)</f>
        <v>50.14</v>
      </c>
      <c r="N812" s="40" t="n">
        <f aca="false">ROUND(SUM(N804:N811),2)</f>
        <v>70.54</v>
      </c>
    </row>
    <row r="813" customFormat="false" ht="15" hidden="false" customHeight="false" outlineLevel="0" collapsed="false">
      <c r="A813" s="15" t="s">
        <v>270</v>
      </c>
      <c r="B813" s="41" t="n">
        <f aca="false">IF((F806+F804+F808+F805+F807)=0,"",((F806+F804+F808+F805+F807)-(B806*D806+B804*D804+B808*D808+B805*D805+B807*D807))/(F806+F804+F808+F805+F807))</f>
        <v>0.212339619367418</v>
      </c>
      <c r="D813" s="42" t="str">
        <f aca="false">IF(B813="","SIN PC",IF(B813&gt;=Detalle!$G$1,"APROBAR",IF(B813&gt;=0.2,"REVISAR","RECHAZAR")))</f>
        <v>REVISAR</v>
      </c>
      <c r="E813" s="42"/>
      <c r="F813" s="42"/>
    </row>
    <row r="814" customFormat="false" ht="15" hidden="false" customHeight="false" outlineLevel="0" collapsed="false">
      <c r="A814" s="44" t="s">
        <v>379</v>
      </c>
      <c r="B814" s="44"/>
      <c r="C814" s="44"/>
      <c r="D814" s="44"/>
      <c r="E814" s="44"/>
      <c r="F814" s="44"/>
    </row>
    <row r="815" customFormat="false" ht="15" hidden="false" customHeight="false" outlineLevel="0" collapsed="false">
      <c r="A815" s="45" t="s">
        <v>247</v>
      </c>
      <c r="B815" s="45" t="s">
        <v>380</v>
      </c>
      <c r="D815" s="45" t="s">
        <v>381</v>
      </c>
      <c r="E815" s="45" t="s">
        <v>382</v>
      </c>
      <c r="F815" s="45" t="s">
        <v>256</v>
      </c>
    </row>
    <row r="816" customFormat="false" ht="15" hidden="false" customHeight="false" outlineLevel="0" collapsed="false">
      <c r="A816" s="46" t="s">
        <v>383</v>
      </c>
      <c r="B816" s="47" t="n">
        <v>389</v>
      </c>
      <c r="C816" s="48"/>
      <c r="D816" s="26" t="n">
        <v>0.06</v>
      </c>
      <c r="E816" s="48"/>
      <c r="F816" s="49" t="n">
        <f aca="false">ROUND(B816*D816,2)</f>
        <v>23.34</v>
      </c>
    </row>
    <row r="817" customFormat="false" ht="15" hidden="false" customHeight="false" outlineLevel="0" collapsed="false">
      <c r="A817" s="46" t="s">
        <v>384</v>
      </c>
      <c r="B817" s="48"/>
      <c r="C817" s="48"/>
      <c r="D817" s="48"/>
      <c r="E817" s="50" t="n">
        <v>0.06</v>
      </c>
      <c r="F817" s="49" t="n">
        <v>15.68</v>
      </c>
    </row>
    <row r="818" customFormat="false" ht="15" hidden="false" customHeight="false" outlineLevel="0" collapsed="false">
      <c r="A818" s="51" t="s">
        <v>385</v>
      </c>
      <c r="B818" s="48"/>
      <c r="C818" s="48"/>
      <c r="D818" s="48"/>
      <c r="E818" s="48"/>
      <c r="F818" s="52" t="n">
        <f aca="false">F816-F817</f>
        <v>7.66</v>
      </c>
    </row>
    <row r="820" customFormat="false" ht="15" hidden="false" customHeight="false" outlineLevel="0" collapsed="false">
      <c r="A820" s="11" t="s">
        <v>617</v>
      </c>
      <c r="B820" s="11"/>
      <c r="C820" s="11"/>
      <c r="D820" s="11"/>
      <c r="E820" s="11"/>
      <c r="F820" s="11"/>
      <c r="H820" s="11" t="s">
        <v>440</v>
      </c>
      <c r="I820" s="11"/>
      <c r="J820" s="11"/>
      <c r="K820" s="11"/>
      <c r="L820" s="11"/>
      <c r="M820" s="11"/>
      <c r="N820" s="11"/>
      <c r="P820" s="14" t="s">
        <v>246</v>
      </c>
    </row>
    <row r="821" customFormat="false" ht="15" hidden="false" customHeight="false" outlineLevel="0" collapsed="false">
      <c r="A821" s="15" t="s">
        <v>247</v>
      </c>
      <c r="B821" s="16" t="s">
        <v>248</v>
      </c>
      <c r="C821" s="17"/>
      <c r="D821" s="17"/>
      <c r="E821" s="17"/>
      <c r="F821" s="17"/>
      <c r="H821" s="18" t="s">
        <v>441</v>
      </c>
      <c r="I821" s="19"/>
      <c r="J821" s="19"/>
      <c r="L821" s="20" t="s">
        <v>442</v>
      </c>
      <c r="M821" s="21"/>
      <c r="N821" s="21"/>
      <c r="P821" s="14" t="s">
        <v>443</v>
      </c>
    </row>
    <row r="822" customFormat="false" ht="15" hidden="false" customHeight="false" outlineLevel="0" collapsed="false">
      <c r="B822" s="3" t="s">
        <v>252</v>
      </c>
      <c r="C822" s="3" t="s">
        <v>253</v>
      </c>
      <c r="D822" s="3" t="s">
        <v>254</v>
      </c>
      <c r="E822" s="3" t="s">
        <v>255</v>
      </c>
      <c r="F822" s="3" t="s">
        <v>256</v>
      </c>
      <c r="H822" s="22" t="s">
        <v>252</v>
      </c>
      <c r="I822" s="22" t="s">
        <v>255</v>
      </c>
      <c r="J822" s="22" t="s">
        <v>256</v>
      </c>
      <c r="L822" s="23" t="s">
        <v>252</v>
      </c>
      <c r="M822" s="23" t="s">
        <v>255</v>
      </c>
      <c r="N822" s="23" t="s">
        <v>256</v>
      </c>
      <c r="P822" s="14" t="s">
        <v>444</v>
      </c>
    </row>
    <row r="823" customFormat="false" ht="15" hidden="false" customHeight="false" outlineLevel="0" collapsed="false">
      <c r="A823" s="24" t="s">
        <v>258</v>
      </c>
      <c r="B823" s="25" t="n">
        <v>4.9</v>
      </c>
      <c r="C823" s="25" t="n">
        <v>30</v>
      </c>
      <c r="D823" s="26" t="n">
        <v>3.4086</v>
      </c>
      <c r="E823" s="27" t="n">
        <v>3.85</v>
      </c>
      <c r="F823" s="28" t="n">
        <f aca="false">ROUND(B823*E823,2)</f>
        <v>18.87</v>
      </c>
      <c r="H823" s="29" t="n">
        <v>4.9</v>
      </c>
      <c r="I823" s="30" t="n">
        <v>3.85</v>
      </c>
      <c r="J823" s="31" t="n">
        <f aca="false">ROUND(H823*I823,2)</f>
        <v>18.87</v>
      </c>
      <c r="L823" s="32" t="n">
        <v>4.9</v>
      </c>
      <c r="M823" s="33" t="n">
        <v>3.85</v>
      </c>
      <c r="N823" s="34" t="n">
        <f aca="false">ROUND(L823*M823,2)</f>
        <v>18.87</v>
      </c>
      <c r="P823" s="35" t="s">
        <v>445</v>
      </c>
    </row>
    <row r="824" customFormat="false" ht="15" hidden="false" customHeight="false" outlineLevel="0" collapsed="false">
      <c r="A824" s="24" t="s">
        <v>260</v>
      </c>
      <c r="B824" s="25" t="n">
        <v>4.9</v>
      </c>
      <c r="C824" s="25" t="n">
        <v>30</v>
      </c>
      <c r="D824" s="26" t="n">
        <v>1.09728</v>
      </c>
      <c r="E824" s="27" t="n">
        <v>1.33</v>
      </c>
      <c r="F824" s="28" t="n">
        <f aca="false">ROUND(B824*E824,2)</f>
        <v>6.52</v>
      </c>
      <c r="H824" s="29" t="n">
        <v>4.9</v>
      </c>
      <c r="I824" s="30" t="n">
        <v>1.33</v>
      </c>
      <c r="J824" s="31" t="n">
        <f aca="false">ROUND(H824*I824,2)</f>
        <v>6.52</v>
      </c>
      <c r="L824" s="32" t="n">
        <v>4.9</v>
      </c>
      <c r="M824" s="33" t="n">
        <v>1.33</v>
      </c>
      <c r="N824" s="34" t="n">
        <f aca="false">ROUND(L824*M824,2)</f>
        <v>6.52</v>
      </c>
      <c r="P824" s="36" t="s">
        <v>261</v>
      </c>
    </row>
    <row r="825" customFormat="false" ht="15" hidden="false" customHeight="false" outlineLevel="0" collapsed="false">
      <c r="A825" s="24" t="s">
        <v>262</v>
      </c>
      <c r="B825" s="25" t="n">
        <v>3.601</v>
      </c>
      <c r="C825" s="25" t="n">
        <v>30</v>
      </c>
      <c r="D825" s="26" t="n">
        <v>0.110306</v>
      </c>
      <c r="E825" s="27" t="n">
        <v>0.13788</v>
      </c>
      <c r="F825" s="28" t="n">
        <f aca="false">ROUND(B825*E825,2)</f>
        <v>0.5</v>
      </c>
      <c r="H825" s="29" t="n">
        <v>0.796</v>
      </c>
      <c r="I825" s="30" t="n">
        <v>0.13788</v>
      </c>
      <c r="J825" s="31" t="n">
        <f aca="false">ROUND(H825*I825,2)</f>
        <v>0.11</v>
      </c>
      <c r="L825" s="32" t="n">
        <v>1.331</v>
      </c>
      <c r="M825" s="33" t="n">
        <v>0.13788</v>
      </c>
      <c r="N825" s="34" t="n">
        <f aca="false">ROUND(L825*M825,2)</f>
        <v>0.18</v>
      </c>
      <c r="P825" s="35" t="s">
        <v>446</v>
      </c>
    </row>
    <row r="826" customFormat="false" ht="15" hidden="false" customHeight="false" outlineLevel="0" collapsed="false">
      <c r="A826" s="24" t="s">
        <v>264</v>
      </c>
      <c r="B826" s="25" t="n">
        <v>2.119</v>
      </c>
      <c r="C826" s="25" t="n">
        <v>30</v>
      </c>
      <c r="D826" s="26" t="n">
        <v>0.110306</v>
      </c>
      <c r="E826" s="27" t="n">
        <v>0.13788</v>
      </c>
      <c r="F826" s="28" t="n">
        <f aca="false">ROUND(B826*E826,2)</f>
        <v>0.29</v>
      </c>
      <c r="H826" s="29" t="n">
        <v>0.617</v>
      </c>
      <c r="I826" s="30" t="n">
        <v>0.13788</v>
      </c>
      <c r="J826" s="31" t="n">
        <f aca="false">ROUND(H826*I826,2)</f>
        <v>0.09</v>
      </c>
      <c r="L826" s="32" t="n">
        <v>1.534</v>
      </c>
      <c r="M826" s="33" t="n">
        <v>0.13788</v>
      </c>
      <c r="N826" s="34" t="n">
        <f aca="false">ROUND(L826*M826,2)</f>
        <v>0.21</v>
      </c>
    </row>
    <row r="827" customFormat="false" ht="15" hidden="false" customHeight="false" outlineLevel="0" collapsed="false">
      <c r="A827" s="24" t="s">
        <v>265</v>
      </c>
      <c r="B827" s="25" t="n">
        <v>4.137</v>
      </c>
      <c r="C827" s="25" t="n">
        <v>30</v>
      </c>
      <c r="D827" s="26" t="n">
        <v>0.110306</v>
      </c>
      <c r="E827" s="27" t="n">
        <v>0.13788</v>
      </c>
      <c r="F827" s="28" t="n">
        <f aca="false">ROUND(B827*E827,2)</f>
        <v>0.57</v>
      </c>
      <c r="H827" s="29" t="n">
        <v>5.036</v>
      </c>
      <c r="I827" s="30" t="n">
        <v>0.13788</v>
      </c>
      <c r="J827" s="31" t="n">
        <f aca="false">ROUND(H827*I827,2)</f>
        <v>0.69</v>
      </c>
      <c r="L827" s="32" t="n">
        <v>12.479</v>
      </c>
      <c r="M827" s="33" t="n">
        <v>0.13788</v>
      </c>
      <c r="N827" s="34" t="n">
        <f aca="false">ROUND(L827*M827,2)</f>
        <v>1.72</v>
      </c>
    </row>
    <row r="828" customFormat="false" ht="15" hidden="false" customHeight="false" outlineLevel="0" collapsed="false">
      <c r="A828" s="24" t="s">
        <v>266</v>
      </c>
      <c r="B828" s="25" t="n">
        <v>1</v>
      </c>
      <c r="C828" s="25" t="n">
        <v>30</v>
      </c>
      <c r="D828" s="26" t="n">
        <v>1.3414</v>
      </c>
      <c r="E828" s="27" t="n">
        <v>3</v>
      </c>
      <c r="F828" s="28" t="n">
        <f aca="false">ROUND(B828*E828,2)</f>
        <v>3</v>
      </c>
      <c r="H828" s="29" t="n">
        <v>1</v>
      </c>
      <c r="I828" s="30" t="n">
        <v>3</v>
      </c>
      <c r="J828" s="31" t="n">
        <f aca="false">ROUND(H828*I828,2)</f>
        <v>3</v>
      </c>
      <c r="L828" s="32" t="n">
        <v>1</v>
      </c>
      <c r="M828" s="33" t="n">
        <v>3</v>
      </c>
      <c r="N828" s="34" t="n">
        <f aca="false">ROUND(L828*M828,2)</f>
        <v>3</v>
      </c>
    </row>
    <row r="829" customFormat="false" ht="15" hidden="false" customHeight="false" outlineLevel="0" collapsed="false">
      <c r="A829" s="24" t="s">
        <v>267</v>
      </c>
      <c r="B829" s="25" t="n">
        <v>30</v>
      </c>
      <c r="C829" s="25" t="n">
        <v>30</v>
      </c>
      <c r="D829" s="26" t="n">
        <v>0.5736</v>
      </c>
      <c r="E829" s="27" t="n">
        <v>0.01274</v>
      </c>
      <c r="F829" s="28" t="n">
        <f aca="false">ROUND(B829*E829,2)</f>
        <v>0.38</v>
      </c>
      <c r="H829" s="29" t="n">
        <v>30</v>
      </c>
      <c r="I829" s="30" t="n">
        <v>0.01912</v>
      </c>
      <c r="J829" s="31" t="n">
        <f aca="false">ROUND(H829*I829,2)</f>
        <v>0.57</v>
      </c>
      <c r="L829" s="32" t="n">
        <v>30</v>
      </c>
      <c r="M829" s="33" t="n">
        <v>0.00629</v>
      </c>
      <c r="N829" s="34" t="n">
        <f aca="false">ROUND(L829*M829,2)</f>
        <v>0.19</v>
      </c>
    </row>
    <row r="830" customFormat="false" ht="15" hidden="false" customHeight="false" outlineLevel="0" collapsed="false">
      <c r="A830" s="24" t="s">
        <v>268</v>
      </c>
      <c r="B830" s="25" t="n">
        <v>1.31</v>
      </c>
      <c r="C830" s="25" t="n">
        <v>30</v>
      </c>
      <c r="D830" s="26" t="n">
        <v>0.24729</v>
      </c>
      <c r="E830" s="27" t="n">
        <v>1</v>
      </c>
      <c r="F830" s="28" t="n">
        <f aca="false">ROUND(B830*E830,2)</f>
        <v>1.31</v>
      </c>
      <c r="H830" s="29" t="n">
        <v>1.31</v>
      </c>
      <c r="I830" s="30" t="n">
        <v>1</v>
      </c>
      <c r="J830" s="31" t="n">
        <f aca="false">ROUND(H830*I830,2)</f>
        <v>1.31</v>
      </c>
      <c r="L830" s="32" t="n">
        <v>1.31</v>
      </c>
      <c r="M830" s="33" t="n">
        <v>1</v>
      </c>
      <c r="N830" s="34" t="n">
        <f aca="false">ROUND(L830*M830,2)</f>
        <v>1.31</v>
      </c>
    </row>
    <row r="831" customFormat="false" ht="15" hidden="false" customHeight="false" outlineLevel="0" collapsed="false">
      <c r="A831" s="37" t="s">
        <v>269</v>
      </c>
      <c r="F831" s="38" t="n">
        <f aca="false">ROUND((SUM(F823:F830)-F830)*1.1+F830,2)</f>
        <v>34.45</v>
      </c>
      <c r="J831" s="39" t="n">
        <f aca="false">ROUND(SUM(J823:J830),2)</f>
        <v>31.16</v>
      </c>
      <c r="N831" s="40" t="n">
        <f aca="false">ROUND(SUM(N823:N830),2)</f>
        <v>32</v>
      </c>
    </row>
    <row r="832" customFormat="false" ht="15" hidden="false" customHeight="false" outlineLevel="0" collapsed="false">
      <c r="A832" s="15" t="s">
        <v>270</v>
      </c>
      <c r="B832" s="41" t="n">
        <f aca="false">IF((F825+F823+F827+F824+F826)=0,"",((F825+F823+F827+F824+F826)-(B825*D825+B823*D823+B827*D827+B824*D824+B826*D826))/(F825+F823+F827+F824+F826))</f>
        <v>0.133977635813084</v>
      </c>
      <c r="D832" s="42" t="str">
        <f aca="false">IF(B832="","SIN PC",IF(B832&gt;=Detalle!$G$1,"APROBAR",IF(B832&gt;=0.2,"REVISAR","RECHAZAR")))</f>
        <v>RECHAZAR</v>
      </c>
      <c r="E832" s="42"/>
      <c r="F832" s="42"/>
    </row>
    <row r="833" customFormat="false" ht="15" hidden="false" customHeight="false" outlineLevel="0" collapsed="false">
      <c r="A833" s="44" t="s">
        <v>379</v>
      </c>
      <c r="B833" s="44"/>
      <c r="C833" s="44"/>
      <c r="D833" s="44"/>
      <c r="E833" s="44"/>
      <c r="F833" s="44"/>
    </row>
    <row r="834" customFormat="false" ht="15" hidden="false" customHeight="false" outlineLevel="0" collapsed="false">
      <c r="A834" s="45" t="s">
        <v>247</v>
      </c>
      <c r="B834" s="45" t="s">
        <v>380</v>
      </c>
      <c r="D834" s="45" t="s">
        <v>381</v>
      </c>
      <c r="E834" s="45" t="s">
        <v>382</v>
      </c>
      <c r="F834" s="45" t="s">
        <v>256</v>
      </c>
    </row>
    <row r="835" customFormat="false" ht="15" hidden="false" customHeight="false" outlineLevel="0" collapsed="false">
      <c r="A835" s="46" t="s">
        <v>383</v>
      </c>
      <c r="B835" s="47" t="n">
        <v>193</v>
      </c>
      <c r="C835" s="48"/>
      <c r="D835" s="26" t="n">
        <v>0.06</v>
      </c>
      <c r="E835" s="48"/>
      <c r="F835" s="49" t="n">
        <f aca="false">ROUND(B835*D835,2)</f>
        <v>11.58</v>
      </c>
    </row>
    <row r="836" customFormat="false" ht="15" hidden="false" customHeight="false" outlineLevel="0" collapsed="false">
      <c r="A836" s="46" t="s">
        <v>384</v>
      </c>
      <c r="B836" s="48"/>
      <c r="C836" s="48"/>
      <c r="D836" s="48"/>
      <c r="E836" s="50" t="n">
        <v>0.1</v>
      </c>
      <c r="F836" s="49" t="n">
        <v>1.36</v>
      </c>
    </row>
    <row r="837" customFormat="false" ht="15" hidden="false" customHeight="false" outlineLevel="0" collapsed="false">
      <c r="A837" s="51" t="s">
        <v>385</v>
      </c>
      <c r="B837" s="48"/>
      <c r="C837" s="48"/>
      <c r="D837" s="48"/>
      <c r="E837" s="48"/>
      <c r="F837" s="52" t="n">
        <f aca="false">F835-F836</f>
        <v>10.22</v>
      </c>
    </row>
    <row r="839" customFormat="false" ht="15" hidden="false" customHeight="false" outlineLevel="0" collapsed="false">
      <c r="A839" s="11" t="s">
        <v>618</v>
      </c>
      <c r="B839" s="11"/>
      <c r="C839" s="11"/>
      <c r="D839" s="11"/>
      <c r="E839" s="11"/>
      <c r="F839" s="11"/>
      <c r="H839" s="11" t="s">
        <v>619</v>
      </c>
      <c r="I839" s="11"/>
      <c r="J839" s="11"/>
      <c r="K839" s="11"/>
      <c r="L839" s="11"/>
      <c r="M839" s="11"/>
      <c r="N839" s="11"/>
      <c r="P839" s="14" t="s">
        <v>246</v>
      </c>
    </row>
    <row r="840" customFormat="false" ht="15" hidden="false" customHeight="false" outlineLevel="0" collapsed="false">
      <c r="A840" s="15" t="s">
        <v>247</v>
      </c>
      <c r="B840" s="16" t="s">
        <v>248</v>
      </c>
      <c r="C840" s="17"/>
      <c r="D840" s="17"/>
      <c r="E840" s="17"/>
      <c r="F840" s="17"/>
      <c r="H840" s="18" t="s">
        <v>620</v>
      </c>
      <c r="I840" s="19"/>
      <c r="J840" s="19"/>
      <c r="L840" s="20" t="s">
        <v>621</v>
      </c>
      <c r="M840" s="21"/>
      <c r="N840" s="21"/>
      <c r="P840" s="14" t="s">
        <v>622</v>
      </c>
    </row>
    <row r="841" customFormat="false" ht="15" hidden="false" customHeight="false" outlineLevel="0" collapsed="false">
      <c r="B841" s="3" t="s">
        <v>252</v>
      </c>
      <c r="C841" s="3" t="s">
        <v>253</v>
      </c>
      <c r="D841" s="3" t="s">
        <v>254</v>
      </c>
      <c r="E841" s="3" t="s">
        <v>255</v>
      </c>
      <c r="F841" s="3" t="s">
        <v>256</v>
      </c>
      <c r="H841" s="22" t="s">
        <v>252</v>
      </c>
      <c r="I841" s="22" t="s">
        <v>255</v>
      </c>
      <c r="J841" s="22" t="s">
        <v>256</v>
      </c>
      <c r="L841" s="23" t="s">
        <v>252</v>
      </c>
      <c r="M841" s="23" t="s">
        <v>255</v>
      </c>
      <c r="N841" s="23" t="s">
        <v>256</v>
      </c>
      <c r="P841" s="14" t="s">
        <v>623</v>
      </c>
    </row>
    <row r="842" customFormat="false" ht="15" hidden="false" customHeight="false" outlineLevel="0" collapsed="false">
      <c r="A842" s="24" t="s">
        <v>258</v>
      </c>
      <c r="B842" s="25" t="n">
        <v>10.392</v>
      </c>
      <c r="C842" s="25" t="n">
        <v>30</v>
      </c>
      <c r="D842" s="26" t="n">
        <v>3.4086</v>
      </c>
      <c r="E842" s="27" t="n">
        <v>4.82</v>
      </c>
      <c r="F842" s="28" t="n">
        <f aca="false">ROUND(B842*E842,2)</f>
        <v>50.09</v>
      </c>
      <c r="H842" s="29" t="n">
        <v>10.392</v>
      </c>
      <c r="I842" s="30" t="n">
        <v>4.82</v>
      </c>
      <c r="J842" s="31" t="n">
        <f aca="false">ROUND(H842*I842,2)</f>
        <v>50.09</v>
      </c>
      <c r="L842" s="32" t="n">
        <v>10.392</v>
      </c>
      <c r="M842" s="33" t="n">
        <v>4.82</v>
      </c>
      <c r="N842" s="34" t="n">
        <f aca="false">ROUND(L842*M842,2)</f>
        <v>50.09</v>
      </c>
      <c r="P842" s="35" t="s">
        <v>624</v>
      </c>
    </row>
    <row r="843" customFormat="false" ht="15" hidden="false" customHeight="false" outlineLevel="0" collapsed="false">
      <c r="A843" s="24" t="s">
        <v>260</v>
      </c>
      <c r="B843" s="25" t="n">
        <v>10.392</v>
      </c>
      <c r="C843" s="25" t="n">
        <v>30</v>
      </c>
      <c r="D843" s="26" t="n">
        <v>1.09728</v>
      </c>
      <c r="E843" s="27" t="n">
        <v>2.3744</v>
      </c>
      <c r="F843" s="28" t="n">
        <f aca="false">ROUND(B843*E843,2)</f>
        <v>24.67</v>
      </c>
      <c r="H843" s="29" t="n">
        <v>10.392</v>
      </c>
      <c r="I843" s="30" t="n">
        <v>2.3744</v>
      </c>
      <c r="J843" s="31" t="n">
        <f aca="false">ROUND(H843*I843,2)</f>
        <v>24.67</v>
      </c>
      <c r="L843" s="32" t="n">
        <v>10.392</v>
      </c>
      <c r="M843" s="33" t="n">
        <v>2.3744</v>
      </c>
      <c r="N843" s="34" t="n">
        <f aca="false">ROUND(L843*M843,2)</f>
        <v>24.67</v>
      </c>
      <c r="P843" s="36" t="s">
        <v>261</v>
      </c>
    </row>
    <row r="844" customFormat="false" ht="15" hidden="false" customHeight="false" outlineLevel="0" collapsed="false">
      <c r="A844" s="24" t="s">
        <v>262</v>
      </c>
      <c r="B844" s="25" t="n">
        <v>248.72</v>
      </c>
      <c r="C844" s="25" t="n">
        <v>30</v>
      </c>
      <c r="D844" s="26" t="n">
        <v>0.110306</v>
      </c>
      <c r="E844" s="27" t="n">
        <v>0.1724</v>
      </c>
      <c r="F844" s="28" t="n">
        <f aca="false">ROUND(B844*E844,2)</f>
        <v>42.88</v>
      </c>
      <c r="H844" s="29" t="n">
        <v>307.624</v>
      </c>
      <c r="I844" s="30" t="n">
        <v>0.1724</v>
      </c>
      <c r="J844" s="31" t="n">
        <f aca="false">ROUND(H844*I844,2)</f>
        <v>53.03</v>
      </c>
      <c r="L844" s="32" t="n">
        <v>126.994</v>
      </c>
      <c r="M844" s="33" t="n">
        <v>0.1724</v>
      </c>
      <c r="N844" s="34" t="n">
        <f aca="false">ROUND(L844*M844,2)</f>
        <v>21.89</v>
      </c>
      <c r="P844" s="35" t="s">
        <v>625</v>
      </c>
    </row>
    <row r="845" customFormat="false" ht="15" hidden="false" customHeight="false" outlineLevel="0" collapsed="false">
      <c r="A845" s="24" t="s">
        <v>264</v>
      </c>
      <c r="B845" s="25" t="n">
        <v>127.873</v>
      </c>
      <c r="C845" s="25" t="n">
        <v>30</v>
      </c>
      <c r="D845" s="26" t="n">
        <v>0.110306</v>
      </c>
      <c r="E845" s="27" t="n">
        <v>0.1724</v>
      </c>
      <c r="F845" s="28" t="n">
        <f aca="false">ROUND(B845*E845,2)</f>
        <v>22.05</v>
      </c>
      <c r="H845" s="29" t="n">
        <v>184.631</v>
      </c>
      <c r="I845" s="30" t="n">
        <v>0.1724</v>
      </c>
      <c r="J845" s="31" t="n">
        <f aca="false">ROUND(H845*I845,2)</f>
        <v>31.83</v>
      </c>
      <c r="L845" s="32" t="n">
        <v>94.513</v>
      </c>
      <c r="M845" s="33" t="n">
        <v>0.1724</v>
      </c>
      <c r="N845" s="34" t="n">
        <f aca="false">ROUND(L845*M845,2)</f>
        <v>16.29</v>
      </c>
    </row>
    <row r="846" customFormat="false" ht="15" hidden="false" customHeight="false" outlineLevel="0" collapsed="false">
      <c r="A846" s="24" t="s">
        <v>265</v>
      </c>
      <c r="B846" s="25" t="n">
        <v>622.654</v>
      </c>
      <c r="C846" s="25" t="n">
        <v>30</v>
      </c>
      <c r="D846" s="26" t="n">
        <v>0.110306</v>
      </c>
      <c r="E846" s="27" t="n">
        <v>0.1724</v>
      </c>
      <c r="F846" s="28" t="n">
        <f aca="false">ROUND(B846*E846,2)</f>
        <v>107.35</v>
      </c>
      <c r="H846" s="29" t="n">
        <v>644.924</v>
      </c>
      <c r="I846" s="30" t="n">
        <v>0.1724</v>
      </c>
      <c r="J846" s="31" t="n">
        <f aca="false">ROUND(H846*I846,2)</f>
        <v>111.18</v>
      </c>
      <c r="L846" s="32" t="n">
        <v>402.404</v>
      </c>
      <c r="M846" s="33" t="n">
        <v>0.1724</v>
      </c>
      <c r="N846" s="34" t="n">
        <f aca="false">ROUND(L846*M846,2)</f>
        <v>69.37</v>
      </c>
    </row>
    <row r="847" customFormat="false" ht="15" hidden="false" customHeight="false" outlineLevel="0" collapsed="false">
      <c r="A847" s="24" t="s">
        <v>266</v>
      </c>
      <c r="B847" s="25" t="n">
        <v>1</v>
      </c>
      <c r="C847" s="25" t="n">
        <v>30</v>
      </c>
      <c r="D847" s="26" t="n">
        <v>1.3414</v>
      </c>
      <c r="E847" s="27" t="n">
        <v>6</v>
      </c>
      <c r="F847" s="28" t="n">
        <f aca="false">ROUND(B847*E847,2)</f>
        <v>6</v>
      </c>
      <c r="H847" s="29" t="n">
        <v>1</v>
      </c>
      <c r="I847" s="30" t="n">
        <v>6</v>
      </c>
      <c r="J847" s="31" t="n">
        <f aca="false">ROUND(H847*I847,2)</f>
        <v>6</v>
      </c>
      <c r="L847" s="32" t="n">
        <v>1</v>
      </c>
      <c r="M847" s="33" t="n">
        <v>6</v>
      </c>
      <c r="N847" s="34" t="n">
        <f aca="false">ROUND(L847*M847,2)</f>
        <v>6</v>
      </c>
    </row>
    <row r="848" customFormat="false" ht="15" hidden="false" customHeight="false" outlineLevel="0" collapsed="false">
      <c r="A848" s="24" t="s">
        <v>267</v>
      </c>
      <c r="B848" s="25" t="n">
        <v>30</v>
      </c>
      <c r="C848" s="25" t="n">
        <v>30</v>
      </c>
      <c r="D848" s="26" t="n">
        <v>0.5736</v>
      </c>
      <c r="E848" s="27" t="n">
        <v>0.01274</v>
      </c>
      <c r="F848" s="28" t="n">
        <f aca="false">ROUND(B848*E848,2)</f>
        <v>0.38</v>
      </c>
      <c r="H848" s="29" t="n">
        <v>30</v>
      </c>
      <c r="I848" s="30" t="n">
        <v>0.01274</v>
      </c>
      <c r="J848" s="31" t="n">
        <f aca="false">ROUND(H848*I848,2)</f>
        <v>0.38</v>
      </c>
      <c r="L848" s="32" t="n">
        <v>30</v>
      </c>
      <c r="M848" s="33" t="n">
        <v>0.00629</v>
      </c>
      <c r="N848" s="34" t="n">
        <f aca="false">ROUND(L848*M848,2)</f>
        <v>0.19</v>
      </c>
    </row>
    <row r="849" customFormat="false" ht="15" hidden="false" customHeight="false" outlineLevel="0" collapsed="false">
      <c r="A849" s="24" t="s">
        <v>268</v>
      </c>
      <c r="B849" s="25" t="n">
        <v>11.94</v>
      </c>
      <c r="C849" s="25" t="n">
        <v>30</v>
      </c>
      <c r="D849" s="26" t="n">
        <v>0.24729</v>
      </c>
      <c r="E849" s="27" t="n">
        <v>1</v>
      </c>
      <c r="F849" s="28" t="n">
        <f aca="false">ROUND(B849*E849,2)</f>
        <v>11.94</v>
      </c>
      <c r="H849" s="29" t="n">
        <v>13.32</v>
      </c>
      <c r="I849" s="30" t="n">
        <v>1</v>
      </c>
      <c r="J849" s="31" t="n">
        <f aca="false">ROUND(H849*I849,2)</f>
        <v>13.32</v>
      </c>
      <c r="L849" s="32" t="n">
        <v>8.56</v>
      </c>
      <c r="M849" s="33" t="n">
        <v>1</v>
      </c>
      <c r="N849" s="34" t="n">
        <f aca="false">ROUND(L849*M849,2)</f>
        <v>8.56</v>
      </c>
    </row>
    <row r="850" customFormat="false" ht="15" hidden="false" customHeight="false" outlineLevel="0" collapsed="false">
      <c r="A850" s="37" t="s">
        <v>269</v>
      </c>
      <c r="F850" s="38" t="n">
        <f aca="false">ROUND((SUM(F842:F849)-F849)*1.1+F849,2)</f>
        <v>290.7</v>
      </c>
      <c r="J850" s="39" t="n">
        <f aca="false">ROUND(SUM(J842:J849),2)</f>
        <v>290.5</v>
      </c>
      <c r="N850" s="40" t="n">
        <f aca="false">ROUND(SUM(N842:N849),2)</f>
        <v>197.06</v>
      </c>
    </row>
    <row r="851" customFormat="false" ht="15" hidden="false" customHeight="false" outlineLevel="0" collapsed="false">
      <c r="A851" s="15" t="s">
        <v>270</v>
      </c>
      <c r="B851" s="41" t="n">
        <f aca="false">IF((F844+F842+F846+F843+F845)=0,"",((F844+F842+F846+F843+F845)-(B844*D844+B842*D842+B846*D846+B843*D843+B845*D845))/(F844+F842+F846+F843+F845))</f>
        <v>0.364280907780117</v>
      </c>
      <c r="D851" s="42" t="str">
        <f aca="false">IF(B851="","SIN PC",IF(B851&gt;=Detalle!$G$1,"APROBAR",IF(B851&gt;=0.2,"REVISAR","RECHAZAR")))</f>
        <v>APROBAR</v>
      </c>
      <c r="E851" s="42"/>
      <c r="F851" s="42"/>
    </row>
    <row r="852" customFormat="false" ht="15" hidden="false" customHeight="false" outlineLevel="0" collapsed="false">
      <c r="A852" s="44" t="s">
        <v>379</v>
      </c>
      <c r="B852" s="44"/>
      <c r="C852" s="44"/>
      <c r="D852" s="44"/>
      <c r="E852" s="44"/>
      <c r="F852" s="44"/>
    </row>
    <row r="853" customFormat="false" ht="15" hidden="false" customHeight="false" outlineLevel="0" collapsed="false">
      <c r="A853" s="45" t="s">
        <v>247</v>
      </c>
      <c r="B853" s="45" t="s">
        <v>380</v>
      </c>
      <c r="D853" s="45" t="s">
        <v>381</v>
      </c>
      <c r="E853" s="45" t="s">
        <v>382</v>
      </c>
      <c r="F853" s="45" t="s">
        <v>256</v>
      </c>
    </row>
    <row r="854" customFormat="false" ht="15" hidden="false" customHeight="false" outlineLevel="0" collapsed="false">
      <c r="A854" s="46" t="s">
        <v>383</v>
      </c>
      <c r="B854" s="47" t="n">
        <v>368</v>
      </c>
      <c r="C854" s="48"/>
      <c r="D854" s="26" t="n">
        <v>0.06</v>
      </c>
      <c r="E854" s="48"/>
      <c r="F854" s="49" t="n">
        <f aca="false">ROUND(B854*D854,2)</f>
        <v>22.08</v>
      </c>
    </row>
    <row r="855" customFormat="false" ht="15" hidden="false" customHeight="false" outlineLevel="0" collapsed="false">
      <c r="A855" s="46" t="s">
        <v>384</v>
      </c>
      <c r="B855" s="48"/>
      <c r="C855" s="48"/>
      <c r="D855" s="48"/>
      <c r="E855" s="50" t="n">
        <v>0.06</v>
      </c>
      <c r="F855" s="49" t="n">
        <v>13.63</v>
      </c>
    </row>
    <row r="856" customFormat="false" ht="15" hidden="false" customHeight="false" outlineLevel="0" collapsed="false">
      <c r="A856" s="51" t="s">
        <v>385</v>
      </c>
      <c r="B856" s="48"/>
      <c r="C856" s="48"/>
      <c r="D856" s="48"/>
      <c r="E856" s="48"/>
      <c r="F856" s="52" t="n">
        <f aca="false">F854-F855</f>
        <v>8.45</v>
      </c>
    </row>
    <row r="858" customFormat="false" ht="15" hidden="false" customHeight="false" outlineLevel="0" collapsed="false">
      <c r="A858" s="11" t="s">
        <v>626</v>
      </c>
      <c r="B858" s="11"/>
      <c r="C858" s="11"/>
      <c r="D858" s="11"/>
      <c r="E858" s="11"/>
      <c r="F858" s="11"/>
      <c r="H858" s="11" t="s">
        <v>372</v>
      </c>
      <c r="I858" s="11"/>
      <c r="J858" s="11"/>
      <c r="K858" s="11"/>
      <c r="L858" s="11"/>
      <c r="M858" s="11"/>
      <c r="N858" s="11"/>
      <c r="P858" s="14" t="s">
        <v>246</v>
      </c>
    </row>
    <row r="859" customFormat="false" ht="15" hidden="false" customHeight="false" outlineLevel="0" collapsed="false">
      <c r="A859" s="15" t="s">
        <v>247</v>
      </c>
      <c r="B859" s="16" t="s">
        <v>248</v>
      </c>
      <c r="C859" s="17"/>
      <c r="D859" s="17"/>
      <c r="E859" s="17"/>
      <c r="F859" s="17"/>
      <c r="H859" s="18" t="s">
        <v>373</v>
      </c>
      <c r="I859" s="19"/>
      <c r="J859" s="19"/>
      <c r="L859" s="20" t="s">
        <v>374</v>
      </c>
      <c r="M859" s="21"/>
      <c r="N859" s="21"/>
      <c r="P859" s="14" t="s">
        <v>375</v>
      </c>
    </row>
    <row r="860" customFormat="false" ht="15" hidden="false" customHeight="false" outlineLevel="0" collapsed="false">
      <c r="B860" s="3" t="s">
        <v>252</v>
      </c>
      <c r="C860" s="3" t="s">
        <v>253</v>
      </c>
      <c r="D860" s="3" t="s">
        <v>254</v>
      </c>
      <c r="E860" s="3" t="s">
        <v>255</v>
      </c>
      <c r="F860" s="3" t="s">
        <v>256</v>
      </c>
      <c r="H860" s="22" t="s">
        <v>252</v>
      </c>
      <c r="I860" s="22" t="s">
        <v>255</v>
      </c>
      <c r="J860" s="22" t="s">
        <v>256</v>
      </c>
      <c r="L860" s="23" t="s">
        <v>252</v>
      </c>
      <c r="M860" s="23" t="s">
        <v>255</v>
      </c>
      <c r="N860" s="23" t="s">
        <v>256</v>
      </c>
      <c r="P860" s="14" t="s">
        <v>376</v>
      </c>
    </row>
    <row r="861" customFormat="false" ht="15" hidden="false" customHeight="false" outlineLevel="0" collapsed="false">
      <c r="A861" s="24" t="s">
        <v>258</v>
      </c>
      <c r="B861" s="25" t="n">
        <v>9.2</v>
      </c>
      <c r="C861" s="25" t="n">
        <v>30</v>
      </c>
      <c r="D861" s="26" t="n">
        <v>3.4086</v>
      </c>
      <c r="E861" s="27" t="n">
        <v>4.17</v>
      </c>
      <c r="F861" s="28" t="n">
        <f aca="false">ROUND(B861*E861,2)</f>
        <v>38.36</v>
      </c>
      <c r="H861" s="29" t="n">
        <v>9.2</v>
      </c>
      <c r="I861" s="30" t="n">
        <v>4.17</v>
      </c>
      <c r="J861" s="31" t="n">
        <f aca="false">ROUND(H861*I861,2)</f>
        <v>38.36</v>
      </c>
      <c r="L861" s="32" t="n">
        <v>9.2</v>
      </c>
      <c r="M861" s="33" t="n">
        <v>4.17</v>
      </c>
      <c r="N861" s="34" t="n">
        <f aca="false">ROUND(L861*M861,2)</f>
        <v>38.36</v>
      </c>
      <c r="P861" s="35" t="s">
        <v>377</v>
      </c>
    </row>
    <row r="862" customFormat="false" ht="15" hidden="false" customHeight="false" outlineLevel="0" collapsed="false">
      <c r="A862" s="24" t="s">
        <v>260</v>
      </c>
      <c r="B862" s="25" t="n">
        <v>9.2</v>
      </c>
      <c r="C862" s="25" t="n">
        <v>30</v>
      </c>
      <c r="D862" s="26" t="n">
        <v>1.09728</v>
      </c>
      <c r="E862" s="27" t="n">
        <v>1.37</v>
      </c>
      <c r="F862" s="28" t="n">
        <f aca="false">ROUND(B862*E862,2)</f>
        <v>12.6</v>
      </c>
      <c r="H862" s="29" t="n">
        <v>9.2</v>
      </c>
      <c r="I862" s="30" t="n">
        <v>1.37</v>
      </c>
      <c r="J862" s="31" t="n">
        <f aca="false">ROUND(H862*I862,2)</f>
        <v>12.6</v>
      </c>
      <c r="L862" s="32" t="n">
        <v>9.2</v>
      </c>
      <c r="M862" s="33" t="n">
        <v>1.37</v>
      </c>
      <c r="N862" s="34" t="n">
        <f aca="false">ROUND(L862*M862,2)</f>
        <v>12.6</v>
      </c>
      <c r="P862" s="36" t="s">
        <v>261</v>
      </c>
    </row>
    <row r="863" customFormat="false" ht="15" hidden="false" customHeight="false" outlineLevel="0" collapsed="false">
      <c r="A863" s="24" t="s">
        <v>262</v>
      </c>
      <c r="B863" s="25" t="n">
        <v>113.96</v>
      </c>
      <c r="C863" s="25" t="n">
        <v>30</v>
      </c>
      <c r="D863" s="26" t="n">
        <v>0.110306</v>
      </c>
      <c r="E863" s="27" t="n">
        <v>0.14937</v>
      </c>
      <c r="F863" s="28" t="n">
        <f aca="false">ROUND(B863*E863,2)</f>
        <v>17.02</v>
      </c>
      <c r="H863" s="29" t="n">
        <v>96.082</v>
      </c>
      <c r="I863" s="30" t="n">
        <v>0.14937</v>
      </c>
      <c r="J863" s="31" t="n">
        <f aca="false">ROUND(H863*I863,2)</f>
        <v>14.35</v>
      </c>
      <c r="L863" s="32" t="n">
        <v>106.421</v>
      </c>
      <c r="M863" s="33" t="n">
        <v>0.14937</v>
      </c>
      <c r="N863" s="34" t="n">
        <f aca="false">ROUND(L863*M863,2)</f>
        <v>15.9</v>
      </c>
      <c r="P863" s="35" t="s">
        <v>378</v>
      </c>
    </row>
    <row r="864" customFormat="false" ht="15" hidden="false" customHeight="false" outlineLevel="0" collapsed="false">
      <c r="A864" s="24" t="s">
        <v>264</v>
      </c>
      <c r="B864" s="25" t="n">
        <v>192.413</v>
      </c>
      <c r="C864" s="25" t="n">
        <v>30</v>
      </c>
      <c r="D864" s="26" t="n">
        <v>0.110306</v>
      </c>
      <c r="E864" s="27" t="n">
        <v>0.14937</v>
      </c>
      <c r="F864" s="28" t="n">
        <f aca="false">ROUND(B864*E864,2)</f>
        <v>28.74</v>
      </c>
      <c r="H864" s="29" t="n">
        <v>96.138</v>
      </c>
      <c r="I864" s="30" t="n">
        <v>0.14937</v>
      </c>
      <c r="J864" s="31" t="n">
        <f aca="false">ROUND(H864*I864,2)</f>
        <v>14.36</v>
      </c>
      <c r="L864" s="32" t="n">
        <v>134.85</v>
      </c>
      <c r="M864" s="33" t="n">
        <v>0.14937</v>
      </c>
      <c r="N864" s="34" t="n">
        <f aca="false">ROUND(L864*M864,2)</f>
        <v>20.14</v>
      </c>
    </row>
    <row r="865" customFormat="false" ht="15" hidden="false" customHeight="false" outlineLevel="0" collapsed="false">
      <c r="A865" s="24" t="s">
        <v>265</v>
      </c>
      <c r="B865" s="25" t="n">
        <v>705.495</v>
      </c>
      <c r="C865" s="25" t="n">
        <v>30</v>
      </c>
      <c r="D865" s="26" t="n">
        <v>0.110306</v>
      </c>
      <c r="E865" s="27" t="n">
        <v>0.14937</v>
      </c>
      <c r="F865" s="28" t="n">
        <f aca="false">ROUND(B865*E865,2)</f>
        <v>105.38</v>
      </c>
      <c r="H865" s="29" t="n">
        <v>293.989</v>
      </c>
      <c r="I865" s="30" t="n">
        <v>0.14937</v>
      </c>
      <c r="J865" s="31" t="n">
        <f aca="false">ROUND(H865*I865,2)</f>
        <v>43.91</v>
      </c>
      <c r="L865" s="32" t="n">
        <v>432.121</v>
      </c>
      <c r="M865" s="33" t="n">
        <v>0.14937</v>
      </c>
      <c r="N865" s="34" t="n">
        <f aca="false">ROUND(L865*M865,2)</f>
        <v>64.55</v>
      </c>
    </row>
    <row r="866" customFormat="false" ht="15" hidden="false" customHeight="false" outlineLevel="0" collapsed="false">
      <c r="A866" s="24" t="s">
        <v>266</v>
      </c>
      <c r="B866" s="25" t="n">
        <v>1</v>
      </c>
      <c r="C866" s="25" t="n">
        <v>30</v>
      </c>
      <c r="D866" s="26" t="n">
        <v>0.7989</v>
      </c>
      <c r="E866" s="27" t="n">
        <v>4</v>
      </c>
      <c r="F866" s="28" t="n">
        <f aca="false">ROUND(B866*E866,2)</f>
        <v>4</v>
      </c>
      <c r="H866" s="29" t="n">
        <v>1</v>
      </c>
      <c r="I866" s="30" t="n">
        <v>4</v>
      </c>
      <c r="J866" s="31" t="n">
        <f aca="false">ROUND(H866*I866,2)</f>
        <v>4</v>
      </c>
      <c r="L866" s="32" t="n">
        <v>1</v>
      </c>
      <c r="M866" s="33" t="n">
        <v>4</v>
      </c>
      <c r="N866" s="34" t="n">
        <f aca="false">ROUND(L866*M866,2)</f>
        <v>4</v>
      </c>
    </row>
    <row r="867" customFormat="false" ht="15" hidden="false" customHeight="false" outlineLevel="0" collapsed="false">
      <c r="A867" s="24" t="s">
        <v>267</v>
      </c>
      <c r="B867" s="25" t="n">
        <v>30</v>
      </c>
      <c r="C867" s="25" t="n">
        <v>30</v>
      </c>
      <c r="D867" s="26" t="n">
        <v>0.5736</v>
      </c>
      <c r="E867" s="27" t="n">
        <v>0.01274</v>
      </c>
      <c r="F867" s="28" t="n">
        <f aca="false">ROUND(B867*E867,2)</f>
        <v>0.38</v>
      </c>
      <c r="H867" s="29" t="n">
        <v>30</v>
      </c>
      <c r="I867" s="30" t="n">
        <v>0.01274</v>
      </c>
      <c r="J867" s="31" t="n">
        <f aca="false">ROUND(H867*I867,2)</f>
        <v>0.38</v>
      </c>
      <c r="L867" s="32" t="n">
        <v>30</v>
      </c>
      <c r="M867" s="33" t="n">
        <v>0.00629</v>
      </c>
      <c r="N867" s="34" t="n">
        <f aca="false">ROUND(L867*M867,2)</f>
        <v>0.19</v>
      </c>
    </row>
    <row r="868" customFormat="false" ht="15" hidden="false" customHeight="false" outlineLevel="0" collapsed="false">
      <c r="A868" s="24" t="s">
        <v>268</v>
      </c>
      <c r="B868" s="25" t="n">
        <v>10.21</v>
      </c>
      <c r="C868" s="25" t="n">
        <v>30</v>
      </c>
      <c r="D868" s="26" t="n">
        <v>0.24729</v>
      </c>
      <c r="E868" s="27" t="n">
        <v>1</v>
      </c>
      <c r="F868" s="28" t="n">
        <f aca="false">ROUND(B868*E868,2)</f>
        <v>10.21</v>
      </c>
      <c r="H868" s="29" t="n">
        <v>6.2</v>
      </c>
      <c r="I868" s="30" t="n">
        <v>1</v>
      </c>
      <c r="J868" s="31" t="n">
        <f aca="false">ROUND(H868*I868,2)</f>
        <v>6.2</v>
      </c>
      <c r="L868" s="32" t="n">
        <v>7.41</v>
      </c>
      <c r="M868" s="33" t="n">
        <v>1</v>
      </c>
      <c r="N868" s="34" t="n">
        <f aca="false">ROUND(L868*M868,2)</f>
        <v>7.41</v>
      </c>
    </row>
    <row r="869" customFormat="false" ht="15" hidden="false" customHeight="false" outlineLevel="0" collapsed="false">
      <c r="A869" s="37" t="s">
        <v>269</v>
      </c>
      <c r="F869" s="38" t="n">
        <f aca="false">ROUND((SUM(F861:F868)-F868)*1.1+F868,2)</f>
        <v>237.34</v>
      </c>
      <c r="J869" s="39" t="n">
        <f aca="false">ROUND(SUM(J861:J868),2)</f>
        <v>134.16</v>
      </c>
      <c r="N869" s="40" t="n">
        <f aca="false">ROUND(SUM(N861:N868),2)</f>
        <v>163.15</v>
      </c>
    </row>
    <row r="870" customFormat="false" ht="15" hidden="false" customHeight="false" outlineLevel="0" collapsed="false">
      <c r="A870" s="15" t="s">
        <v>270</v>
      </c>
      <c r="B870" s="41" t="n">
        <f aca="false">IF((F863+F861+F865+F862+F864)=0,"",((F863+F861+F865+F862+F864)-(B863*D863+B861*D861+B865*D865+B862*D862+B864*D864))/(F863+F861+F865+F862+F864))</f>
        <v>0.242606592736269</v>
      </c>
      <c r="D870" s="42" t="str">
        <f aca="false">IF(B870="","SIN PC",IF(B870&gt;=Detalle!$G$1,"APROBAR",IF(B870&gt;=0.2,"REVISAR","RECHAZAR")))</f>
        <v>REVISAR</v>
      </c>
      <c r="E870" s="42"/>
      <c r="F870" s="42"/>
    </row>
    <row r="871" customFormat="false" ht="15" hidden="false" customHeight="false" outlineLevel="0" collapsed="false">
      <c r="A871" s="44" t="s">
        <v>379</v>
      </c>
      <c r="B871" s="44"/>
      <c r="C871" s="44"/>
      <c r="D871" s="44"/>
      <c r="E871" s="44"/>
      <c r="F871" s="44"/>
    </row>
    <row r="872" customFormat="false" ht="15" hidden="false" customHeight="false" outlineLevel="0" collapsed="false">
      <c r="A872" s="45" t="s">
        <v>247</v>
      </c>
      <c r="B872" s="45" t="s">
        <v>380</v>
      </c>
      <c r="D872" s="45" t="s">
        <v>381</v>
      </c>
      <c r="E872" s="45" t="s">
        <v>382</v>
      </c>
      <c r="F872" s="45" t="s">
        <v>256</v>
      </c>
    </row>
    <row r="873" customFormat="false" ht="15" hidden="false" customHeight="false" outlineLevel="0" collapsed="false">
      <c r="A873" s="46" t="s">
        <v>383</v>
      </c>
      <c r="B873" s="47" t="n">
        <v>43</v>
      </c>
      <c r="C873" s="48"/>
      <c r="D873" s="26" t="n">
        <v>0.06</v>
      </c>
      <c r="E873" s="48"/>
      <c r="F873" s="49" t="n">
        <f aca="false">ROUND(B873*D873,2)</f>
        <v>2.58</v>
      </c>
    </row>
    <row r="874" customFormat="false" ht="15" hidden="false" customHeight="false" outlineLevel="0" collapsed="false">
      <c r="A874" s="46" t="s">
        <v>384</v>
      </c>
      <c r="B874" s="48"/>
      <c r="C874" s="48"/>
      <c r="D874" s="48"/>
      <c r="E874" s="50" t="n">
        <v>0.06</v>
      </c>
      <c r="F874" s="49" t="n">
        <v>2.53</v>
      </c>
    </row>
    <row r="875" customFormat="false" ht="15" hidden="false" customHeight="false" outlineLevel="0" collapsed="false">
      <c r="A875" s="51" t="s">
        <v>385</v>
      </c>
      <c r="B875" s="48"/>
      <c r="C875" s="48"/>
      <c r="D875" s="48"/>
      <c r="E875" s="48"/>
      <c r="F875" s="52" t="n">
        <f aca="false">F873-F874</f>
        <v>0.0500000000000003</v>
      </c>
    </row>
    <row r="877" customFormat="false" ht="15" hidden="false" customHeight="false" outlineLevel="0" collapsed="false">
      <c r="A877" s="11" t="s">
        <v>627</v>
      </c>
      <c r="B877" s="11"/>
      <c r="C877" s="11"/>
      <c r="D877" s="11"/>
      <c r="E877" s="11"/>
      <c r="F877" s="11"/>
      <c r="H877" s="11" t="s">
        <v>628</v>
      </c>
      <c r="I877" s="11"/>
      <c r="J877" s="11"/>
      <c r="K877" s="11"/>
      <c r="L877" s="11"/>
      <c r="M877" s="11"/>
      <c r="N877" s="11"/>
      <c r="P877" s="14" t="s">
        <v>246</v>
      </c>
    </row>
    <row r="878" customFormat="false" ht="15" hidden="false" customHeight="false" outlineLevel="0" collapsed="false">
      <c r="A878" s="15" t="s">
        <v>247</v>
      </c>
      <c r="B878" s="16" t="s">
        <v>248</v>
      </c>
      <c r="C878" s="17"/>
      <c r="D878" s="17"/>
      <c r="E878" s="17"/>
      <c r="F878" s="17"/>
      <c r="H878" s="18" t="s">
        <v>629</v>
      </c>
      <c r="I878" s="19"/>
      <c r="J878" s="19"/>
      <c r="L878" s="20" t="s">
        <v>630</v>
      </c>
      <c r="M878" s="21"/>
      <c r="N878" s="21"/>
      <c r="P878" s="14" t="s">
        <v>631</v>
      </c>
    </row>
    <row r="879" customFormat="false" ht="15" hidden="false" customHeight="false" outlineLevel="0" collapsed="false">
      <c r="B879" s="3" t="s">
        <v>252</v>
      </c>
      <c r="C879" s="3" t="s">
        <v>253</v>
      </c>
      <c r="D879" s="3" t="s">
        <v>254</v>
      </c>
      <c r="E879" s="3" t="s">
        <v>255</v>
      </c>
      <c r="F879" s="3" t="s">
        <v>256</v>
      </c>
      <c r="H879" s="22" t="s">
        <v>252</v>
      </c>
      <c r="I879" s="22" t="s">
        <v>255</v>
      </c>
      <c r="J879" s="22" t="s">
        <v>256</v>
      </c>
      <c r="L879" s="23" t="s">
        <v>252</v>
      </c>
      <c r="M879" s="23" t="s">
        <v>255</v>
      </c>
      <c r="N879" s="23" t="s">
        <v>256</v>
      </c>
      <c r="P879" s="14" t="s">
        <v>632</v>
      </c>
    </row>
    <row r="880" customFormat="false" ht="15" hidden="false" customHeight="false" outlineLevel="0" collapsed="false">
      <c r="A880" s="24" t="s">
        <v>258</v>
      </c>
      <c r="B880" s="25" t="n">
        <v>5.75</v>
      </c>
      <c r="C880" s="25" t="n">
        <v>30</v>
      </c>
      <c r="D880" s="26" t="n">
        <v>3.68919</v>
      </c>
      <c r="E880" s="27" t="n">
        <v>3.85</v>
      </c>
      <c r="F880" s="28" t="n">
        <f aca="false">ROUND(B880*E880,2)</f>
        <v>22.14</v>
      </c>
      <c r="H880" s="29" t="n">
        <v>5.75</v>
      </c>
      <c r="I880" s="30" t="n">
        <v>3.85</v>
      </c>
      <c r="J880" s="31" t="n">
        <f aca="false">ROUND(H880*I880,2)</f>
        <v>22.14</v>
      </c>
      <c r="L880" s="32" t="n">
        <v>5.75</v>
      </c>
      <c r="M880" s="33" t="n">
        <v>3.85</v>
      </c>
      <c r="N880" s="34" t="n">
        <f aca="false">ROUND(L880*M880,2)</f>
        <v>22.14</v>
      </c>
      <c r="P880" s="35" t="s">
        <v>633</v>
      </c>
    </row>
    <row r="881" customFormat="false" ht="15" hidden="false" customHeight="false" outlineLevel="0" collapsed="false">
      <c r="A881" s="24" t="s">
        <v>260</v>
      </c>
      <c r="B881" s="25" t="n">
        <v>5.75</v>
      </c>
      <c r="C881" s="25" t="n">
        <v>30</v>
      </c>
      <c r="D881" s="26" t="n">
        <v>1.31928</v>
      </c>
      <c r="E881" s="27" t="n">
        <v>1.33</v>
      </c>
      <c r="F881" s="28" t="n">
        <f aca="false">ROUND(B881*E881,2)</f>
        <v>7.65</v>
      </c>
      <c r="H881" s="29" t="n">
        <v>5.75</v>
      </c>
      <c r="I881" s="30" t="n">
        <v>1.33</v>
      </c>
      <c r="J881" s="31" t="n">
        <f aca="false">ROUND(H881*I881,2)</f>
        <v>7.65</v>
      </c>
      <c r="L881" s="32" t="n">
        <v>5.75</v>
      </c>
      <c r="M881" s="33" t="n">
        <v>1.33</v>
      </c>
      <c r="N881" s="34" t="n">
        <f aca="false">ROUND(L881*M881,2)</f>
        <v>7.65</v>
      </c>
      <c r="P881" s="36" t="s">
        <v>261</v>
      </c>
    </row>
    <row r="882" customFormat="false" ht="15" hidden="false" customHeight="false" outlineLevel="0" collapsed="false">
      <c r="A882" s="24" t="s">
        <v>262</v>
      </c>
      <c r="B882" s="25" t="n">
        <v>44.552</v>
      </c>
      <c r="C882" s="25" t="n">
        <v>30</v>
      </c>
      <c r="D882" s="26" t="n">
        <v>0.111171</v>
      </c>
      <c r="E882" s="27" t="n">
        <v>0.13788</v>
      </c>
      <c r="F882" s="28" t="n">
        <f aca="false">ROUND(B882*E882,2)</f>
        <v>6.14</v>
      </c>
      <c r="H882" s="29" t="n">
        <v>202.672</v>
      </c>
      <c r="I882" s="30" t="n">
        <v>0.13788</v>
      </c>
      <c r="J882" s="31" t="n">
        <f aca="false">ROUND(H882*I882,2)</f>
        <v>27.94</v>
      </c>
      <c r="L882" s="32" t="n">
        <v>219.602</v>
      </c>
      <c r="M882" s="33" t="n">
        <v>0.13788</v>
      </c>
      <c r="N882" s="34" t="n">
        <f aca="false">ROUND(L882*M882,2)</f>
        <v>30.28</v>
      </c>
      <c r="P882" s="35" t="s">
        <v>634</v>
      </c>
    </row>
    <row r="883" customFormat="false" ht="15" hidden="false" customHeight="false" outlineLevel="0" collapsed="false">
      <c r="A883" s="24" t="s">
        <v>264</v>
      </c>
      <c r="B883" s="25" t="n">
        <v>38.348</v>
      </c>
      <c r="C883" s="25" t="n">
        <v>30</v>
      </c>
      <c r="D883" s="26" t="n">
        <v>0.111171</v>
      </c>
      <c r="E883" s="27" t="n">
        <v>0.13788</v>
      </c>
      <c r="F883" s="28" t="n">
        <f aca="false">ROUND(B883*E883,2)</f>
        <v>5.29</v>
      </c>
      <c r="H883" s="29" t="n">
        <v>153.524</v>
      </c>
      <c r="I883" s="30" t="n">
        <v>0.13788</v>
      </c>
      <c r="J883" s="31" t="n">
        <f aca="false">ROUND(H883*I883,2)</f>
        <v>21.17</v>
      </c>
      <c r="L883" s="32" t="n">
        <v>170.548</v>
      </c>
      <c r="M883" s="33" t="n">
        <v>0.13788</v>
      </c>
      <c r="N883" s="34" t="n">
        <f aca="false">ROUND(L883*M883,2)</f>
        <v>23.52</v>
      </c>
    </row>
    <row r="884" customFormat="false" ht="15" hidden="false" customHeight="false" outlineLevel="0" collapsed="false">
      <c r="A884" s="24" t="s">
        <v>265</v>
      </c>
      <c r="B884" s="25" t="n">
        <v>112.909</v>
      </c>
      <c r="C884" s="25" t="n">
        <v>30</v>
      </c>
      <c r="D884" s="26" t="n">
        <v>0.111171</v>
      </c>
      <c r="E884" s="27" t="n">
        <v>0.13788</v>
      </c>
      <c r="F884" s="28" t="n">
        <f aca="false">ROUND(B884*E884,2)</f>
        <v>15.57</v>
      </c>
      <c r="H884" s="29" t="n">
        <v>347.574</v>
      </c>
      <c r="I884" s="30" t="n">
        <v>0.13788</v>
      </c>
      <c r="J884" s="31" t="n">
        <f aca="false">ROUND(H884*I884,2)</f>
        <v>47.92</v>
      </c>
      <c r="L884" s="32" t="n">
        <v>460.107</v>
      </c>
      <c r="M884" s="33" t="n">
        <v>0.13788</v>
      </c>
      <c r="N884" s="34" t="n">
        <f aca="false">ROUND(L884*M884,2)</f>
        <v>63.44</v>
      </c>
    </row>
    <row r="885" customFormat="false" ht="15" hidden="false" customHeight="false" outlineLevel="0" collapsed="false">
      <c r="A885" s="24" t="s">
        <v>266</v>
      </c>
      <c r="B885" s="25" t="n">
        <v>1</v>
      </c>
      <c r="C885" s="25" t="n">
        <v>30</v>
      </c>
      <c r="D885" s="26" t="n">
        <v>0.7989</v>
      </c>
      <c r="E885" s="27" t="n">
        <v>3</v>
      </c>
      <c r="F885" s="28" t="n">
        <f aca="false">ROUND(B885*E885,2)</f>
        <v>3</v>
      </c>
      <c r="H885" s="29" t="n">
        <v>1</v>
      </c>
      <c r="I885" s="30" t="n">
        <v>3</v>
      </c>
      <c r="J885" s="31" t="n">
        <f aca="false">ROUND(H885*I885,2)</f>
        <v>3</v>
      </c>
      <c r="L885" s="32" t="n">
        <v>1</v>
      </c>
      <c r="M885" s="33" t="n">
        <v>3</v>
      </c>
      <c r="N885" s="34" t="n">
        <f aca="false">ROUND(L885*M885,2)</f>
        <v>3</v>
      </c>
    </row>
    <row r="886" customFormat="false" ht="15" hidden="false" customHeight="false" outlineLevel="0" collapsed="false">
      <c r="A886" s="24" t="s">
        <v>267</v>
      </c>
      <c r="B886" s="25" t="n">
        <v>30</v>
      </c>
      <c r="C886" s="25" t="n">
        <v>30</v>
      </c>
      <c r="D886" s="26" t="n">
        <v>0.5736</v>
      </c>
      <c r="E886" s="27" t="n">
        <v>0.01274</v>
      </c>
      <c r="F886" s="28" t="n">
        <f aca="false">ROUND(B886*E886,2)</f>
        <v>0.38</v>
      </c>
      <c r="H886" s="29" t="n">
        <v>30</v>
      </c>
      <c r="I886" s="30" t="n">
        <v>0.01274</v>
      </c>
      <c r="J886" s="31" t="n">
        <f aca="false">ROUND(H886*I886,2)</f>
        <v>0.38</v>
      </c>
      <c r="L886" s="32" t="n">
        <v>30</v>
      </c>
      <c r="M886" s="33" t="n">
        <v>0.00629</v>
      </c>
      <c r="N886" s="34" t="n">
        <f aca="false">ROUND(L886*M886,2)</f>
        <v>0.19</v>
      </c>
    </row>
    <row r="887" customFormat="false" ht="15" hidden="false" customHeight="false" outlineLevel="0" collapsed="false">
      <c r="A887" s="24" t="s">
        <v>268</v>
      </c>
      <c r="B887" s="25" t="n">
        <v>2.91</v>
      </c>
      <c r="C887" s="25" t="n">
        <v>30</v>
      </c>
      <c r="D887" s="26" t="n">
        <v>0.27312</v>
      </c>
      <c r="E887" s="27" t="n">
        <v>1</v>
      </c>
      <c r="F887" s="28" t="n">
        <f aca="false">ROUND(B887*E887,2)</f>
        <v>2.91</v>
      </c>
      <c r="H887" s="29" t="n">
        <v>6.49</v>
      </c>
      <c r="I887" s="30" t="n">
        <v>1</v>
      </c>
      <c r="J887" s="31" t="n">
        <f aca="false">ROUND(H887*I887,2)</f>
        <v>6.49</v>
      </c>
      <c r="L887" s="32" t="n">
        <v>7.52</v>
      </c>
      <c r="M887" s="33" t="n">
        <v>1</v>
      </c>
      <c r="N887" s="34" t="n">
        <f aca="false">ROUND(L887*M887,2)</f>
        <v>7.52</v>
      </c>
    </row>
    <row r="888" customFormat="false" ht="15" hidden="false" customHeight="false" outlineLevel="0" collapsed="false">
      <c r="A888" s="37" t="s">
        <v>269</v>
      </c>
      <c r="F888" s="38" t="n">
        <f aca="false">ROUND((SUM(F880:F887)-F887)*1.1+F887,2)</f>
        <v>69.1</v>
      </c>
      <c r="J888" s="39" t="n">
        <f aca="false">ROUND(SUM(J880:J887),2)</f>
        <v>136.69</v>
      </c>
      <c r="N888" s="40" t="n">
        <f aca="false">ROUND(SUM(N880:N887),2)</f>
        <v>157.74</v>
      </c>
    </row>
    <row r="889" customFormat="false" ht="15" hidden="false" customHeight="false" outlineLevel="0" collapsed="false">
      <c r="A889" s="15" t="s">
        <v>270</v>
      </c>
      <c r="B889" s="41" t="n">
        <f aca="false">IF((F882+F880+F884+F881+F883)=0,"",((F882+F880+F884+F881+F883)-(B882*D882+B880*D880+B884*D884+B881*D881+B883*D883))/(F882+F880+F884+F881+F883))</f>
        <v>0.109579418225039</v>
      </c>
      <c r="D889" s="42" t="str">
        <f aca="false">IF(B889="","SIN PC",IF(B889&gt;=Detalle!$G$1,"APROBAR",IF(B889&gt;=0.2,"REVISAR","RECHAZAR")))</f>
        <v>RECHAZAR</v>
      </c>
      <c r="E889" s="42"/>
      <c r="F889" s="42"/>
    </row>
    <row r="891" customFormat="false" ht="15" hidden="false" customHeight="false" outlineLevel="0" collapsed="false">
      <c r="A891" s="11" t="s">
        <v>635</v>
      </c>
      <c r="B891" s="11"/>
      <c r="C891" s="11"/>
      <c r="D891" s="11"/>
      <c r="E891" s="11"/>
      <c r="F891" s="11"/>
      <c r="H891" s="11" t="s">
        <v>636</v>
      </c>
      <c r="I891" s="11"/>
      <c r="J891" s="11"/>
      <c r="K891" s="11"/>
      <c r="L891" s="11"/>
      <c r="M891" s="11"/>
      <c r="N891" s="11"/>
      <c r="P891" s="14" t="s">
        <v>246</v>
      </c>
    </row>
    <row r="892" customFormat="false" ht="15" hidden="false" customHeight="false" outlineLevel="0" collapsed="false">
      <c r="A892" s="15" t="s">
        <v>247</v>
      </c>
      <c r="B892" s="16" t="s">
        <v>248</v>
      </c>
      <c r="C892" s="17"/>
      <c r="D892" s="17"/>
      <c r="E892" s="17"/>
      <c r="F892" s="17"/>
      <c r="H892" s="18" t="s">
        <v>637</v>
      </c>
      <c r="I892" s="19"/>
      <c r="J892" s="19"/>
      <c r="L892" s="20" t="s">
        <v>638</v>
      </c>
      <c r="M892" s="21"/>
      <c r="N892" s="21"/>
      <c r="P892" s="14" t="s">
        <v>639</v>
      </c>
    </row>
    <row r="893" customFormat="false" ht="15" hidden="false" customHeight="false" outlineLevel="0" collapsed="false">
      <c r="B893" s="3" t="s">
        <v>252</v>
      </c>
      <c r="C893" s="3" t="s">
        <v>253</v>
      </c>
      <c r="D893" s="3" t="s">
        <v>254</v>
      </c>
      <c r="E893" s="3" t="s">
        <v>255</v>
      </c>
      <c r="F893" s="3" t="s">
        <v>256</v>
      </c>
      <c r="H893" s="22" t="s">
        <v>252</v>
      </c>
      <c r="I893" s="22" t="s">
        <v>255</v>
      </c>
      <c r="J893" s="22" t="s">
        <v>256</v>
      </c>
      <c r="L893" s="23" t="s">
        <v>252</v>
      </c>
      <c r="M893" s="23" t="s">
        <v>255</v>
      </c>
      <c r="N893" s="23" t="s">
        <v>256</v>
      </c>
      <c r="P893" s="14" t="s">
        <v>640</v>
      </c>
    </row>
    <row r="894" customFormat="false" ht="15" hidden="false" customHeight="false" outlineLevel="0" collapsed="false">
      <c r="A894" s="24" t="s">
        <v>258</v>
      </c>
      <c r="B894" s="25" t="n">
        <v>5.75</v>
      </c>
      <c r="C894" s="25" t="n">
        <v>30</v>
      </c>
      <c r="D894" s="26" t="n">
        <v>3.68919</v>
      </c>
      <c r="E894" s="27" t="n">
        <v>3.85</v>
      </c>
      <c r="F894" s="28" t="n">
        <f aca="false">ROUND(B894*E894,2)</f>
        <v>22.14</v>
      </c>
      <c r="H894" s="29" t="n">
        <v>5.75</v>
      </c>
      <c r="I894" s="30" t="n">
        <v>3.85</v>
      </c>
      <c r="J894" s="31" t="n">
        <f aca="false">ROUND(H894*I894,2)</f>
        <v>22.14</v>
      </c>
      <c r="L894" s="32" t="n">
        <v>5.75</v>
      </c>
      <c r="M894" s="33" t="n">
        <v>3.85</v>
      </c>
      <c r="N894" s="34" t="n">
        <f aca="false">ROUND(L894*M894,2)</f>
        <v>22.14</v>
      </c>
      <c r="P894" s="35" t="s">
        <v>641</v>
      </c>
    </row>
    <row r="895" customFormat="false" ht="15" hidden="false" customHeight="false" outlineLevel="0" collapsed="false">
      <c r="A895" s="24" t="s">
        <v>260</v>
      </c>
      <c r="B895" s="25" t="n">
        <v>5.75</v>
      </c>
      <c r="C895" s="25" t="n">
        <v>30</v>
      </c>
      <c r="D895" s="26" t="n">
        <v>1.31928</v>
      </c>
      <c r="E895" s="27" t="n">
        <v>1.33</v>
      </c>
      <c r="F895" s="28" t="n">
        <f aca="false">ROUND(B895*E895,2)</f>
        <v>7.65</v>
      </c>
      <c r="H895" s="29" t="n">
        <v>5.75</v>
      </c>
      <c r="I895" s="30" t="n">
        <v>1.33</v>
      </c>
      <c r="J895" s="31" t="n">
        <f aca="false">ROUND(H895*I895,2)</f>
        <v>7.65</v>
      </c>
      <c r="L895" s="32" t="n">
        <v>5.75</v>
      </c>
      <c r="M895" s="33" t="n">
        <v>1.33</v>
      </c>
      <c r="N895" s="34" t="n">
        <f aca="false">ROUND(L895*M895,2)</f>
        <v>7.65</v>
      </c>
      <c r="P895" s="36" t="s">
        <v>261</v>
      </c>
    </row>
    <row r="896" customFormat="false" ht="15" hidden="false" customHeight="false" outlineLevel="0" collapsed="false">
      <c r="A896" s="24" t="s">
        <v>262</v>
      </c>
      <c r="B896" s="25" t="n">
        <v>70.476</v>
      </c>
      <c r="C896" s="25" t="n">
        <v>30</v>
      </c>
      <c r="D896" s="26" t="n">
        <v>0.111171</v>
      </c>
      <c r="E896" s="27" t="n">
        <v>0.13788</v>
      </c>
      <c r="F896" s="28" t="n">
        <f aca="false">ROUND(B896*E896,2)</f>
        <v>9.72</v>
      </c>
      <c r="H896" s="29" t="n">
        <v>78.588</v>
      </c>
      <c r="I896" s="30" t="n">
        <v>0.13788</v>
      </c>
      <c r="J896" s="31" t="n">
        <f aca="false">ROUND(H896*I896,2)</f>
        <v>10.84</v>
      </c>
      <c r="L896" s="32" t="n">
        <v>54.723</v>
      </c>
      <c r="M896" s="33" t="n">
        <v>0.13788</v>
      </c>
      <c r="N896" s="34" t="n">
        <f aca="false">ROUND(L896*M896,2)</f>
        <v>7.55</v>
      </c>
      <c r="P896" s="35" t="s">
        <v>642</v>
      </c>
    </row>
    <row r="897" customFormat="false" ht="15" hidden="false" customHeight="false" outlineLevel="0" collapsed="false">
      <c r="A897" s="24" t="s">
        <v>264</v>
      </c>
      <c r="B897" s="25" t="n">
        <v>56.161</v>
      </c>
      <c r="C897" s="25" t="n">
        <v>30</v>
      </c>
      <c r="D897" s="26" t="n">
        <v>0.111171</v>
      </c>
      <c r="E897" s="27" t="n">
        <v>0.13788</v>
      </c>
      <c r="F897" s="28" t="n">
        <f aca="false">ROUND(B897*E897,2)</f>
        <v>7.74</v>
      </c>
      <c r="H897" s="29" t="n">
        <v>64.725</v>
      </c>
      <c r="I897" s="30" t="n">
        <v>0.13788</v>
      </c>
      <c r="J897" s="31" t="n">
        <f aca="false">ROUND(H897*I897,2)</f>
        <v>8.92</v>
      </c>
      <c r="L897" s="32" t="n">
        <v>44.247</v>
      </c>
      <c r="M897" s="33" t="n">
        <v>0.13788</v>
      </c>
      <c r="N897" s="34" t="n">
        <f aca="false">ROUND(L897*M897,2)</f>
        <v>6.1</v>
      </c>
    </row>
    <row r="898" customFormat="false" ht="15" hidden="false" customHeight="false" outlineLevel="0" collapsed="false">
      <c r="A898" s="24" t="s">
        <v>265</v>
      </c>
      <c r="B898" s="25" t="n">
        <v>98.359</v>
      </c>
      <c r="C898" s="25" t="n">
        <v>30</v>
      </c>
      <c r="D898" s="26" t="n">
        <v>0.111171</v>
      </c>
      <c r="E898" s="27" t="n">
        <v>0.13788</v>
      </c>
      <c r="F898" s="28" t="n">
        <f aca="false">ROUND(B898*E898,2)</f>
        <v>13.56</v>
      </c>
      <c r="H898" s="29" t="n">
        <v>98.77</v>
      </c>
      <c r="I898" s="30" t="n">
        <v>0.13788</v>
      </c>
      <c r="J898" s="31" t="n">
        <f aca="false">ROUND(H898*I898,2)</f>
        <v>13.62</v>
      </c>
      <c r="L898" s="32" t="n">
        <v>97.561</v>
      </c>
      <c r="M898" s="33" t="n">
        <v>0.13788</v>
      </c>
      <c r="N898" s="34" t="n">
        <f aca="false">ROUND(L898*M898,2)</f>
        <v>13.45</v>
      </c>
    </row>
    <row r="899" customFormat="false" ht="15" hidden="false" customHeight="false" outlineLevel="0" collapsed="false">
      <c r="A899" s="24" t="s">
        <v>266</v>
      </c>
      <c r="B899" s="25" t="n">
        <v>1</v>
      </c>
      <c r="C899" s="25" t="n">
        <v>30</v>
      </c>
      <c r="D899" s="26" t="n">
        <v>0.7989</v>
      </c>
      <c r="E899" s="27" t="n">
        <v>3</v>
      </c>
      <c r="F899" s="28" t="n">
        <f aca="false">ROUND(B899*E899,2)</f>
        <v>3</v>
      </c>
      <c r="H899" s="29" t="n">
        <v>1</v>
      </c>
      <c r="I899" s="30" t="n">
        <v>3</v>
      </c>
      <c r="J899" s="31" t="n">
        <f aca="false">ROUND(H899*I899,2)</f>
        <v>3</v>
      </c>
      <c r="L899" s="32" t="n">
        <v>1</v>
      </c>
      <c r="M899" s="33" t="n">
        <v>3</v>
      </c>
      <c r="N899" s="34" t="n">
        <f aca="false">ROUND(L899*M899,2)</f>
        <v>3</v>
      </c>
    </row>
    <row r="900" customFormat="false" ht="15" hidden="false" customHeight="false" outlineLevel="0" collapsed="false">
      <c r="A900" s="24" t="s">
        <v>267</v>
      </c>
      <c r="B900" s="25" t="n">
        <v>30</v>
      </c>
      <c r="C900" s="25" t="n">
        <v>30</v>
      </c>
      <c r="D900" s="26" t="n">
        <v>0.5736</v>
      </c>
      <c r="E900" s="27" t="n">
        <v>0.01274</v>
      </c>
      <c r="F900" s="28" t="n">
        <f aca="false">ROUND(B900*E900,2)</f>
        <v>0.38</v>
      </c>
      <c r="H900" s="29" t="n">
        <v>30</v>
      </c>
      <c r="I900" s="30" t="n">
        <v>0.01274</v>
      </c>
      <c r="J900" s="31" t="n">
        <f aca="false">ROUND(H900*I900,2)</f>
        <v>0.38</v>
      </c>
      <c r="L900" s="32" t="n">
        <v>30</v>
      </c>
      <c r="M900" s="33" t="n">
        <v>0.00629</v>
      </c>
      <c r="N900" s="34" t="n">
        <f aca="false">ROUND(L900*M900,2)</f>
        <v>0.19</v>
      </c>
    </row>
    <row r="901" customFormat="false" ht="15" hidden="false" customHeight="false" outlineLevel="0" collapsed="false">
      <c r="A901" s="24" t="s">
        <v>268</v>
      </c>
      <c r="B901" s="25" t="n">
        <v>3.12</v>
      </c>
      <c r="C901" s="25" t="n">
        <v>30</v>
      </c>
      <c r="D901" s="26" t="n">
        <v>0.02671</v>
      </c>
      <c r="E901" s="27" t="n">
        <v>1</v>
      </c>
      <c r="F901" s="28" t="n">
        <f aca="false">ROUND(B901*E901,2)</f>
        <v>3.12</v>
      </c>
      <c r="H901" s="29" t="n">
        <v>3.24</v>
      </c>
      <c r="I901" s="30" t="n">
        <v>1</v>
      </c>
      <c r="J901" s="31" t="n">
        <f aca="false">ROUND(H901*I901,2)</f>
        <v>3.24</v>
      </c>
      <c r="L901" s="32" t="n">
        <v>2.92</v>
      </c>
      <c r="M901" s="33" t="n">
        <v>1</v>
      </c>
      <c r="N901" s="34" t="n">
        <f aca="false">ROUND(L901*M901,2)</f>
        <v>2.92</v>
      </c>
    </row>
    <row r="902" customFormat="false" ht="15" hidden="false" customHeight="false" outlineLevel="0" collapsed="false">
      <c r="A902" s="37" t="s">
        <v>269</v>
      </c>
      <c r="F902" s="38" t="n">
        <f aca="false">ROUND((SUM(F894:F901)-F901)*1.1+F901,2)</f>
        <v>73.73</v>
      </c>
      <c r="J902" s="39" t="n">
        <f aca="false">ROUND(SUM(J894:J901),2)</f>
        <v>69.79</v>
      </c>
      <c r="N902" s="40" t="n">
        <f aca="false">ROUND(SUM(N894:N901),2)</f>
        <v>63</v>
      </c>
    </row>
    <row r="903" customFormat="false" ht="15" hidden="false" customHeight="false" outlineLevel="0" collapsed="false">
      <c r="A903" s="15" t="s">
        <v>270</v>
      </c>
      <c r="B903" s="41" t="n">
        <f aca="false">IF((F896+F894+F898+F895+F897)=0,"",((F896+F894+F898+F895+F897)-(B896*D896+B894*D894+B898*D898+B895*D895+B897*D897))/(F896+F894+F898+F895+F897))</f>
        <v>0.115084150370005</v>
      </c>
      <c r="D903" s="42" t="str">
        <f aca="false">IF(B903="","SIN PC",IF(B903&gt;=Detalle!$G$1,"APROBAR",IF(B903&gt;=0.2,"REVISAR","RECHAZAR")))</f>
        <v>RECHAZAR</v>
      </c>
      <c r="E903" s="42"/>
      <c r="F903" s="42"/>
    </row>
    <row r="905" customFormat="false" ht="15" hidden="false" customHeight="false" outlineLevel="0" collapsed="false">
      <c r="A905" s="11" t="s">
        <v>643</v>
      </c>
      <c r="B905" s="11"/>
      <c r="C905" s="11"/>
      <c r="D905" s="11"/>
      <c r="E905" s="11"/>
      <c r="F905" s="11"/>
      <c r="H905" s="11" t="s">
        <v>644</v>
      </c>
      <c r="I905" s="11"/>
      <c r="J905" s="11"/>
      <c r="K905" s="11"/>
      <c r="L905" s="11"/>
      <c r="M905" s="11"/>
      <c r="N905" s="11"/>
      <c r="P905" s="14" t="s">
        <v>246</v>
      </c>
    </row>
    <row r="906" customFormat="false" ht="15" hidden="false" customHeight="false" outlineLevel="0" collapsed="false">
      <c r="A906" s="15" t="s">
        <v>247</v>
      </c>
      <c r="B906" s="16" t="s">
        <v>248</v>
      </c>
      <c r="C906" s="17"/>
      <c r="D906" s="17"/>
      <c r="E906" s="17"/>
      <c r="F906" s="17"/>
      <c r="H906" s="18" t="s">
        <v>645</v>
      </c>
      <c r="I906" s="19"/>
      <c r="J906" s="19"/>
      <c r="L906" s="20" t="s">
        <v>646</v>
      </c>
      <c r="M906" s="21"/>
      <c r="N906" s="21"/>
      <c r="P906" s="14" t="s">
        <v>647</v>
      </c>
    </row>
    <row r="907" customFormat="false" ht="15" hidden="false" customHeight="false" outlineLevel="0" collapsed="false">
      <c r="B907" s="3" t="s">
        <v>252</v>
      </c>
      <c r="C907" s="3" t="s">
        <v>253</v>
      </c>
      <c r="D907" s="3" t="s">
        <v>254</v>
      </c>
      <c r="E907" s="3" t="s">
        <v>255</v>
      </c>
      <c r="F907" s="3" t="s">
        <v>256</v>
      </c>
      <c r="H907" s="22" t="s">
        <v>252</v>
      </c>
      <c r="I907" s="22" t="s">
        <v>255</v>
      </c>
      <c r="J907" s="22" t="s">
        <v>256</v>
      </c>
      <c r="L907" s="23" t="s">
        <v>252</v>
      </c>
      <c r="M907" s="23" t="s">
        <v>255</v>
      </c>
      <c r="N907" s="23" t="s">
        <v>256</v>
      </c>
      <c r="P907" s="14" t="s">
        <v>648</v>
      </c>
    </row>
    <row r="908" customFormat="false" ht="15" hidden="false" customHeight="false" outlineLevel="0" collapsed="false">
      <c r="A908" s="24" t="s">
        <v>258</v>
      </c>
      <c r="B908" s="25" t="n">
        <v>8</v>
      </c>
      <c r="C908" s="25" t="n">
        <v>30</v>
      </c>
      <c r="D908" s="26" t="n">
        <v>3.68919</v>
      </c>
      <c r="E908" s="27" t="n">
        <v>4.17</v>
      </c>
      <c r="F908" s="28" t="n">
        <f aca="false">ROUND(B908*E908,2)</f>
        <v>33.36</v>
      </c>
      <c r="H908" s="29" t="n">
        <v>8</v>
      </c>
      <c r="I908" s="30" t="n">
        <v>4.17</v>
      </c>
      <c r="J908" s="31" t="n">
        <f aca="false">ROUND(H908*I908,2)</f>
        <v>33.36</v>
      </c>
      <c r="L908" s="32" t="n">
        <v>8</v>
      </c>
      <c r="M908" s="33" t="n">
        <v>4.17</v>
      </c>
      <c r="N908" s="34" t="n">
        <f aca="false">ROUND(L908*M908,2)</f>
        <v>33.36</v>
      </c>
      <c r="P908" s="35" t="s">
        <v>649</v>
      </c>
    </row>
    <row r="909" customFormat="false" ht="15" hidden="false" customHeight="false" outlineLevel="0" collapsed="false">
      <c r="A909" s="24" t="s">
        <v>260</v>
      </c>
      <c r="B909" s="25" t="n">
        <v>8</v>
      </c>
      <c r="C909" s="25" t="n">
        <v>30</v>
      </c>
      <c r="D909" s="26" t="n">
        <v>1.31928</v>
      </c>
      <c r="E909" s="27" t="n">
        <v>1.37</v>
      </c>
      <c r="F909" s="28" t="n">
        <f aca="false">ROUND(B909*E909,2)</f>
        <v>10.96</v>
      </c>
      <c r="H909" s="29" t="n">
        <v>8</v>
      </c>
      <c r="I909" s="30" t="n">
        <v>1.37</v>
      </c>
      <c r="J909" s="31" t="n">
        <f aca="false">ROUND(H909*I909,2)</f>
        <v>10.96</v>
      </c>
      <c r="L909" s="32" t="n">
        <v>8</v>
      </c>
      <c r="M909" s="33" t="n">
        <v>1.37</v>
      </c>
      <c r="N909" s="34" t="n">
        <f aca="false">ROUND(L909*M909,2)</f>
        <v>10.96</v>
      </c>
      <c r="P909" s="36" t="s">
        <v>261</v>
      </c>
    </row>
    <row r="910" customFormat="false" ht="15" hidden="false" customHeight="false" outlineLevel="0" collapsed="false">
      <c r="A910" s="24" t="s">
        <v>262</v>
      </c>
      <c r="B910" s="25" t="n">
        <v>18.702</v>
      </c>
      <c r="C910" s="25" t="n">
        <v>30</v>
      </c>
      <c r="D910" s="26" t="n">
        <v>0.111171</v>
      </c>
      <c r="E910" s="27" t="n">
        <v>0.14937</v>
      </c>
      <c r="F910" s="28" t="n">
        <f aca="false">ROUND(B910*E910,2)</f>
        <v>2.79</v>
      </c>
      <c r="H910" s="29" t="n">
        <v>10.161</v>
      </c>
      <c r="I910" s="30" t="n">
        <v>0.14937</v>
      </c>
      <c r="J910" s="31" t="n">
        <f aca="false">ROUND(H910*I910,2)</f>
        <v>1.52</v>
      </c>
      <c r="L910" s="32" t="n">
        <v>16.125</v>
      </c>
      <c r="M910" s="33" t="n">
        <v>0.14937</v>
      </c>
      <c r="N910" s="34" t="n">
        <f aca="false">ROUND(L910*M910,2)</f>
        <v>2.41</v>
      </c>
      <c r="P910" s="35" t="s">
        <v>650</v>
      </c>
    </row>
    <row r="911" customFormat="false" ht="15" hidden="false" customHeight="false" outlineLevel="0" collapsed="false">
      <c r="A911" s="24" t="s">
        <v>264</v>
      </c>
      <c r="B911" s="25" t="n">
        <v>11.327</v>
      </c>
      <c r="C911" s="25" t="n">
        <v>30</v>
      </c>
      <c r="D911" s="26" t="n">
        <v>0.111171</v>
      </c>
      <c r="E911" s="27" t="n">
        <v>0.14937</v>
      </c>
      <c r="F911" s="28" t="n">
        <f aca="false">ROUND(B911*E911,2)</f>
        <v>1.69</v>
      </c>
      <c r="H911" s="29" t="n">
        <v>5.62</v>
      </c>
      <c r="I911" s="30" t="n">
        <v>0.14937</v>
      </c>
      <c r="J911" s="31" t="n">
        <f aca="false">ROUND(H911*I911,2)</f>
        <v>0.84</v>
      </c>
      <c r="L911" s="32" t="n">
        <v>32.41</v>
      </c>
      <c r="M911" s="33" t="n">
        <v>0.14937</v>
      </c>
      <c r="N911" s="34" t="n">
        <f aca="false">ROUND(L911*M911,2)</f>
        <v>4.84</v>
      </c>
    </row>
    <row r="912" customFormat="false" ht="15" hidden="false" customHeight="false" outlineLevel="0" collapsed="false">
      <c r="A912" s="24" t="s">
        <v>265</v>
      </c>
      <c r="B912" s="25" t="n">
        <v>38.975</v>
      </c>
      <c r="C912" s="25" t="n">
        <v>30</v>
      </c>
      <c r="D912" s="26" t="n">
        <v>0.111171</v>
      </c>
      <c r="E912" s="27" t="n">
        <v>0.14937</v>
      </c>
      <c r="F912" s="28" t="n">
        <f aca="false">ROUND(B912*E912,2)</f>
        <v>5.82</v>
      </c>
      <c r="H912" s="29" t="n">
        <v>8.715</v>
      </c>
      <c r="I912" s="30" t="n">
        <v>0.14937</v>
      </c>
      <c r="J912" s="31" t="n">
        <f aca="false">ROUND(H912*I912,2)</f>
        <v>1.3</v>
      </c>
      <c r="L912" s="32" t="n">
        <v>76.933</v>
      </c>
      <c r="M912" s="33" t="n">
        <v>0.14937</v>
      </c>
      <c r="N912" s="34" t="n">
        <f aca="false">ROUND(L912*M912,2)</f>
        <v>11.49</v>
      </c>
    </row>
    <row r="913" customFormat="false" ht="15" hidden="false" customHeight="false" outlineLevel="0" collapsed="false">
      <c r="A913" s="24" t="s">
        <v>266</v>
      </c>
      <c r="B913" s="25" t="n">
        <v>1</v>
      </c>
      <c r="C913" s="25" t="n">
        <v>30</v>
      </c>
      <c r="D913" s="26" t="n">
        <v>1.3414</v>
      </c>
      <c r="E913" s="27" t="n">
        <v>4</v>
      </c>
      <c r="F913" s="28" t="n">
        <f aca="false">ROUND(B913*E913,2)</f>
        <v>4</v>
      </c>
      <c r="H913" s="29" t="n">
        <v>1</v>
      </c>
      <c r="I913" s="30" t="n">
        <v>4</v>
      </c>
      <c r="J913" s="31" t="n">
        <f aca="false">ROUND(H913*I913,2)</f>
        <v>4</v>
      </c>
      <c r="L913" s="32" t="n">
        <v>1</v>
      </c>
      <c r="M913" s="33" t="n">
        <v>4</v>
      </c>
      <c r="N913" s="34" t="n">
        <f aca="false">ROUND(L913*M913,2)</f>
        <v>4</v>
      </c>
    </row>
    <row r="914" customFormat="false" ht="15" hidden="false" customHeight="false" outlineLevel="0" collapsed="false">
      <c r="A914" s="24" t="s">
        <v>267</v>
      </c>
      <c r="B914" s="25" t="n">
        <v>30</v>
      </c>
      <c r="C914" s="25" t="n">
        <v>30</v>
      </c>
      <c r="D914" s="26" t="n">
        <v>0.5736</v>
      </c>
      <c r="E914" s="27" t="n">
        <v>0.01274</v>
      </c>
      <c r="F914" s="28" t="n">
        <f aca="false">ROUND(B914*E914,2)</f>
        <v>0.38</v>
      </c>
      <c r="H914" s="29" t="n">
        <v>30</v>
      </c>
      <c r="I914" s="30" t="n">
        <v>0.01274</v>
      </c>
      <c r="J914" s="31" t="n">
        <f aca="false">ROUND(H914*I914,2)</f>
        <v>0.38</v>
      </c>
      <c r="L914" s="32" t="n">
        <v>30</v>
      </c>
      <c r="M914" s="33" t="n">
        <v>0.00629</v>
      </c>
      <c r="N914" s="34" t="n">
        <f aca="false">ROUND(L914*M914,2)</f>
        <v>0.19</v>
      </c>
    </row>
    <row r="915" customFormat="false" ht="15" hidden="false" customHeight="false" outlineLevel="0" collapsed="false">
      <c r="A915" s="24" t="s">
        <v>268</v>
      </c>
      <c r="B915" s="25" t="n">
        <v>2.27</v>
      </c>
      <c r="C915" s="25" t="n">
        <v>30</v>
      </c>
      <c r="D915" s="26" t="n">
        <v>0.27312</v>
      </c>
      <c r="E915" s="27" t="n">
        <v>1</v>
      </c>
      <c r="F915" s="28" t="n">
        <f aca="false">ROUND(B915*E915,2)</f>
        <v>2.27</v>
      </c>
      <c r="H915" s="29" t="n">
        <v>2.27</v>
      </c>
      <c r="I915" s="30" t="n">
        <v>1</v>
      </c>
      <c r="J915" s="31" t="n">
        <f aca="false">ROUND(H915*I915,2)</f>
        <v>2.27</v>
      </c>
      <c r="L915" s="32" t="n">
        <v>2.27</v>
      </c>
      <c r="M915" s="33" t="n">
        <v>1</v>
      </c>
      <c r="N915" s="34" t="n">
        <f aca="false">ROUND(L915*M915,2)</f>
        <v>2.27</v>
      </c>
    </row>
    <row r="916" customFormat="false" ht="15" hidden="false" customHeight="false" outlineLevel="0" collapsed="false">
      <c r="A916" s="37" t="s">
        <v>269</v>
      </c>
      <c r="F916" s="38" t="n">
        <f aca="false">ROUND((SUM(F908:F915)-F915)*1.1+F915,2)</f>
        <v>67.17</v>
      </c>
      <c r="J916" s="39" t="n">
        <f aca="false">ROUND(SUM(J908:J915),2)</f>
        <v>54.63</v>
      </c>
      <c r="N916" s="40" t="n">
        <f aca="false">ROUND(SUM(N908:N915),2)</f>
        <v>69.52</v>
      </c>
    </row>
    <row r="917" customFormat="false" ht="15" hidden="false" customHeight="false" outlineLevel="0" collapsed="false">
      <c r="A917" s="15" t="s">
        <v>270</v>
      </c>
      <c r="B917" s="41" t="n">
        <f aca="false">IF((F910+F908+F912+F909+F911)=0,"",((F910+F908+F912+F909+F911)-(B910*D910+B908*D908+B912*D912+B909*D909+B911*D911))/(F910+F908+F912+F909+F911))</f>
        <v>0.125979427242768</v>
      </c>
      <c r="D917" s="42" t="str">
        <f aca="false">IF(B917="","SIN PC",IF(B917&gt;=Detalle!$G$1,"APROBAR",IF(B917&gt;=0.2,"REVISAR","RECHAZAR")))</f>
        <v>RECHAZAR</v>
      </c>
      <c r="E917" s="42"/>
      <c r="F917" s="42"/>
    </row>
    <row r="918" customFormat="false" ht="15" hidden="false" customHeight="false" outlineLevel="0" collapsed="false">
      <c r="A918" s="44" t="s">
        <v>379</v>
      </c>
      <c r="B918" s="44"/>
      <c r="C918" s="44"/>
      <c r="D918" s="44"/>
      <c r="E918" s="44"/>
      <c r="F918" s="44"/>
    </row>
    <row r="919" customFormat="false" ht="15" hidden="false" customHeight="false" outlineLevel="0" collapsed="false">
      <c r="A919" s="45" t="s">
        <v>247</v>
      </c>
      <c r="B919" s="45" t="s">
        <v>380</v>
      </c>
      <c r="D919" s="45" t="s">
        <v>381</v>
      </c>
      <c r="E919" s="45" t="s">
        <v>382</v>
      </c>
      <c r="F919" s="45" t="s">
        <v>256</v>
      </c>
    </row>
    <row r="920" customFormat="false" ht="15" hidden="false" customHeight="false" outlineLevel="0" collapsed="false">
      <c r="A920" s="46" t="s">
        <v>383</v>
      </c>
      <c r="B920" s="47" t="n">
        <v>497</v>
      </c>
      <c r="C920" s="48"/>
      <c r="D920" s="26" t="n">
        <v>0.06</v>
      </c>
      <c r="E920" s="48"/>
      <c r="F920" s="49" t="n">
        <f aca="false">ROUND(B920*D920,2)</f>
        <v>29.82</v>
      </c>
    </row>
    <row r="921" customFormat="false" ht="15" hidden="false" customHeight="false" outlineLevel="0" collapsed="false">
      <c r="A921" s="46" t="s">
        <v>384</v>
      </c>
      <c r="B921" s="48"/>
      <c r="C921" s="48"/>
      <c r="D921" s="48"/>
      <c r="E921" s="50" t="n">
        <v>0.06</v>
      </c>
      <c r="F921" s="49" t="n">
        <v>10.3</v>
      </c>
    </row>
    <row r="922" customFormat="false" ht="15" hidden="false" customHeight="false" outlineLevel="0" collapsed="false">
      <c r="A922" s="51" t="s">
        <v>385</v>
      </c>
      <c r="B922" s="48"/>
      <c r="C922" s="48"/>
      <c r="D922" s="48"/>
      <c r="E922" s="48"/>
      <c r="F922" s="52" t="n">
        <f aca="false">F920-F921</f>
        <v>19.52</v>
      </c>
    </row>
    <row r="924" customFormat="false" ht="15" hidden="false" customHeight="false" outlineLevel="0" collapsed="false">
      <c r="A924" s="11" t="s">
        <v>651</v>
      </c>
      <c r="B924" s="11"/>
      <c r="C924" s="11"/>
      <c r="D924" s="11"/>
      <c r="E924" s="11"/>
      <c r="F924" s="11"/>
      <c r="H924" s="11" t="s">
        <v>652</v>
      </c>
      <c r="I924" s="11"/>
      <c r="J924" s="11"/>
      <c r="K924" s="11"/>
      <c r="L924" s="11"/>
      <c r="M924" s="11"/>
      <c r="N924" s="11"/>
      <c r="P924" s="14" t="s">
        <v>246</v>
      </c>
    </row>
    <row r="925" customFormat="false" ht="15" hidden="false" customHeight="false" outlineLevel="0" collapsed="false">
      <c r="A925" s="15" t="s">
        <v>247</v>
      </c>
      <c r="B925" s="16" t="s">
        <v>248</v>
      </c>
      <c r="C925" s="17"/>
      <c r="D925" s="17"/>
      <c r="E925" s="17"/>
      <c r="F925" s="17"/>
      <c r="H925" s="18" t="s">
        <v>653</v>
      </c>
      <c r="I925" s="19"/>
      <c r="J925" s="19"/>
      <c r="L925" s="20" t="s">
        <v>654</v>
      </c>
      <c r="M925" s="21"/>
      <c r="N925" s="21"/>
      <c r="P925" s="14" t="s">
        <v>655</v>
      </c>
    </row>
    <row r="926" customFormat="false" ht="15" hidden="false" customHeight="false" outlineLevel="0" collapsed="false">
      <c r="B926" s="3" t="s">
        <v>252</v>
      </c>
      <c r="C926" s="3" t="s">
        <v>253</v>
      </c>
      <c r="D926" s="3" t="s">
        <v>254</v>
      </c>
      <c r="E926" s="3" t="s">
        <v>255</v>
      </c>
      <c r="F926" s="3" t="s">
        <v>256</v>
      </c>
      <c r="H926" s="22" t="s">
        <v>252</v>
      </c>
      <c r="I926" s="22" t="s">
        <v>255</v>
      </c>
      <c r="J926" s="22" t="s">
        <v>256</v>
      </c>
      <c r="L926" s="23" t="s">
        <v>252</v>
      </c>
      <c r="M926" s="23" t="s">
        <v>255</v>
      </c>
      <c r="N926" s="23" t="s">
        <v>256</v>
      </c>
      <c r="P926" s="14" t="s">
        <v>656</v>
      </c>
    </row>
    <row r="927" customFormat="false" ht="15" hidden="false" customHeight="false" outlineLevel="0" collapsed="false">
      <c r="A927" s="24" t="s">
        <v>258</v>
      </c>
      <c r="B927" s="25" t="n">
        <v>5.75</v>
      </c>
      <c r="C927" s="25" t="n">
        <v>30</v>
      </c>
      <c r="D927" s="26" t="n">
        <v>3.4086</v>
      </c>
      <c r="E927" s="27" t="n">
        <v>3.85</v>
      </c>
      <c r="F927" s="28" t="n">
        <f aca="false">ROUND(B927*E927,2)</f>
        <v>22.14</v>
      </c>
      <c r="H927" s="29" t="n">
        <v>5.75</v>
      </c>
      <c r="I927" s="30" t="n">
        <v>3.85</v>
      </c>
      <c r="J927" s="31" t="n">
        <f aca="false">ROUND(H927*I927,2)</f>
        <v>22.14</v>
      </c>
      <c r="L927" s="32" t="n">
        <v>5.75</v>
      </c>
      <c r="M927" s="33" t="n">
        <v>3.85</v>
      </c>
      <c r="N927" s="34" t="n">
        <f aca="false">ROUND(L927*M927,2)</f>
        <v>22.14</v>
      </c>
      <c r="P927" s="35" t="s">
        <v>657</v>
      </c>
    </row>
    <row r="928" customFormat="false" ht="15" hidden="false" customHeight="false" outlineLevel="0" collapsed="false">
      <c r="A928" s="24" t="s">
        <v>260</v>
      </c>
      <c r="B928" s="25" t="n">
        <v>5.75</v>
      </c>
      <c r="C928" s="25" t="n">
        <v>30</v>
      </c>
      <c r="D928" s="26" t="n">
        <v>1.09728</v>
      </c>
      <c r="E928" s="27" t="n">
        <v>1.33</v>
      </c>
      <c r="F928" s="28" t="n">
        <f aca="false">ROUND(B928*E928,2)</f>
        <v>7.65</v>
      </c>
      <c r="H928" s="29" t="n">
        <v>5.75</v>
      </c>
      <c r="I928" s="30" t="n">
        <v>1.33</v>
      </c>
      <c r="J928" s="31" t="n">
        <f aca="false">ROUND(H928*I928,2)</f>
        <v>7.65</v>
      </c>
      <c r="L928" s="32" t="n">
        <v>5.75</v>
      </c>
      <c r="M928" s="33" t="n">
        <v>1.33</v>
      </c>
      <c r="N928" s="34" t="n">
        <f aca="false">ROUND(L928*M928,2)</f>
        <v>7.65</v>
      </c>
      <c r="P928" s="36" t="s">
        <v>261</v>
      </c>
    </row>
    <row r="929" customFormat="false" ht="15" hidden="false" customHeight="false" outlineLevel="0" collapsed="false">
      <c r="A929" s="24" t="s">
        <v>262</v>
      </c>
      <c r="B929" s="25" t="n">
        <v>27.781</v>
      </c>
      <c r="C929" s="25" t="n">
        <v>30</v>
      </c>
      <c r="D929" s="26" t="n">
        <v>0.110306</v>
      </c>
      <c r="E929" s="27" t="n">
        <v>0.13788</v>
      </c>
      <c r="F929" s="28" t="n">
        <f aca="false">ROUND(B929*E929,2)</f>
        <v>3.83</v>
      </c>
      <c r="H929" s="29" t="n">
        <v>143.791</v>
      </c>
      <c r="I929" s="30" t="n">
        <v>0.13788</v>
      </c>
      <c r="J929" s="31" t="n">
        <f aca="false">ROUND(H929*I929,2)</f>
        <v>19.83</v>
      </c>
      <c r="L929" s="32" t="n">
        <v>47.398</v>
      </c>
      <c r="M929" s="33" t="n">
        <v>0.13788</v>
      </c>
      <c r="N929" s="34" t="n">
        <f aca="false">ROUND(L929*M929,2)</f>
        <v>6.54</v>
      </c>
      <c r="P929" s="35" t="s">
        <v>658</v>
      </c>
    </row>
    <row r="930" customFormat="false" ht="15" hidden="false" customHeight="false" outlineLevel="0" collapsed="false">
      <c r="A930" s="24" t="s">
        <v>264</v>
      </c>
      <c r="B930" s="25" t="n">
        <v>24.761</v>
      </c>
      <c r="C930" s="25" t="n">
        <v>30</v>
      </c>
      <c r="D930" s="26" t="n">
        <v>0.110306</v>
      </c>
      <c r="E930" s="27" t="n">
        <v>0.13788</v>
      </c>
      <c r="F930" s="28" t="n">
        <f aca="false">ROUND(B930*E930,2)</f>
        <v>3.41</v>
      </c>
      <c r="H930" s="29" t="n">
        <v>150.307</v>
      </c>
      <c r="I930" s="30" t="n">
        <v>0.13788</v>
      </c>
      <c r="J930" s="31" t="n">
        <f aca="false">ROUND(H930*I930,2)</f>
        <v>20.72</v>
      </c>
      <c r="L930" s="32" t="n">
        <v>43.539</v>
      </c>
      <c r="M930" s="33" t="n">
        <v>0.13788</v>
      </c>
      <c r="N930" s="34" t="n">
        <f aca="false">ROUND(L930*M930,2)</f>
        <v>6</v>
      </c>
    </row>
    <row r="931" customFormat="false" ht="15" hidden="false" customHeight="false" outlineLevel="0" collapsed="false">
      <c r="A931" s="24" t="s">
        <v>265</v>
      </c>
      <c r="B931" s="25" t="n">
        <v>111.032</v>
      </c>
      <c r="C931" s="25" t="n">
        <v>30</v>
      </c>
      <c r="D931" s="26" t="n">
        <v>0.110306</v>
      </c>
      <c r="E931" s="27" t="n">
        <v>0.13788</v>
      </c>
      <c r="F931" s="28" t="n">
        <f aca="false">ROUND(B931*E931,2)</f>
        <v>15.31</v>
      </c>
      <c r="H931" s="29" t="n">
        <v>318.111</v>
      </c>
      <c r="I931" s="30" t="n">
        <v>0.13788</v>
      </c>
      <c r="J931" s="31" t="n">
        <f aca="false">ROUND(H931*I931,2)</f>
        <v>43.86</v>
      </c>
      <c r="L931" s="32" t="n">
        <v>128.628</v>
      </c>
      <c r="M931" s="33" t="n">
        <v>0.13788</v>
      </c>
      <c r="N931" s="34" t="n">
        <f aca="false">ROUND(L931*M931,2)</f>
        <v>17.74</v>
      </c>
    </row>
    <row r="932" customFormat="false" ht="15" hidden="false" customHeight="false" outlineLevel="0" collapsed="false">
      <c r="A932" s="24" t="s">
        <v>266</v>
      </c>
      <c r="B932" s="25" t="n">
        <v>1</v>
      </c>
      <c r="C932" s="25" t="n">
        <v>30</v>
      </c>
      <c r="D932" s="26" t="n">
        <v>0.7989</v>
      </c>
      <c r="E932" s="27" t="n">
        <v>3</v>
      </c>
      <c r="F932" s="28" t="n">
        <f aca="false">ROUND(B932*E932,2)</f>
        <v>3</v>
      </c>
      <c r="H932" s="29" t="n">
        <v>1</v>
      </c>
      <c r="I932" s="30" t="n">
        <v>3</v>
      </c>
      <c r="J932" s="31" t="n">
        <f aca="false">ROUND(H932*I932,2)</f>
        <v>3</v>
      </c>
      <c r="L932" s="32" t="n">
        <v>1</v>
      </c>
      <c r="M932" s="33" t="n">
        <v>3</v>
      </c>
      <c r="N932" s="34" t="n">
        <f aca="false">ROUND(L932*M932,2)</f>
        <v>3</v>
      </c>
    </row>
    <row r="933" customFormat="false" ht="15" hidden="false" customHeight="false" outlineLevel="0" collapsed="false">
      <c r="A933" s="24" t="s">
        <v>267</v>
      </c>
      <c r="B933" s="25" t="n">
        <v>30</v>
      </c>
      <c r="C933" s="25" t="n">
        <v>30</v>
      </c>
      <c r="D933" s="26" t="n">
        <v>0.5736</v>
      </c>
      <c r="E933" s="27" t="n">
        <v>0.01274</v>
      </c>
      <c r="F933" s="28" t="n">
        <f aca="false">ROUND(B933*E933,2)</f>
        <v>0.38</v>
      </c>
      <c r="H933" s="29" t="n">
        <v>30</v>
      </c>
      <c r="I933" s="30" t="n">
        <v>0.01274</v>
      </c>
      <c r="J933" s="31" t="n">
        <f aca="false">ROUND(H933*I933,2)</f>
        <v>0.38</v>
      </c>
      <c r="L933" s="32" t="n">
        <v>30</v>
      </c>
      <c r="M933" s="33" t="n">
        <v>0.00629</v>
      </c>
      <c r="N933" s="34" t="n">
        <f aca="false">ROUND(L933*M933,2)</f>
        <v>0.19</v>
      </c>
    </row>
    <row r="934" customFormat="false" ht="15" hidden="false" customHeight="false" outlineLevel="0" collapsed="false">
      <c r="A934" s="24" t="s">
        <v>268</v>
      </c>
      <c r="B934" s="25" t="n">
        <v>1.53</v>
      </c>
      <c r="C934" s="25" t="n">
        <v>30</v>
      </c>
      <c r="D934" s="26" t="n">
        <v>0.24729</v>
      </c>
      <c r="E934" s="27" t="n">
        <v>1</v>
      </c>
      <c r="F934" s="28" t="n">
        <f aca="false">ROUND(B934*E934,2)</f>
        <v>1.53</v>
      </c>
      <c r="H934" s="29" t="n">
        <v>4.75</v>
      </c>
      <c r="I934" s="30" t="n">
        <v>1</v>
      </c>
      <c r="J934" s="31" t="n">
        <f aca="false">ROUND(H934*I934,2)</f>
        <v>4.75</v>
      </c>
      <c r="L934" s="32" t="n">
        <v>1.79</v>
      </c>
      <c r="M934" s="33" t="n">
        <v>1</v>
      </c>
      <c r="N934" s="34" t="n">
        <f aca="false">ROUND(L934*M934,2)</f>
        <v>1.79</v>
      </c>
    </row>
    <row r="935" customFormat="false" ht="15" hidden="false" customHeight="false" outlineLevel="0" collapsed="false">
      <c r="A935" s="37" t="s">
        <v>269</v>
      </c>
      <c r="F935" s="38" t="n">
        <f aca="false">ROUND((SUM(F927:F934)-F934)*1.1+F934,2)</f>
        <v>62.82</v>
      </c>
      <c r="J935" s="39" t="n">
        <f aca="false">ROUND(SUM(J927:J934),2)</f>
        <v>122.33</v>
      </c>
      <c r="N935" s="40" t="n">
        <f aca="false">ROUND(SUM(N927:N934),2)</f>
        <v>65.05</v>
      </c>
    </row>
    <row r="936" customFormat="false" ht="15" hidden="false" customHeight="false" outlineLevel="0" collapsed="false">
      <c r="A936" s="15" t="s">
        <v>270</v>
      </c>
      <c r="B936" s="41" t="n">
        <f aca="false">IF((F929+F927+F931+F928+F930)=0,"",((F929+F927+F931+F928+F930)-(B929*D929+B927*D927+B931*D931+B928*D928+B930*D930))/(F929+F927+F931+F928+F930))</f>
        <v>0.160259769889186</v>
      </c>
      <c r="D936" s="42" t="str">
        <f aca="false">IF(B936="","SIN PC",IF(B936&gt;=Detalle!$G$1,"APROBAR",IF(B936&gt;=0.2,"REVISAR","RECHAZAR")))</f>
        <v>RECHAZAR</v>
      </c>
      <c r="E936" s="42"/>
      <c r="F936" s="42"/>
    </row>
    <row r="937" customFormat="false" ht="15" hidden="false" customHeight="false" outlineLevel="0" collapsed="false">
      <c r="A937" s="44" t="s">
        <v>379</v>
      </c>
      <c r="B937" s="44"/>
      <c r="C937" s="44"/>
      <c r="D937" s="44"/>
      <c r="E937" s="44"/>
      <c r="F937" s="44"/>
    </row>
    <row r="938" customFormat="false" ht="15" hidden="false" customHeight="false" outlineLevel="0" collapsed="false">
      <c r="A938" s="45" t="s">
        <v>247</v>
      </c>
      <c r="B938" s="45" t="s">
        <v>380</v>
      </c>
      <c r="D938" s="45" t="s">
        <v>381</v>
      </c>
      <c r="E938" s="45" t="s">
        <v>382</v>
      </c>
      <c r="F938" s="45" t="s">
        <v>256</v>
      </c>
    </row>
    <row r="939" customFormat="false" ht="15" hidden="false" customHeight="false" outlineLevel="0" collapsed="false">
      <c r="A939" s="46" t="s">
        <v>383</v>
      </c>
      <c r="B939" s="47" t="n">
        <v>696</v>
      </c>
      <c r="C939" s="48"/>
      <c r="D939" s="26" t="n">
        <v>0.06</v>
      </c>
      <c r="E939" s="48"/>
      <c r="F939" s="49" t="n">
        <f aca="false">ROUND(B939*D939,2)</f>
        <v>41.76</v>
      </c>
    </row>
    <row r="940" customFormat="false" ht="15" hidden="false" customHeight="false" outlineLevel="0" collapsed="false">
      <c r="A940" s="46" t="s">
        <v>384</v>
      </c>
      <c r="B940" s="48"/>
      <c r="C940" s="48"/>
      <c r="D940" s="48"/>
      <c r="E940" s="50" t="n">
        <v>0.06</v>
      </c>
      <c r="F940" s="49" t="n">
        <v>22.55</v>
      </c>
    </row>
    <row r="941" customFormat="false" ht="15" hidden="false" customHeight="false" outlineLevel="0" collapsed="false">
      <c r="A941" s="51" t="s">
        <v>385</v>
      </c>
      <c r="B941" s="48"/>
      <c r="C941" s="48"/>
      <c r="D941" s="48"/>
      <c r="E941" s="48"/>
      <c r="F941" s="52" t="n">
        <f aca="false">F939-F940</f>
        <v>19.21</v>
      </c>
    </row>
    <row r="943" customFormat="false" ht="15" hidden="false" customHeight="false" outlineLevel="0" collapsed="false">
      <c r="A943" s="11" t="s">
        <v>659</v>
      </c>
      <c r="B943" s="11"/>
      <c r="C943" s="11"/>
      <c r="D943" s="11"/>
      <c r="E943" s="11"/>
      <c r="F943" s="11"/>
      <c r="H943" s="11" t="s">
        <v>660</v>
      </c>
      <c r="I943" s="11"/>
      <c r="J943" s="11"/>
      <c r="K943" s="11"/>
      <c r="L943" s="11"/>
      <c r="M943" s="11"/>
      <c r="N943" s="11"/>
      <c r="P943" s="14" t="s">
        <v>246</v>
      </c>
    </row>
    <row r="944" customFormat="false" ht="15" hidden="false" customHeight="false" outlineLevel="0" collapsed="false">
      <c r="A944" s="15" t="s">
        <v>247</v>
      </c>
      <c r="B944" s="16" t="s">
        <v>248</v>
      </c>
      <c r="C944" s="17"/>
      <c r="D944" s="17"/>
      <c r="E944" s="17"/>
      <c r="F944" s="17"/>
      <c r="H944" s="18" t="s">
        <v>661</v>
      </c>
      <c r="I944" s="19"/>
      <c r="J944" s="19"/>
      <c r="L944" s="20" t="s">
        <v>662</v>
      </c>
      <c r="M944" s="21"/>
      <c r="N944" s="21"/>
      <c r="P944" s="14" t="s">
        <v>663</v>
      </c>
    </row>
    <row r="945" customFormat="false" ht="15" hidden="false" customHeight="false" outlineLevel="0" collapsed="false">
      <c r="B945" s="3" t="s">
        <v>252</v>
      </c>
      <c r="C945" s="3" t="s">
        <v>253</v>
      </c>
      <c r="D945" s="3" t="s">
        <v>254</v>
      </c>
      <c r="E945" s="3" t="s">
        <v>255</v>
      </c>
      <c r="F945" s="3" t="s">
        <v>256</v>
      </c>
      <c r="H945" s="22" t="s">
        <v>252</v>
      </c>
      <c r="I945" s="22" t="s">
        <v>255</v>
      </c>
      <c r="J945" s="22" t="s">
        <v>256</v>
      </c>
      <c r="L945" s="23" t="s">
        <v>252</v>
      </c>
      <c r="M945" s="23" t="s">
        <v>255</v>
      </c>
      <c r="N945" s="23" t="s">
        <v>256</v>
      </c>
      <c r="P945" s="14" t="s">
        <v>664</v>
      </c>
    </row>
    <row r="946" customFormat="false" ht="15" hidden="false" customHeight="false" outlineLevel="0" collapsed="false">
      <c r="A946" s="24" t="s">
        <v>258</v>
      </c>
      <c r="B946" s="25" t="n">
        <v>6.9</v>
      </c>
      <c r="C946" s="25" t="n">
        <v>30</v>
      </c>
      <c r="D946" s="26" t="n">
        <v>3.68919</v>
      </c>
      <c r="E946" s="27" t="n">
        <v>3.85</v>
      </c>
      <c r="F946" s="28" t="n">
        <f aca="false">ROUND(B946*E946,2)</f>
        <v>26.57</v>
      </c>
      <c r="H946" s="29" t="n">
        <v>6.9</v>
      </c>
      <c r="I946" s="30" t="n">
        <v>3.85</v>
      </c>
      <c r="J946" s="31" t="n">
        <f aca="false">ROUND(H946*I946,2)</f>
        <v>26.57</v>
      </c>
      <c r="L946" s="32" t="n">
        <v>6.9</v>
      </c>
      <c r="M946" s="33" t="n">
        <v>3.85</v>
      </c>
      <c r="N946" s="34" t="n">
        <f aca="false">ROUND(L946*M946,2)</f>
        <v>26.57</v>
      </c>
      <c r="P946" s="35" t="s">
        <v>665</v>
      </c>
    </row>
    <row r="947" customFormat="false" ht="15" hidden="false" customHeight="false" outlineLevel="0" collapsed="false">
      <c r="A947" s="24" t="s">
        <v>260</v>
      </c>
      <c r="B947" s="25" t="n">
        <v>6.9</v>
      </c>
      <c r="C947" s="25" t="n">
        <v>30</v>
      </c>
      <c r="D947" s="26" t="n">
        <v>1.31928</v>
      </c>
      <c r="E947" s="27" t="n">
        <v>1.33</v>
      </c>
      <c r="F947" s="28" t="n">
        <f aca="false">ROUND(B947*E947,2)</f>
        <v>9.18</v>
      </c>
      <c r="H947" s="29" t="n">
        <v>6.9</v>
      </c>
      <c r="I947" s="30" t="n">
        <v>1.33</v>
      </c>
      <c r="J947" s="31" t="n">
        <f aca="false">ROUND(H947*I947,2)</f>
        <v>9.18</v>
      </c>
      <c r="L947" s="32" t="n">
        <v>6.9</v>
      </c>
      <c r="M947" s="33" t="n">
        <v>1.33</v>
      </c>
      <c r="N947" s="34" t="n">
        <f aca="false">ROUND(L947*M947,2)</f>
        <v>9.18</v>
      </c>
      <c r="P947" s="36" t="s">
        <v>261</v>
      </c>
    </row>
    <row r="948" customFormat="false" ht="15" hidden="false" customHeight="false" outlineLevel="0" collapsed="false">
      <c r="A948" s="24" t="s">
        <v>262</v>
      </c>
      <c r="B948" s="25" t="n">
        <v>136.763</v>
      </c>
      <c r="C948" s="25" t="n">
        <v>30</v>
      </c>
      <c r="D948" s="26" t="n">
        <v>0.111171</v>
      </c>
      <c r="E948" s="27" t="n">
        <v>0.13788</v>
      </c>
      <c r="F948" s="28" t="n">
        <f aca="false">ROUND(B948*E948,2)</f>
        <v>18.86</v>
      </c>
      <c r="H948" s="29" t="n">
        <v>139.124</v>
      </c>
      <c r="I948" s="30" t="n">
        <v>0.13788</v>
      </c>
      <c r="J948" s="31" t="n">
        <f aca="false">ROUND(H948*I948,2)</f>
        <v>19.18</v>
      </c>
      <c r="L948" s="32" t="n">
        <v>132.822</v>
      </c>
      <c r="M948" s="33" t="n">
        <v>0.13788</v>
      </c>
      <c r="N948" s="34" t="n">
        <f aca="false">ROUND(L948*M948,2)</f>
        <v>18.31</v>
      </c>
      <c r="P948" s="35" t="s">
        <v>666</v>
      </c>
    </row>
    <row r="949" customFormat="false" ht="15" hidden="false" customHeight="false" outlineLevel="0" collapsed="false">
      <c r="A949" s="24" t="s">
        <v>264</v>
      </c>
      <c r="B949" s="25" t="n">
        <v>148.395</v>
      </c>
      <c r="C949" s="25" t="n">
        <v>30</v>
      </c>
      <c r="D949" s="26" t="n">
        <v>0.111171</v>
      </c>
      <c r="E949" s="27" t="n">
        <v>0.13788</v>
      </c>
      <c r="F949" s="28" t="n">
        <f aca="false">ROUND(B949*E949,2)</f>
        <v>20.46</v>
      </c>
      <c r="H949" s="29" t="n">
        <v>191.742</v>
      </c>
      <c r="I949" s="30" t="n">
        <v>0.13788</v>
      </c>
      <c r="J949" s="31" t="n">
        <f aca="false">ROUND(H949*I949,2)</f>
        <v>26.44</v>
      </c>
      <c r="L949" s="32" t="n">
        <v>135.016</v>
      </c>
      <c r="M949" s="33" t="n">
        <v>0.13788</v>
      </c>
      <c r="N949" s="34" t="n">
        <f aca="false">ROUND(L949*M949,2)</f>
        <v>18.62</v>
      </c>
    </row>
    <row r="950" customFormat="false" ht="15" hidden="false" customHeight="false" outlineLevel="0" collapsed="false">
      <c r="A950" s="24" t="s">
        <v>265</v>
      </c>
      <c r="B950" s="25" t="n">
        <v>269.07</v>
      </c>
      <c r="C950" s="25" t="n">
        <v>30</v>
      </c>
      <c r="D950" s="26" t="n">
        <v>0.111171</v>
      </c>
      <c r="E950" s="27" t="n">
        <v>0.13788</v>
      </c>
      <c r="F950" s="28" t="n">
        <f aca="false">ROUND(B950*E950,2)</f>
        <v>37.1</v>
      </c>
      <c r="H950" s="29" t="n">
        <v>358.561</v>
      </c>
      <c r="I950" s="30" t="n">
        <v>0.13788</v>
      </c>
      <c r="J950" s="31" t="n">
        <f aca="false">ROUND(H950*I950,2)</f>
        <v>49.44</v>
      </c>
      <c r="L950" s="32" t="n">
        <v>286.383</v>
      </c>
      <c r="M950" s="33" t="n">
        <v>0.13788</v>
      </c>
      <c r="N950" s="34" t="n">
        <f aca="false">ROUND(L950*M950,2)</f>
        <v>39.49</v>
      </c>
    </row>
    <row r="951" customFormat="false" ht="15" hidden="false" customHeight="false" outlineLevel="0" collapsed="false">
      <c r="A951" s="24" t="s">
        <v>266</v>
      </c>
      <c r="B951" s="25" t="n">
        <v>1</v>
      </c>
      <c r="C951" s="25" t="n">
        <v>30</v>
      </c>
      <c r="D951" s="26" t="n">
        <v>0.7989</v>
      </c>
      <c r="E951" s="27" t="n">
        <v>3</v>
      </c>
      <c r="F951" s="28" t="n">
        <f aca="false">ROUND(B951*E951,2)</f>
        <v>3</v>
      </c>
      <c r="H951" s="29" t="n">
        <v>1</v>
      </c>
      <c r="I951" s="30" t="n">
        <v>3</v>
      </c>
      <c r="J951" s="31" t="n">
        <f aca="false">ROUND(H951*I951,2)</f>
        <v>3</v>
      </c>
      <c r="L951" s="32" t="n">
        <v>1</v>
      </c>
      <c r="M951" s="33" t="n">
        <v>3</v>
      </c>
      <c r="N951" s="34" t="n">
        <f aca="false">ROUND(L951*M951,2)</f>
        <v>3</v>
      </c>
    </row>
    <row r="952" customFormat="false" ht="15" hidden="false" customHeight="false" outlineLevel="0" collapsed="false">
      <c r="A952" s="24" t="s">
        <v>267</v>
      </c>
      <c r="B952" s="25" t="n">
        <v>30</v>
      </c>
      <c r="C952" s="25" t="n">
        <v>30</v>
      </c>
      <c r="D952" s="26" t="n">
        <v>0.5736</v>
      </c>
      <c r="E952" s="27" t="n">
        <v>0.01274</v>
      </c>
      <c r="F952" s="28" t="n">
        <f aca="false">ROUND(B952*E952,2)</f>
        <v>0.38</v>
      </c>
      <c r="H952" s="29" t="n">
        <v>30</v>
      </c>
      <c r="I952" s="30" t="n">
        <v>0.01274</v>
      </c>
      <c r="J952" s="31" t="n">
        <f aca="false">ROUND(H952*I952,2)</f>
        <v>0.38</v>
      </c>
      <c r="L952" s="32" t="n">
        <v>30</v>
      </c>
      <c r="M952" s="33" t="n">
        <v>0.00629</v>
      </c>
      <c r="N952" s="34" t="n">
        <f aca="false">ROUND(L952*M952,2)</f>
        <v>0.19</v>
      </c>
    </row>
    <row r="953" customFormat="false" ht="15" hidden="false" customHeight="false" outlineLevel="0" collapsed="false">
      <c r="A953" s="24" t="s">
        <v>268</v>
      </c>
      <c r="B953" s="25" t="n">
        <v>5.74</v>
      </c>
      <c r="C953" s="25" t="n">
        <v>30</v>
      </c>
      <c r="D953" s="26" t="n">
        <v>0.27312</v>
      </c>
      <c r="E953" s="27" t="n">
        <v>1</v>
      </c>
      <c r="F953" s="28" t="n">
        <f aca="false">ROUND(B953*E953,2)</f>
        <v>5.74</v>
      </c>
      <c r="H953" s="29" t="n">
        <v>6.69</v>
      </c>
      <c r="I953" s="30" t="n">
        <v>1</v>
      </c>
      <c r="J953" s="31" t="n">
        <f aca="false">ROUND(H953*I953,2)</f>
        <v>6.69</v>
      </c>
      <c r="L953" s="32" t="n">
        <v>5.74</v>
      </c>
      <c r="M953" s="33" t="n">
        <v>1</v>
      </c>
      <c r="N953" s="34" t="n">
        <f aca="false">ROUND(L953*M953,2)</f>
        <v>5.74</v>
      </c>
    </row>
    <row r="954" customFormat="false" ht="15" hidden="false" customHeight="false" outlineLevel="0" collapsed="false">
      <c r="A954" s="37" t="s">
        <v>269</v>
      </c>
      <c r="F954" s="38" t="n">
        <f aca="false">ROUND((SUM(F946:F953)-F953)*1.1+F953,2)</f>
        <v>132.85</v>
      </c>
      <c r="J954" s="39" t="n">
        <f aca="false">ROUND(SUM(J946:J953),2)</f>
        <v>140.88</v>
      </c>
      <c r="N954" s="40" t="n">
        <f aca="false">ROUND(SUM(N946:N953),2)</f>
        <v>121.1</v>
      </c>
    </row>
    <row r="955" customFormat="false" ht="15" hidden="false" customHeight="false" outlineLevel="0" collapsed="false">
      <c r="A955" s="15" t="s">
        <v>270</v>
      </c>
      <c r="B955" s="41" t="n">
        <f aca="false">IF((F948+F946+F950+F947+F949)=0,"",((F948+F946+F950+F947+F949)-(B948*D948+B946*D946+B950*D950+B947*D947+B949*D949))/(F948+F946+F950+F947+F949))</f>
        <v>0.142618133297673</v>
      </c>
      <c r="D955" s="42" t="str">
        <f aca="false">IF(B955="","SIN PC",IF(B955&gt;=Detalle!$G$1,"APROBAR",IF(B955&gt;=0.2,"REVISAR","RECHAZAR")))</f>
        <v>RECHAZAR</v>
      </c>
      <c r="E955" s="42"/>
      <c r="F955" s="42"/>
    </row>
    <row r="957" customFormat="false" ht="15" hidden="false" customHeight="false" outlineLevel="0" collapsed="false">
      <c r="A957" s="11" t="s">
        <v>667</v>
      </c>
      <c r="B957" s="11"/>
      <c r="C957" s="11"/>
      <c r="D957" s="11"/>
      <c r="E957" s="11"/>
      <c r="F957" s="11"/>
      <c r="H957" s="11" t="s">
        <v>668</v>
      </c>
      <c r="I957" s="11"/>
      <c r="J957" s="11"/>
      <c r="K957" s="11"/>
      <c r="L957" s="11"/>
      <c r="M957" s="11"/>
      <c r="N957" s="11"/>
      <c r="P957" s="14" t="s">
        <v>246</v>
      </c>
    </row>
    <row r="958" customFormat="false" ht="15" hidden="false" customHeight="false" outlineLevel="0" collapsed="false">
      <c r="A958" s="15" t="s">
        <v>247</v>
      </c>
      <c r="B958" s="16" t="s">
        <v>248</v>
      </c>
      <c r="C958" s="17"/>
      <c r="D958" s="17"/>
      <c r="E958" s="17"/>
      <c r="F958" s="17"/>
      <c r="H958" s="18" t="s">
        <v>669</v>
      </c>
      <c r="I958" s="19"/>
      <c r="J958" s="19"/>
      <c r="L958" s="20" t="s">
        <v>670</v>
      </c>
      <c r="M958" s="21"/>
      <c r="N958" s="21"/>
      <c r="P958" s="14" t="s">
        <v>671</v>
      </c>
    </row>
    <row r="959" customFormat="false" ht="15" hidden="false" customHeight="false" outlineLevel="0" collapsed="false">
      <c r="B959" s="3" t="s">
        <v>252</v>
      </c>
      <c r="C959" s="3" t="s">
        <v>253</v>
      </c>
      <c r="D959" s="3" t="s">
        <v>254</v>
      </c>
      <c r="E959" s="3" t="s">
        <v>255</v>
      </c>
      <c r="F959" s="3" t="s">
        <v>256</v>
      </c>
      <c r="H959" s="22" t="s">
        <v>252</v>
      </c>
      <c r="I959" s="22" t="s">
        <v>255</v>
      </c>
      <c r="J959" s="22" t="s">
        <v>256</v>
      </c>
      <c r="L959" s="23" t="s">
        <v>252</v>
      </c>
      <c r="M959" s="23" t="s">
        <v>255</v>
      </c>
      <c r="N959" s="23" t="s">
        <v>256</v>
      </c>
      <c r="P959" s="14" t="s">
        <v>672</v>
      </c>
    </row>
    <row r="960" customFormat="false" ht="15" hidden="false" customHeight="false" outlineLevel="0" collapsed="false">
      <c r="A960" s="24" t="s">
        <v>258</v>
      </c>
      <c r="B960" s="25" t="n">
        <v>6.9</v>
      </c>
      <c r="C960" s="25" t="n">
        <v>30</v>
      </c>
      <c r="D960" s="26" t="n">
        <v>3.4086</v>
      </c>
      <c r="E960" s="27" t="n">
        <v>4.17</v>
      </c>
      <c r="F960" s="28" t="n">
        <f aca="false">ROUND(B960*E960,2)</f>
        <v>28.77</v>
      </c>
      <c r="H960" s="29" t="n">
        <v>6.9</v>
      </c>
      <c r="I960" s="30" t="n">
        <v>4.17</v>
      </c>
      <c r="J960" s="31" t="n">
        <f aca="false">ROUND(H960*I960,2)</f>
        <v>28.77</v>
      </c>
      <c r="L960" s="32" t="n">
        <v>6.9</v>
      </c>
      <c r="M960" s="33" t="n">
        <v>4.17</v>
      </c>
      <c r="N960" s="34" t="n">
        <f aca="false">ROUND(L960*M960,2)</f>
        <v>28.77</v>
      </c>
      <c r="P960" s="35" t="s">
        <v>673</v>
      </c>
    </row>
    <row r="961" customFormat="false" ht="15" hidden="false" customHeight="false" outlineLevel="0" collapsed="false">
      <c r="A961" s="24" t="s">
        <v>260</v>
      </c>
      <c r="B961" s="25" t="n">
        <v>6.9</v>
      </c>
      <c r="C961" s="25" t="n">
        <v>30</v>
      </c>
      <c r="D961" s="26" t="n">
        <v>1.09728</v>
      </c>
      <c r="E961" s="27" t="n">
        <v>1.37</v>
      </c>
      <c r="F961" s="28" t="n">
        <f aca="false">ROUND(B961*E961,2)</f>
        <v>9.45</v>
      </c>
      <c r="H961" s="29" t="n">
        <v>6.9</v>
      </c>
      <c r="I961" s="30" t="n">
        <v>1.37</v>
      </c>
      <c r="J961" s="31" t="n">
        <f aca="false">ROUND(H961*I961,2)</f>
        <v>9.45</v>
      </c>
      <c r="L961" s="32" t="n">
        <v>6.9</v>
      </c>
      <c r="M961" s="33" t="n">
        <v>1.37</v>
      </c>
      <c r="N961" s="34" t="n">
        <f aca="false">ROUND(L961*M961,2)</f>
        <v>9.45</v>
      </c>
      <c r="P961" s="36" t="s">
        <v>261</v>
      </c>
    </row>
    <row r="962" customFormat="false" ht="15" hidden="false" customHeight="false" outlineLevel="0" collapsed="false">
      <c r="A962" s="24" t="s">
        <v>262</v>
      </c>
      <c r="B962" s="25" t="n">
        <v>104.446</v>
      </c>
      <c r="C962" s="25" t="n">
        <v>30</v>
      </c>
      <c r="D962" s="26" t="n">
        <v>0.110306</v>
      </c>
      <c r="E962" s="27" t="n">
        <v>0.14937</v>
      </c>
      <c r="F962" s="28" t="n">
        <f aca="false">ROUND(B962*E962,2)</f>
        <v>15.6</v>
      </c>
      <c r="H962" s="29" t="n">
        <v>270.046</v>
      </c>
      <c r="I962" s="30" t="n">
        <v>0.14937</v>
      </c>
      <c r="J962" s="31" t="n">
        <f aca="false">ROUND(H962*I962,2)</f>
        <v>40.34</v>
      </c>
      <c r="L962" s="32" t="n">
        <v>94.717</v>
      </c>
      <c r="M962" s="33" t="n">
        <v>0.14937</v>
      </c>
      <c r="N962" s="34" t="n">
        <f aca="false">ROUND(L962*M962,2)</f>
        <v>14.15</v>
      </c>
      <c r="P962" s="35" t="s">
        <v>674</v>
      </c>
    </row>
    <row r="963" customFormat="false" ht="15" hidden="false" customHeight="false" outlineLevel="0" collapsed="false">
      <c r="A963" s="24" t="s">
        <v>264</v>
      </c>
      <c r="B963" s="25" t="n">
        <v>73.601</v>
      </c>
      <c r="C963" s="25" t="n">
        <v>30</v>
      </c>
      <c r="D963" s="26" t="n">
        <v>0.110306</v>
      </c>
      <c r="E963" s="27" t="n">
        <v>0.14937</v>
      </c>
      <c r="F963" s="28" t="n">
        <f aca="false">ROUND(B963*E963,2)</f>
        <v>10.99</v>
      </c>
      <c r="H963" s="29" t="n">
        <v>255.747</v>
      </c>
      <c r="I963" s="30" t="n">
        <v>0.14937</v>
      </c>
      <c r="J963" s="31" t="n">
        <f aca="false">ROUND(H963*I963,2)</f>
        <v>38.2</v>
      </c>
      <c r="L963" s="32" t="n">
        <v>78.591</v>
      </c>
      <c r="M963" s="33" t="n">
        <v>0.14937</v>
      </c>
      <c r="N963" s="34" t="n">
        <f aca="false">ROUND(L963*M963,2)</f>
        <v>11.74</v>
      </c>
    </row>
    <row r="964" customFormat="false" ht="15" hidden="false" customHeight="false" outlineLevel="0" collapsed="false">
      <c r="A964" s="24" t="s">
        <v>265</v>
      </c>
      <c r="B964" s="25" t="n">
        <v>227.26</v>
      </c>
      <c r="C964" s="25" t="n">
        <v>30</v>
      </c>
      <c r="D964" s="26" t="n">
        <v>0.110306</v>
      </c>
      <c r="E964" s="27" t="n">
        <v>0.14937</v>
      </c>
      <c r="F964" s="28" t="n">
        <f aca="false">ROUND(B964*E964,2)</f>
        <v>33.95</v>
      </c>
      <c r="H964" s="29" t="n">
        <v>369.092</v>
      </c>
      <c r="I964" s="30" t="n">
        <v>0.14937</v>
      </c>
      <c r="J964" s="31" t="n">
        <f aca="false">ROUND(H964*I964,2)</f>
        <v>55.13</v>
      </c>
      <c r="L964" s="32" t="n">
        <v>160.305</v>
      </c>
      <c r="M964" s="33" t="n">
        <v>0.14937</v>
      </c>
      <c r="N964" s="34" t="n">
        <f aca="false">ROUND(L964*M964,2)</f>
        <v>23.94</v>
      </c>
    </row>
    <row r="965" customFormat="false" ht="15" hidden="false" customHeight="false" outlineLevel="0" collapsed="false">
      <c r="A965" s="24" t="s">
        <v>266</v>
      </c>
      <c r="B965" s="25" t="n">
        <v>1</v>
      </c>
      <c r="C965" s="25" t="n">
        <v>30</v>
      </c>
      <c r="D965" s="26" t="n">
        <v>0.7989</v>
      </c>
      <c r="E965" s="27" t="n">
        <v>4</v>
      </c>
      <c r="F965" s="28" t="n">
        <f aca="false">ROUND(B965*E965,2)</f>
        <v>4</v>
      </c>
      <c r="H965" s="29" t="n">
        <v>1</v>
      </c>
      <c r="I965" s="30" t="n">
        <v>4</v>
      </c>
      <c r="J965" s="31" t="n">
        <f aca="false">ROUND(H965*I965,2)</f>
        <v>4</v>
      </c>
      <c r="L965" s="32" t="n">
        <v>1</v>
      </c>
      <c r="M965" s="33" t="n">
        <v>4</v>
      </c>
      <c r="N965" s="34" t="n">
        <f aca="false">ROUND(L965*M965,2)</f>
        <v>4</v>
      </c>
    </row>
    <row r="966" customFormat="false" ht="15" hidden="false" customHeight="false" outlineLevel="0" collapsed="false">
      <c r="A966" s="24" t="s">
        <v>267</v>
      </c>
      <c r="B966" s="25" t="n">
        <v>30</v>
      </c>
      <c r="C966" s="25" t="n">
        <v>30</v>
      </c>
      <c r="D966" s="26" t="n">
        <v>0.5736</v>
      </c>
      <c r="E966" s="27" t="n">
        <v>0.01274</v>
      </c>
      <c r="F966" s="28" t="n">
        <f aca="false">ROUND(B966*E966,2)</f>
        <v>0.38</v>
      </c>
      <c r="H966" s="29" t="n">
        <v>30</v>
      </c>
      <c r="I966" s="30" t="n">
        <v>0.01274</v>
      </c>
      <c r="J966" s="31" t="n">
        <f aca="false">ROUND(H966*I966,2)</f>
        <v>0.38</v>
      </c>
      <c r="L966" s="32" t="n">
        <v>30</v>
      </c>
      <c r="M966" s="33" t="n">
        <v>0.00629</v>
      </c>
      <c r="N966" s="34" t="n">
        <f aca="false">ROUND(L966*M966,2)</f>
        <v>0.19</v>
      </c>
    </row>
    <row r="967" customFormat="false" ht="15" hidden="false" customHeight="false" outlineLevel="0" collapsed="false">
      <c r="A967" s="24" t="s">
        <v>268</v>
      </c>
      <c r="B967" s="25" t="n">
        <v>4.34</v>
      </c>
      <c r="C967" s="25" t="n">
        <v>30</v>
      </c>
      <c r="D967" s="26" t="n">
        <v>0.24729</v>
      </c>
      <c r="E967" s="27" t="n">
        <v>1</v>
      </c>
      <c r="F967" s="28" t="n">
        <f aca="false">ROUND(B967*E967,2)</f>
        <v>4.34</v>
      </c>
      <c r="H967" s="29" t="n">
        <v>8.45</v>
      </c>
      <c r="I967" s="30" t="n">
        <v>1</v>
      </c>
      <c r="J967" s="31" t="n">
        <f aca="false">ROUND(H967*I967,2)</f>
        <v>8.45</v>
      </c>
      <c r="L967" s="32" t="n">
        <v>3.75</v>
      </c>
      <c r="M967" s="33" t="n">
        <v>1</v>
      </c>
      <c r="N967" s="34" t="n">
        <f aca="false">ROUND(L967*M967,2)</f>
        <v>3.75</v>
      </c>
    </row>
    <row r="968" customFormat="false" ht="15" hidden="false" customHeight="false" outlineLevel="0" collapsed="false">
      <c r="A968" s="37" t="s">
        <v>269</v>
      </c>
      <c r="F968" s="38" t="n">
        <f aca="false">ROUND((SUM(F960:F967)-F967)*1.1+F967,2)</f>
        <v>117.79</v>
      </c>
      <c r="J968" s="39" t="n">
        <f aca="false">ROUND(SUM(J960:J967),2)</f>
        <v>184.72</v>
      </c>
      <c r="N968" s="40" t="n">
        <f aca="false">ROUND(SUM(N960:N967),2)</f>
        <v>95.99</v>
      </c>
    </row>
    <row r="969" customFormat="false" ht="15" hidden="false" customHeight="false" outlineLevel="0" collapsed="false">
      <c r="A969" s="15" t="s">
        <v>270</v>
      </c>
      <c r="B969" s="41" t="n">
        <f aca="false">IF((F962+F960+F964+F961+F963)=0,"",((F962+F960+F964+F961+F963)-(B962*D962+B960*D960+B964*D964+B961*D961+B963*D963))/(F962+F960+F964+F961+F963))</f>
        <v>0.232499332300526</v>
      </c>
      <c r="D969" s="42" t="str">
        <f aca="false">IF(B969="","SIN PC",IF(B969&gt;=Detalle!$G$1,"APROBAR",IF(B969&gt;=0.2,"REVISAR","RECHAZAR")))</f>
        <v>REVISAR</v>
      </c>
      <c r="E969" s="42"/>
      <c r="F969" s="42"/>
    </row>
    <row r="970" customFormat="false" ht="15" hidden="false" customHeight="false" outlineLevel="0" collapsed="false">
      <c r="A970" s="44" t="s">
        <v>379</v>
      </c>
      <c r="B970" s="44"/>
      <c r="C970" s="44"/>
      <c r="D970" s="44"/>
      <c r="E970" s="44"/>
      <c r="F970" s="44"/>
    </row>
    <row r="971" customFormat="false" ht="15" hidden="false" customHeight="false" outlineLevel="0" collapsed="false">
      <c r="A971" s="45" t="s">
        <v>247</v>
      </c>
      <c r="B971" s="45" t="s">
        <v>380</v>
      </c>
      <c r="D971" s="45" t="s">
        <v>381</v>
      </c>
      <c r="E971" s="45" t="s">
        <v>382</v>
      </c>
      <c r="F971" s="45" t="s">
        <v>256</v>
      </c>
    </row>
    <row r="972" customFormat="false" ht="15" hidden="false" customHeight="false" outlineLevel="0" collapsed="false">
      <c r="A972" s="46" t="s">
        <v>383</v>
      </c>
      <c r="B972" s="47" t="n">
        <v>263</v>
      </c>
      <c r="C972" s="48"/>
      <c r="D972" s="26" t="n">
        <v>0.06</v>
      </c>
      <c r="E972" s="48"/>
      <c r="F972" s="49" t="n">
        <f aca="false">ROUND(B972*D972,2)</f>
        <v>15.78</v>
      </c>
    </row>
    <row r="973" customFormat="false" ht="15" hidden="false" customHeight="false" outlineLevel="0" collapsed="false">
      <c r="A973" s="46" t="s">
        <v>384</v>
      </c>
      <c r="B973" s="48"/>
      <c r="C973" s="48"/>
      <c r="D973" s="48"/>
      <c r="E973" s="50" t="n">
        <v>0.06</v>
      </c>
      <c r="F973" s="49" t="n">
        <v>13.98</v>
      </c>
    </row>
    <row r="974" customFormat="false" ht="15" hidden="false" customHeight="false" outlineLevel="0" collapsed="false">
      <c r="A974" s="51" t="s">
        <v>385</v>
      </c>
      <c r="B974" s="48"/>
      <c r="C974" s="48"/>
      <c r="D974" s="48"/>
      <c r="E974" s="48"/>
      <c r="F974" s="52" t="n">
        <f aca="false">F972-F973</f>
        <v>1.8</v>
      </c>
    </row>
    <row r="976" customFormat="false" ht="15" hidden="false" customHeight="false" outlineLevel="0" collapsed="false">
      <c r="A976" s="11" t="s">
        <v>675</v>
      </c>
      <c r="B976" s="11"/>
      <c r="C976" s="11"/>
      <c r="D976" s="11"/>
      <c r="E976" s="11"/>
      <c r="F976" s="11"/>
      <c r="H976" s="11" t="s">
        <v>676</v>
      </c>
      <c r="I976" s="11"/>
      <c r="J976" s="11"/>
      <c r="K976" s="11"/>
      <c r="L976" s="11"/>
      <c r="M976" s="11"/>
      <c r="N976" s="11"/>
      <c r="P976" s="14" t="s">
        <v>246</v>
      </c>
    </row>
    <row r="977" customFormat="false" ht="15" hidden="false" customHeight="false" outlineLevel="0" collapsed="false">
      <c r="A977" s="15" t="s">
        <v>247</v>
      </c>
      <c r="B977" s="16" t="s">
        <v>248</v>
      </c>
      <c r="C977" s="17"/>
      <c r="D977" s="17"/>
      <c r="E977" s="17"/>
      <c r="F977" s="17"/>
      <c r="H977" s="18" t="s">
        <v>677</v>
      </c>
      <c r="I977" s="19"/>
      <c r="J977" s="19"/>
      <c r="L977" s="20" t="s">
        <v>678</v>
      </c>
      <c r="M977" s="21"/>
      <c r="N977" s="21"/>
      <c r="P977" s="14" t="s">
        <v>679</v>
      </c>
    </row>
    <row r="978" customFormat="false" ht="15" hidden="false" customHeight="false" outlineLevel="0" collapsed="false">
      <c r="B978" s="3" t="s">
        <v>252</v>
      </c>
      <c r="C978" s="3" t="s">
        <v>253</v>
      </c>
      <c r="D978" s="3" t="s">
        <v>254</v>
      </c>
      <c r="E978" s="3" t="s">
        <v>255</v>
      </c>
      <c r="F978" s="3" t="s">
        <v>256</v>
      </c>
      <c r="H978" s="22" t="s">
        <v>252</v>
      </c>
      <c r="I978" s="22" t="s">
        <v>255</v>
      </c>
      <c r="J978" s="22" t="s">
        <v>256</v>
      </c>
      <c r="L978" s="23" t="s">
        <v>252</v>
      </c>
      <c r="M978" s="23" t="s">
        <v>255</v>
      </c>
      <c r="N978" s="23" t="s">
        <v>256</v>
      </c>
      <c r="P978" s="14" t="s">
        <v>680</v>
      </c>
    </row>
    <row r="979" customFormat="false" ht="15" hidden="false" customHeight="false" outlineLevel="0" collapsed="false">
      <c r="A979" s="24" t="s">
        <v>258</v>
      </c>
      <c r="B979" s="25" t="n">
        <v>13.2</v>
      </c>
      <c r="C979" s="25" t="n">
        <v>30</v>
      </c>
      <c r="D979" s="26" t="n">
        <v>3.68919</v>
      </c>
      <c r="E979" s="27" t="n">
        <v>4.17</v>
      </c>
      <c r="F979" s="28" t="n">
        <f aca="false">ROUND(B979*E979,2)</f>
        <v>55.04</v>
      </c>
      <c r="H979" s="29" t="n">
        <v>13.2</v>
      </c>
      <c r="I979" s="30" t="n">
        <v>4.17</v>
      </c>
      <c r="J979" s="31" t="n">
        <f aca="false">ROUND(H979*I979,2)</f>
        <v>55.04</v>
      </c>
      <c r="L979" s="32" t="n">
        <v>13.2</v>
      </c>
      <c r="M979" s="33" t="n">
        <v>4.17</v>
      </c>
      <c r="N979" s="34" t="n">
        <f aca="false">ROUND(L979*M979,2)</f>
        <v>55.04</v>
      </c>
      <c r="P979" s="35" t="s">
        <v>681</v>
      </c>
    </row>
    <row r="980" customFormat="false" ht="15" hidden="false" customHeight="false" outlineLevel="0" collapsed="false">
      <c r="A980" s="24" t="s">
        <v>260</v>
      </c>
      <c r="B980" s="25" t="n">
        <v>13.2</v>
      </c>
      <c r="C980" s="25" t="n">
        <v>30</v>
      </c>
      <c r="D980" s="26" t="n">
        <v>1.31928</v>
      </c>
      <c r="E980" s="27" t="n">
        <v>1.37</v>
      </c>
      <c r="F980" s="28" t="n">
        <f aca="false">ROUND(B980*E980,2)</f>
        <v>18.08</v>
      </c>
      <c r="H980" s="29" t="n">
        <v>13.2</v>
      </c>
      <c r="I980" s="30" t="n">
        <v>1.37</v>
      </c>
      <c r="J980" s="31" t="n">
        <f aca="false">ROUND(H980*I980,2)</f>
        <v>18.08</v>
      </c>
      <c r="L980" s="32" t="n">
        <v>13.2</v>
      </c>
      <c r="M980" s="33" t="n">
        <v>1.37</v>
      </c>
      <c r="N980" s="34" t="n">
        <f aca="false">ROUND(L980*M980,2)</f>
        <v>18.08</v>
      </c>
      <c r="P980" s="36" t="s">
        <v>261</v>
      </c>
    </row>
    <row r="981" customFormat="false" ht="15" hidden="false" customHeight="false" outlineLevel="0" collapsed="false">
      <c r="A981" s="24" t="s">
        <v>262</v>
      </c>
      <c r="B981" s="25" t="n">
        <v>797.316</v>
      </c>
      <c r="C981" s="25" t="n">
        <v>30</v>
      </c>
      <c r="D981" s="26" t="n">
        <v>0.111171</v>
      </c>
      <c r="E981" s="27" t="n">
        <v>0.1092</v>
      </c>
      <c r="F981" s="28" t="n">
        <f aca="false">ROUND(B981*E981,2)</f>
        <v>87.07</v>
      </c>
      <c r="H981" s="29" t="n">
        <v>787.095</v>
      </c>
      <c r="I981" s="30" t="n">
        <v>0.1092</v>
      </c>
      <c r="J981" s="31" t="n">
        <f aca="false">ROUND(H981*I981,2)</f>
        <v>85.95</v>
      </c>
      <c r="L981" s="32" t="n">
        <v>696.122</v>
      </c>
      <c r="M981" s="33" t="n">
        <v>0.14937</v>
      </c>
      <c r="N981" s="34" t="n">
        <f aca="false">ROUND(L981*M981,2)</f>
        <v>103.98</v>
      </c>
      <c r="P981" s="35" t="s">
        <v>682</v>
      </c>
    </row>
    <row r="982" customFormat="false" ht="15" hidden="false" customHeight="false" outlineLevel="0" collapsed="false">
      <c r="A982" s="24" t="s">
        <v>264</v>
      </c>
      <c r="B982" s="25" t="n">
        <v>730.891</v>
      </c>
      <c r="C982" s="25" t="n">
        <v>30</v>
      </c>
      <c r="D982" s="26" t="n">
        <v>0.111171</v>
      </c>
      <c r="E982" s="27" t="n">
        <v>0.1092</v>
      </c>
      <c r="F982" s="28" t="n">
        <f aca="false">ROUND(B982*E982,2)</f>
        <v>79.81</v>
      </c>
      <c r="H982" s="29" t="n">
        <v>706.901</v>
      </c>
      <c r="I982" s="30" t="n">
        <v>0.1092</v>
      </c>
      <c r="J982" s="31" t="n">
        <f aca="false">ROUND(H982*I982,2)</f>
        <v>77.19</v>
      </c>
      <c r="L982" s="32" t="n">
        <v>659.449</v>
      </c>
      <c r="M982" s="33" t="n">
        <v>0.14937</v>
      </c>
      <c r="N982" s="34" t="n">
        <f aca="false">ROUND(L982*M982,2)</f>
        <v>98.5</v>
      </c>
    </row>
    <row r="983" customFormat="false" ht="15" hidden="false" customHeight="false" outlineLevel="0" collapsed="false">
      <c r="A983" s="24" t="s">
        <v>265</v>
      </c>
      <c r="B983" s="25" t="n">
        <v>1561.96</v>
      </c>
      <c r="C983" s="25" t="n">
        <v>30</v>
      </c>
      <c r="D983" s="26" t="n">
        <v>0.111171</v>
      </c>
      <c r="E983" s="27" t="n">
        <v>0.1092</v>
      </c>
      <c r="F983" s="28" t="n">
        <f aca="false">ROUND(B983*E983,2)</f>
        <v>170.57</v>
      </c>
      <c r="H983" s="29" t="n">
        <v>1261.87</v>
      </c>
      <c r="I983" s="30" t="n">
        <v>0.1092</v>
      </c>
      <c r="J983" s="31" t="n">
        <f aca="false">ROUND(H983*I983,2)</f>
        <v>137.8</v>
      </c>
      <c r="L983" s="32" t="n">
        <v>1600.04</v>
      </c>
      <c r="M983" s="33" t="n">
        <v>0.14937</v>
      </c>
      <c r="N983" s="34" t="n">
        <f aca="false">ROUND(L983*M983,2)</f>
        <v>239</v>
      </c>
    </row>
    <row r="984" customFormat="false" ht="15" hidden="false" customHeight="false" outlineLevel="0" collapsed="false">
      <c r="A984" s="24" t="s">
        <v>266</v>
      </c>
      <c r="B984" s="25" t="n">
        <v>1</v>
      </c>
      <c r="C984" s="25" t="n">
        <v>30</v>
      </c>
      <c r="D984" s="26" t="n">
        <v>1.3414</v>
      </c>
      <c r="E984" s="27" t="n">
        <v>4</v>
      </c>
      <c r="F984" s="28" t="n">
        <f aca="false">ROUND(B984*E984,2)</f>
        <v>4</v>
      </c>
      <c r="H984" s="29" t="n">
        <v>1</v>
      </c>
      <c r="I984" s="30" t="n">
        <v>4</v>
      </c>
      <c r="J984" s="31" t="n">
        <f aca="false">ROUND(H984*I984,2)</f>
        <v>4</v>
      </c>
      <c r="L984" s="32" t="n">
        <v>1</v>
      </c>
      <c r="M984" s="33" t="n">
        <v>4</v>
      </c>
      <c r="N984" s="34" t="n">
        <f aca="false">ROUND(L984*M984,2)</f>
        <v>4</v>
      </c>
    </row>
    <row r="985" customFormat="false" ht="15" hidden="false" customHeight="false" outlineLevel="0" collapsed="false">
      <c r="A985" s="24" t="s">
        <v>267</v>
      </c>
      <c r="B985" s="25" t="n">
        <v>30</v>
      </c>
      <c r="C985" s="25" t="n">
        <v>30</v>
      </c>
      <c r="D985" s="26" t="n">
        <v>0.5736</v>
      </c>
      <c r="E985" s="27" t="n">
        <v>0.01274</v>
      </c>
      <c r="F985" s="28" t="n">
        <f aca="false">ROUND(B985*E985,2)</f>
        <v>0.38</v>
      </c>
      <c r="H985" s="29" t="n">
        <v>30</v>
      </c>
      <c r="I985" s="30" t="n">
        <v>0.01274</v>
      </c>
      <c r="J985" s="31" t="n">
        <f aca="false">ROUND(H985*I985,2)</f>
        <v>0.38</v>
      </c>
      <c r="L985" s="32" t="n">
        <v>30</v>
      </c>
      <c r="M985" s="33" t="n">
        <v>0.01247</v>
      </c>
      <c r="N985" s="34" t="n">
        <f aca="false">ROUND(L985*M985,2)</f>
        <v>0.37</v>
      </c>
    </row>
    <row r="986" customFormat="false" ht="15" hidden="false" customHeight="false" outlineLevel="0" collapsed="false">
      <c r="A986" s="24" t="s">
        <v>268</v>
      </c>
      <c r="B986" s="25" t="n">
        <v>22.13</v>
      </c>
      <c r="C986" s="25" t="n">
        <v>30</v>
      </c>
      <c r="D986" s="26" t="n">
        <v>0.27312</v>
      </c>
      <c r="E986" s="27" t="n">
        <v>1</v>
      </c>
      <c r="F986" s="28" t="n">
        <f aca="false">ROUND(B986*E986,2)</f>
        <v>22.13</v>
      </c>
      <c r="H986" s="29" t="n">
        <v>20.2</v>
      </c>
      <c r="I986" s="30" t="n">
        <v>1</v>
      </c>
      <c r="J986" s="31" t="n">
        <f aca="false">ROUND(H986*I986,2)</f>
        <v>20.2</v>
      </c>
      <c r="L986" s="32" t="n">
        <v>25.86</v>
      </c>
      <c r="M986" s="33" t="n">
        <v>1</v>
      </c>
      <c r="N986" s="34" t="n">
        <f aca="false">ROUND(L986*M986,2)</f>
        <v>25.86</v>
      </c>
    </row>
    <row r="987" customFormat="false" ht="15" hidden="false" customHeight="false" outlineLevel="0" collapsed="false">
      <c r="A987" s="37" t="s">
        <v>269</v>
      </c>
      <c r="F987" s="38" t="n">
        <f aca="false">ROUND((SUM(F979:F986)-F986)*1.1+F986,2)</f>
        <v>478.58</v>
      </c>
      <c r="J987" s="39" t="n">
        <f aca="false">ROUND(SUM(J979:J986),2)</f>
        <v>398.64</v>
      </c>
      <c r="N987" s="40" t="n">
        <f aca="false">ROUND(SUM(N979:N986),2)</f>
        <v>544.83</v>
      </c>
    </row>
    <row r="988" customFormat="false" ht="15" hidden="false" customHeight="false" outlineLevel="0" collapsed="false">
      <c r="A988" s="15" t="s">
        <v>270</v>
      </c>
      <c r="B988" s="41" t="n">
        <f aca="false">IF((F981+F979+F983+F980+F982)=0,"",((F981+F979+F983+F980+F982)-(B981*D981+B979*D979+B983*D983+B980*D980+B982*D982))/(F981+F979+F983+F980+F982))</f>
        <v>0.00224380846871392</v>
      </c>
      <c r="D988" s="42" t="str">
        <f aca="false">IF(B988="","SIN PC",IF(B988&gt;=Detalle!$G$1,"APROBAR",IF(B988&gt;=0.2,"REVISAR","RECHAZAR")))</f>
        <v>RECHAZAR</v>
      </c>
      <c r="E988" s="42"/>
      <c r="F988" s="42"/>
    </row>
    <row r="990" customFormat="false" ht="15" hidden="false" customHeight="false" outlineLevel="0" collapsed="false">
      <c r="A990" s="11" t="s">
        <v>683</v>
      </c>
      <c r="B990" s="11"/>
      <c r="C990" s="11"/>
      <c r="D990" s="11"/>
      <c r="E990" s="11"/>
      <c r="F990" s="11"/>
      <c r="H990" s="11" t="s">
        <v>684</v>
      </c>
      <c r="I990" s="11"/>
      <c r="J990" s="11"/>
      <c r="K990" s="11"/>
      <c r="L990" s="11"/>
      <c r="M990" s="11"/>
      <c r="N990" s="11"/>
      <c r="P990" s="14" t="s">
        <v>246</v>
      </c>
    </row>
    <row r="991" customFormat="false" ht="15" hidden="false" customHeight="false" outlineLevel="0" collapsed="false">
      <c r="A991" s="15" t="s">
        <v>247</v>
      </c>
      <c r="B991" s="16" t="s">
        <v>248</v>
      </c>
      <c r="C991" s="17"/>
      <c r="D991" s="17"/>
      <c r="E991" s="17"/>
      <c r="F991" s="17"/>
      <c r="H991" s="18" t="s">
        <v>685</v>
      </c>
      <c r="I991" s="19"/>
      <c r="J991" s="19"/>
      <c r="L991" s="20" t="s">
        <v>686</v>
      </c>
      <c r="M991" s="21"/>
      <c r="N991" s="21"/>
      <c r="P991" s="14" t="s">
        <v>687</v>
      </c>
    </row>
    <row r="992" customFormat="false" ht="15" hidden="false" customHeight="false" outlineLevel="0" collapsed="false">
      <c r="B992" s="3" t="s">
        <v>252</v>
      </c>
      <c r="C992" s="3" t="s">
        <v>253</v>
      </c>
      <c r="D992" s="3" t="s">
        <v>254</v>
      </c>
      <c r="E992" s="3" t="s">
        <v>255</v>
      </c>
      <c r="F992" s="3" t="s">
        <v>256</v>
      </c>
      <c r="H992" s="22" t="s">
        <v>252</v>
      </c>
      <c r="I992" s="22" t="s">
        <v>255</v>
      </c>
      <c r="J992" s="22" t="s">
        <v>256</v>
      </c>
      <c r="L992" s="23" t="s">
        <v>252</v>
      </c>
      <c r="M992" s="23" t="s">
        <v>255</v>
      </c>
      <c r="N992" s="23" t="s">
        <v>256</v>
      </c>
      <c r="P992" s="14" t="s">
        <v>688</v>
      </c>
    </row>
    <row r="993" customFormat="false" ht="15" hidden="false" customHeight="false" outlineLevel="0" collapsed="false">
      <c r="A993" s="24" t="s">
        <v>258</v>
      </c>
      <c r="B993" s="25" t="n">
        <v>4.6</v>
      </c>
      <c r="C993" s="25" t="n">
        <v>30</v>
      </c>
      <c r="D993" s="26" t="n">
        <v>3.68919</v>
      </c>
      <c r="E993" s="27" t="n">
        <v>4.17</v>
      </c>
      <c r="F993" s="28" t="n">
        <f aca="false">ROUND(B993*E993,2)</f>
        <v>19.18</v>
      </c>
      <c r="H993" s="29" t="n">
        <v>4.6</v>
      </c>
      <c r="I993" s="30" t="n">
        <v>4.17</v>
      </c>
      <c r="J993" s="31" t="n">
        <f aca="false">ROUND(H993*I993,2)</f>
        <v>19.18</v>
      </c>
      <c r="L993" s="32" t="n">
        <v>4.6</v>
      </c>
      <c r="M993" s="33" t="n">
        <v>4.17</v>
      </c>
      <c r="N993" s="34" t="n">
        <f aca="false">ROUND(L993*M993,2)</f>
        <v>19.18</v>
      </c>
      <c r="P993" s="35" t="s">
        <v>689</v>
      </c>
    </row>
    <row r="994" customFormat="false" ht="15" hidden="false" customHeight="false" outlineLevel="0" collapsed="false">
      <c r="A994" s="24" t="s">
        <v>260</v>
      </c>
      <c r="B994" s="25" t="n">
        <v>4.6</v>
      </c>
      <c r="C994" s="25" t="n">
        <v>30</v>
      </c>
      <c r="D994" s="26" t="n">
        <v>1.31928</v>
      </c>
      <c r="E994" s="27" t="n">
        <v>1.37</v>
      </c>
      <c r="F994" s="28" t="n">
        <f aca="false">ROUND(B994*E994,2)</f>
        <v>6.3</v>
      </c>
      <c r="H994" s="29" t="n">
        <v>4.6</v>
      </c>
      <c r="I994" s="30" t="n">
        <v>1.37</v>
      </c>
      <c r="J994" s="31" t="n">
        <f aca="false">ROUND(H994*I994,2)</f>
        <v>6.3</v>
      </c>
      <c r="L994" s="32" t="n">
        <v>4.6</v>
      </c>
      <c r="M994" s="33" t="n">
        <v>1.37</v>
      </c>
      <c r="N994" s="34" t="n">
        <f aca="false">ROUND(L994*M994,2)</f>
        <v>6.3</v>
      </c>
      <c r="P994" s="36" t="s">
        <v>261</v>
      </c>
    </row>
    <row r="995" customFormat="false" ht="15" hidden="false" customHeight="false" outlineLevel="0" collapsed="false">
      <c r="A995" s="24" t="s">
        <v>262</v>
      </c>
      <c r="B995" s="25" t="n">
        <v>80.064</v>
      </c>
      <c r="C995" s="25" t="n">
        <v>30</v>
      </c>
      <c r="D995" s="26" t="n">
        <v>0.111171</v>
      </c>
      <c r="E995" s="27" t="n">
        <v>0.14937</v>
      </c>
      <c r="F995" s="28" t="n">
        <f aca="false">ROUND(B995*E995,2)</f>
        <v>11.96</v>
      </c>
      <c r="H995" s="29" t="n">
        <v>104.197</v>
      </c>
      <c r="I995" s="30" t="n">
        <v>0.14937</v>
      </c>
      <c r="J995" s="31" t="n">
        <f aca="false">ROUND(H995*I995,2)</f>
        <v>15.56</v>
      </c>
      <c r="L995" s="32" t="n">
        <v>65.208</v>
      </c>
      <c r="M995" s="33" t="n">
        <v>0.14937</v>
      </c>
      <c r="N995" s="34" t="n">
        <f aca="false">ROUND(L995*M995,2)</f>
        <v>9.74</v>
      </c>
      <c r="P995" s="35" t="s">
        <v>690</v>
      </c>
    </row>
    <row r="996" customFormat="false" ht="15" hidden="false" customHeight="false" outlineLevel="0" collapsed="false">
      <c r="A996" s="24" t="s">
        <v>264</v>
      </c>
      <c r="B996" s="25" t="n">
        <v>83.934</v>
      </c>
      <c r="C996" s="25" t="n">
        <v>30</v>
      </c>
      <c r="D996" s="26" t="n">
        <v>0.111171</v>
      </c>
      <c r="E996" s="27" t="n">
        <v>0.14937</v>
      </c>
      <c r="F996" s="28" t="n">
        <f aca="false">ROUND(B996*E996,2)</f>
        <v>12.54</v>
      </c>
      <c r="H996" s="29" t="n">
        <v>106.21</v>
      </c>
      <c r="I996" s="30" t="n">
        <v>0.14937</v>
      </c>
      <c r="J996" s="31" t="n">
        <f aca="false">ROUND(H996*I996,2)</f>
        <v>15.86</v>
      </c>
      <c r="L996" s="32" t="n">
        <v>66.151</v>
      </c>
      <c r="M996" s="33" t="n">
        <v>0.14937</v>
      </c>
      <c r="N996" s="34" t="n">
        <f aca="false">ROUND(L996*M996,2)</f>
        <v>9.88</v>
      </c>
    </row>
    <row r="997" customFormat="false" ht="15" hidden="false" customHeight="false" outlineLevel="0" collapsed="false">
      <c r="A997" s="24" t="s">
        <v>265</v>
      </c>
      <c r="B997" s="25" t="n">
        <v>105.21</v>
      </c>
      <c r="C997" s="25" t="n">
        <v>30</v>
      </c>
      <c r="D997" s="26" t="n">
        <v>0.111171</v>
      </c>
      <c r="E997" s="27" t="n">
        <v>0.14937</v>
      </c>
      <c r="F997" s="28" t="n">
        <f aca="false">ROUND(B997*E997,2)</f>
        <v>15.72</v>
      </c>
      <c r="H997" s="29" t="n">
        <v>139.307</v>
      </c>
      <c r="I997" s="30" t="n">
        <v>0.14937</v>
      </c>
      <c r="J997" s="31" t="n">
        <f aca="false">ROUND(H997*I997,2)</f>
        <v>20.81</v>
      </c>
      <c r="L997" s="32" t="n">
        <v>91.495</v>
      </c>
      <c r="M997" s="33" t="n">
        <v>0.14937</v>
      </c>
      <c r="N997" s="34" t="n">
        <f aca="false">ROUND(L997*M997,2)</f>
        <v>13.67</v>
      </c>
    </row>
    <row r="998" customFormat="false" ht="15" hidden="false" customHeight="false" outlineLevel="0" collapsed="false">
      <c r="A998" s="24" t="s">
        <v>266</v>
      </c>
      <c r="B998" s="25" t="n">
        <v>1</v>
      </c>
      <c r="C998" s="25" t="n">
        <v>30</v>
      </c>
      <c r="D998" s="26" t="n">
        <v>0.7989</v>
      </c>
      <c r="E998" s="27" t="n">
        <v>4</v>
      </c>
      <c r="F998" s="28" t="n">
        <f aca="false">ROUND(B998*E998,2)</f>
        <v>4</v>
      </c>
      <c r="H998" s="29" t="n">
        <v>1</v>
      </c>
      <c r="I998" s="30" t="n">
        <v>4</v>
      </c>
      <c r="J998" s="31" t="n">
        <f aca="false">ROUND(H998*I998,2)</f>
        <v>4</v>
      </c>
      <c r="L998" s="32" t="n">
        <v>1</v>
      </c>
      <c r="M998" s="33" t="n">
        <v>4</v>
      </c>
      <c r="N998" s="34" t="n">
        <f aca="false">ROUND(L998*M998,2)</f>
        <v>4</v>
      </c>
    </row>
    <row r="999" customFormat="false" ht="15" hidden="false" customHeight="false" outlineLevel="0" collapsed="false">
      <c r="A999" s="24" t="s">
        <v>267</v>
      </c>
      <c r="B999" s="25" t="n">
        <v>30</v>
      </c>
      <c r="C999" s="25" t="n">
        <v>30</v>
      </c>
      <c r="D999" s="26" t="n">
        <v>0.5736</v>
      </c>
      <c r="E999" s="27" t="n">
        <v>0.01274</v>
      </c>
      <c r="F999" s="28" t="n">
        <f aca="false">ROUND(B999*E999,2)</f>
        <v>0.38</v>
      </c>
      <c r="H999" s="29" t="n">
        <v>30</v>
      </c>
      <c r="I999" s="30" t="n">
        <v>0.01274</v>
      </c>
      <c r="J999" s="31" t="n">
        <f aca="false">ROUND(H999*I999,2)</f>
        <v>0.38</v>
      </c>
      <c r="L999" s="32" t="n">
        <v>30</v>
      </c>
      <c r="M999" s="33" t="n">
        <v>0.00629</v>
      </c>
      <c r="N999" s="34" t="n">
        <f aca="false">ROUND(L999*M999,2)</f>
        <v>0.19</v>
      </c>
    </row>
    <row r="1000" customFormat="false" ht="15" hidden="false" customHeight="false" outlineLevel="0" collapsed="false">
      <c r="A1000" s="24" t="s">
        <v>268</v>
      </c>
      <c r="B1000" s="25" t="n">
        <v>3.37</v>
      </c>
      <c r="C1000" s="25" t="n">
        <v>30</v>
      </c>
      <c r="D1000" s="26" t="n">
        <v>0.27312</v>
      </c>
      <c r="E1000" s="27" t="n">
        <v>1</v>
      </c>
      <c r="F1000" s="28" t="n">
        <f aca="false">ROUND(B1000*E1000,2)</f>
        <v>3.37</v>
      </c>
      <c r="H1000" s="29" t="n">
        <v>3.98</v>
      </c>
      <c r="I1000" s="30" t="n">
        <v>1</v>
      </c>
      <c r="J1000" s="31" t="n">
        <f aca="false">ROUND(H1000*I1000,2)</f>
        <v>3.98</v>
      </c>
      <c r="L1000" s="32" t="n">
        <v>3.01</v>
      </c>
      <c r="M1000" s="33" t="n">
        <v>1</v>
      </c>
      <c r="N1000" s="34" t="n">
        <f aca="false">ROUND(L1000*M1000,2)</f>
        <v>3.01</v>
      </c>
    </row>
    <row r="1001" customFormat="false" ht="15" hidden="false" customHeight="false" outlineLevel="0" collapsed="false">
      <c r="A1001" s="37" t="s">
        <v>269</v>
      </c>
      <c r="F1001" s="38" t="n">
        <f aca="false">ROUND((SUM(F993:F1000)-F1000)*1.1+F1000,2)</f>
        <v>80.46</v>
      </c>
      <c r="J1001" s="39" t="n">
        <f aca="false">ROUND(SUM(J993:J1000),2)</f>
        <v>86.07</v>
      </c>
      <c r="N1001" s="40" t="n">
        <f aca="false">ROUND(SUM(N993:N1000),2)</f>
        <v>65.97</v>
      </c>
    </row>
    <row r="1002" customFormat="false" ht="15" hidden="false" customHeight="false" outlineLevel="0" collapsed="false">
      <c r="A1002" s="15" t="s">
        <v>270</v>
      </c>
      <c r="B1002" s="41" t="n">
        <f aca="false">IF((F995+F993+F997+F994+F996)=0,"",((F995+F993+F997+F994+F996)-(B995*D995+B993*D993+B997*D997+B994*D994+B996*D996))/(F995+F993+F997+F994+F996))</f>
        <v>0.193803887853881</v>
      </c>
      <c r="D1002" s="42" t="str">
        <f aca="false">IF(B1002="","SIN PC",IF(B1002&gt;=Detalle!$G$1,"APROBAR",IF(B1002&gt;=0.2,"REVISAR","RECHAZAR")))</f>
        <v>RECHAZAR</v>
      </c>
      <c r="E1002" s="42"/>
      <c r="F1002" s="42"/>
    </row>
    <row r="1004" customFormat="false" ht="15" hidden="false" customHeight="false" outlineLevel="0" collapsed="false">
      <c r="A1004" s="11" t="s">
        <v>691</v>
      </c>
      <c r="B1004" s="11"/>
      <c r="C1004" s="11"/>
      <c r="D1004" s="11"/>
      <c r="E1004" s="11"/>
      <c r="F1004" s="11"/>
      <c r="H1004" s="11" t="s">
        <v>692</v>
      </c>
      <c r="I1004" s="11"/>
      <c r="J1004" s="11"/>
      <c r="K1004" s="11"/>
      <c r="L1004" s="11"/>
      <c r="M1004" s="11"/>
      <c r="N1004" s="11"/>
      <c r="P1004" s="14" t="s">
        <v>246</v>
      </c>
    </row>
    <row r="1005" customFormat="false" ht="15" hidden="false" customHeight="false" outlineLevel="0" collapsed="false">
      <c r="A1005" s="15" t="s">
        <v>247</v>
      </c>
      <c r="B1005" s="16" t="s">
        <v>248</v>
      </c>
      <c r="C1005" s="17"/>
      <c r="D1005" s="17"/>
      <c r="E1005" s="17"/>
      <c r="F1005" s="17"/>
      <c r="H1005" s="18" t="s">
        <v>693</v>
      </c>
      <c r="I1005" s="19"/>
      <c r="J1005" s="19"/>
      <c r="L1005" s="20" t="s">
        <v>694</v>
      </c>
      <c r="M1005" s="21"/>
      <c r="N1005" s="21"/>
      <c r="P1005" s="14" t="s">
        <v>695</v>
      </c>
    </row>
    <row r="1006" customFormat="false" ht="15" hidden="false" customHeight="false" outlineLevel="0" collapsed="false">
      <c r="B1006" s="3" t="s">
        <v>252</v>
      </c>
      <c r="C1006" s="3" t="s">
        <v>253</v>
      </c>
      <c r="D1006" s="3" t="s">
        <v>254</v>
      </c>
      <c r="E1006" s="3" t="s">
        <v>255</v>
      </c>
      <c r="F1006" s="3" t="s">
        <v>256</v>
      </c>
      <c r="H1006" s="22" t="s">
        <v>252</v>
      </c>
      <c r="I1006" s="22" t="s">
        <v>255</v>
      </c>
      <c r="J1006" s="22" t="s">
        <v>256</v>
      </c>
      <c r="L1006" s="23" t="s">
        <v>252</v>
      </c>
      <c r="M1006" s="23" t="s">
        <v>255</v>
      </c>
      <c r="N1006" s="23" t="s">
        <v>256</v>
      </c>
      <c r="P1006" s="14" t="s">
        <v>696</v>
      </c>
    </row>
    <row r="1007" customFormat="false" ht="15" hidden="false" customHeight="false" outlineLevel="0" collapsed="false">
      <c r="A1007" s="24" t="s">
        <v>258</v>
      </c>
      <c r="B1007" s="25" t="n">
        <v>10.392</v>
      </c>
      <c r="C1007" s="25" t="n">
        <v>30</v>
      </c>
      <c r="D1007" s="26" t="n">
        <v>3.4086</v>
      </c>
      <c r="E1007" s="27" t="n">
        <v>4.17</v>
      </c>
      <c r="F1007" s="28" t="n">
        <f aca="false">ROUND(B1007*E1007,2)</f>
        <v>43.33</v>
      </c>
      <c r="H1007" s="29" t="n">
        <v>10.392</v>
      </c>
      <c r="I1007" s="30" t="n">
        <v>4.17</v>
      </c>
      <c r="J1007" s="31" t="n">
        <f aca="false">ROUND(H1007*I1007,2)</f>
        <v>43.33</v>
      </c>
      <c r="L1007" s="32" t="n">
        <v>10.392</v>
      </c>
      <c r="M1007" s="33" t="n">
        <v>4.17</v>
      </c>
      <c r="N1007" s="34" t="n">
        <f aca="false">ROUND(L1007*M1007,2)</f>
        <v>43.33</v>
      </c>
      <c r="P1007" s="35" t="s">
        <v>697</v>
      </c>
    </row>
    <row r="1008" customFormat="false" ht="15" hidden="false" customHeight="false" outlineLevel="0" collapsed="false">
      <c r="A1008" s="24" t="s">
        <v>260</v>
      </c>
      <c r="B1008" s="25" t="n">
        <v>10.392</v>
      </c>
      <c r="C1008" s="25" t="n">
        <v>30</v>
      </c>
      <c r="D1008" s="26" t="n">
        <v>1.09728</v>
      </c>
      <c r="E1008" s="27" t="n">
        <v>1.37</v>
      </c>
      <c r="F1008" s="28" t="n">
        <f aca="false">ROUND(B1008*E1008,2)</f>
        <v>14.24</v>
      </c>
      <c r="H1008" s="29" t="n">
        <v>10.392</v>
      </c>
      <c r="I1008" s="30" t="n">
        <v>1.37</v>
      </c>
      <c r="J1008" s="31" t="n">
        <f aca="false">ROUND(H1008*I1008,2)</f>
        <v>14.24</v>
      </c>
      <c r="L1008" s="32" t="n">
        <v>10.392</v>
      </c>
      <c r="M1008" s="33" t="n">
        <v>1.37</v>
      </c>
      <c r="N1008" s="34" t="n">
        <f aca="false">ROUND(L1008*M1008,2)</f>
        <v>14.24</v>
      </c>
      <c r="P1008" s="36" t="s">
        <v>261</v>
      </c>
    </row>
    <row r="1009" customFormat="false" ht="15" hidden="false" customHeight="false" outlineLevel="0" collapsed="false">
      <c r="A1009" s="24" t="s">
        <v>262</v>
      </c>
      <c r="B1009" s="25" t="n">
        <v>5.433</v>
      </c>
      <c r="C1009" s="25" t="n">
        <v>30</v>
      </c>
      <c r="D1009" s="26" t="n">
        <v>0.110306</v>
      </c>
      <c r="E1009" s="27" t="n">
        <v>0.14937</v>
      </c>
      <c r="F1009" s="28" t="n">
        <f aca="false">ROUND(B1009*E1009,2)</f>
        <v>0.81</v>
      </c>
      <c r="H1009" s="29" t="n">
        <v>120.342</v>
      </c>
      <c r="I1009" s="30" t="n">
        <v>0.14937</v>
      </c>
      <c r="J1009" s="31" t="n">
        <f aca="false">ROUND(H1009*I1009,2)</f>
        <v>17.98</v>
      </c>
      <c r="L1009" s="32" t="n">
        <v>66.733</v>
      </c>
      <c r="M1009" s="33" t="n">
        <v>0.14937</v>
      </c>
      <c r="N1009" s="34" t="n">
        <f aca="false">ROUND(L1009*M1009,2)</f>
        <v>9.97</v>
      </c>
      <c r="P1009" s="35" t="s">
        <v>698</v>
      </c>
    </row>
    <row r="1010" customFormat="false" ht="15" hidden="false" customHeight="false" outlineLevel="0" collapsed="false">
      <c r="A1010" s="24" t="s">
        <v>264</v>
      </c>
      <c r="B1010" s="25" t="n">
        <v>25.091</v>
      </c>
      <c r="C1010" s="25" t="n">
        <v>30</v>
      </c>
      <c r="D1010" s="26" t="n">
        <v>0.110306</v>
      </c>
      <c r="E1010" s="27" t="n">
        <v>0.14937</v>
      </c>
      <c r="F1010" s="28" t="n">
        <f aca="false">ROUND(B1010*E1010,2)</f>
        <v>3.75</v>
      </c>
      <c r="H1010" s="29" t="n">
        <v>124.689</v>
      </c>
      <c r="I1010" s="30" t="n">
        <v>0.14937</v>
      </c>
      <c r="J1010" s="31" t="n">
        <f aca="false">ROUND(H1010*I1010,2)</f>
        <v>18.62</v>
      </c>
      <c r="L1010" s="32" t="n">
        <v>85.038</v>
      </c>
      <c r="M1010" s="33" t="n">
        <v>0.14937</v>
      </c>
      <c r="N1010" s="34" t="n">
        <f aca="false">ROUND(L1010*M1010,2)</f>
        <v>12.7</v>
      </c>
    </row>
    <row r="1011" customFormat="false" ht="15" hidden="false" customHeight="false" outlineLevel="0" collapsed="false">
      <c r="A1011" s="24" t="s">
        <v>265</v>
      </c>
      <c r="B1011" s="25" t="n">
        <v>92.754</v>
      </c>
      <c r="C1011" s="25" t="n">
        <v>30</v>
      </c>
      <c r="D1011" s="26" t="n">
        <v>0.110306</v>
      </c>
      <c r="E1011" s="27" t="n">
        <v>0.14937</v>
      </c>
      <c r="F1011" s="28" t="n">
        <f aca="false">ROUND(B1011*E1011,2)</f>
        <v>13.85</v>
      </c>
      <c r="H1011" s="29" t="n">
        <v>279.65</v>
      </c>
      <c r="I1011" s="30" t="n">
        <v>0.14937</v>
      </c>
      <c r="J1011" s="31" t="n">
        <f aca="false">ROUND(H1011*I1011,2)</f>
        <v>41.77</v>
      </c>
      <c r="L1011" s="32" t="n">
        <v>257.035</v>
      </c>
      <c r="M1011" s="33" t="n">
        <v>0.14937</v>
      </c>
      <c r="N1011" s="34" t="n">
        <f aca="false">ROUND(L1011*M1011,2)</f>
        <v>38.39</v>
      </c>
    </row>
    <row r="1012" customFormat="false" ht="15" hidden="false" customHeight="false" outlineLevel="0" collapsed="false">
      <c r="A1012" s="24" t="s">
        <v>266</v>
      </c>
      <c r="B1012" s="25" t="n">
        <v>1</v>
      </c>
      <c r="C1012" s="25" t="n">
        <v>30</v>
      </c>
      <c r="D1012" s="26" t="n">
        <v>1.3414</v>
      </c>
      <c r="E1012" s="27" t="n">
        <v>4</v>
      </c>
      <c r="F1012" s="28" t="n">
        <f aca="false">ROUND(B1012*E1012,2)</f>
        <v>4</v>
      </c>
      <c r="H1012" s="29" t="n">
        <v>1</v>
      </c>
      <c r="I1012" s="30" t="n">
        <v>4</v>
      </c>
      <c r="J1012" s="31" t="n">
        <f aca="false">ROUND(H1012*I1012,2)</f>
        <v>4</v>
      </c>
      <c r="L1012" s="32" t="n">
        <v>1</v>
      </c>
      <c r="M1012" s="33" t="n">
        <v>4</v>
      </c>
      <c r="N1012" s="34" t="n">
        <f aca="false">ROUND(L1012*M1012,2)</f>
        <v>4</v>
      </c>
    </row>
    <row r="1013" customFormat="false" ht="15" hidden="false" customHeight="false" outlineLevel="0" collapsed="false">
      <c r="A1013" s="24" t="s">
        <v>267</v>
      </c>
      <c r="B1013" s="25" t="n">
        <v>30</v>
      </c>
      <c r="C1013" s="25" t="n">
        <v>30</v>
      </c>
      <c r="D1013" s="26" t="n">
        <v>0.5736</v>
      </c>
      <c r="E1013" s="27" t="n">
        <v>0.01274</v>
      </c>
      <c r="F1013" s="28" t="n">
        <f aca="false">ROUND(B1013*E1013,2)</f>
        <v>0.38</v>
      </c>
      <c r="H1013" s="29" t="n">
        <v>30</v>
      </c>
      <c r="I1013" s="30" t="n">
        <v>0.01274</v>
      </c>
      <c r="J1013" s="31" t="n">
        <f aca="false">ROUND(H1013*I1013,2)</f>
        <v>0.38</v>
      </c>
      <c r="L1013" s="32" t="n">
        <v>30</v>
      </c>
      <c r="M1013" s="33" t="n">
        <v>0.00629</v>
      </c>
      <c r="N1013" s="34" t="n">
        <f aca="false">ROUND(L1013*M1013,2)</f>
        <v>0.19</v>
      </c>
    </row>
    <row r="1014" customFormat="false" ht="15" hidden="false" customHeight="false" outlineLevel="0" collapsed="false">
      <c r="A1014" s="24" t="s">
        <v>268</v>
      </c>
      <c r="B1014" s="25" t="n">
        <v>2.95</v>
      </c>
      <c r="C1014" s="25" t="n">
        <v>30</v>
      </c>
      <c r="D1014" s="26" t="n">
        <v>0.24729</v>
      </c>
      <c r="E1014" s="27" t="n">
        <v>1</v>
      </c>
      <c r="F1014" s="28" t="n">
        <f aca="false">ROUND(B1014*E1014,2)</f>
        <v>2.95</v>
      </c>
      <c r="H1014" s="29" t="n">
        <v>5.77</v>
      </c>
      <c r="I1014" s="30" t="n">
        <v>1</v>
      </c>
      <c r="J1014" s="31" t="n">
        <f aca="false">ROUND(H1014*I1014,2)</f>
        <v>5.77</v>
      </c>
      <c r="L1014" s="32" t="n">
        <v>5.01</v>
      </c>
      <c r="M1014" s="33" t="n">
        <v>1</v>
      </c>
      <c r="N1014" s="34" t="n">
        <f aca="false">ROUND(L1014*M1014,2)</f>
        <v>5.01</v>
      </c>
    </row>
    <row r="1015" customFormat="false" ht="15" hidden="false" customHeight="false" outlineLevel="0" collapsed="false">
      <c r="A1015" s="37" t="s">
        <v>269</v>
      </c>
      <c r="F1015" s="38" t="n">
        <f aca="false">ROUND((SUM(F1007:F1014)-F1014)*1.1+F1014,2)</f>
        <v>91.35</v>
      </c>
      <c r="J1015" s="39" t="n">
        <f aca="false">ROUND(SUM(J1007:J1014),2)</f>
        <v>146.09</v>
      </c>
      <c r="N1015" s="40" t="n">
        <f aca="false">ROUND(SUM(N1007:N1014),2)</f>
        <v>127.83</v>
      </c>
    </row>
    <row r="1016" customFormat="false" ht="15" hidden="false" customHeight="false" outlineLevel="0" collapsed="false">
      <c r="A1016" s="15" t="s">
        <v>270</v>
      </c>
      <c r="B1016" s="41" t="n">
        <f aca="false">IF((F1009+F1007+F1011+F1008+F1010)=0,"",((F1009+F1007+F1011+F1008+F1010)-(B1009*D1009+B1007*D1007+B1011*D1011+B1008*D1008+B1010*D1010))/(F1009+F1007+F1011+F1008+F1010))</f>
        <v>0.204745880126349</v>
      </c>
      <c r="D1016" s="42" t="str">
        <f aca="false">IF(B1016="","SIN PC",IF(B1016&gt;=Detalle!$G$1,"APROBAR",IF(B1016&gt;=0.2,"REVISAR","RECHAZAR")))</f>
        <v>REVISAR</v>
      </c>
      <c r="E1016" s="42"/>
      <c r="F1016" s="42"/>
    </row>
    <row r="1017" customFormat="false" ht="15" hidden="false" customHeight="false" outlineLevel="0" collapsed="false">
      <c r="A1017" s="44" t="s">
        <v>379</v>
      </c>
      <c r="B1017" s="44"/>
      <c r="C1017" s="44"/>
      <c r="D1017" s="44"/>
      <c r="E1017" s="44"/>
      <c r="F1017" s="44"/>
    </row>
    <row r="1018" customFormat="false" ht="15" hidden="false" customHeight="false" outlineLevel="0" collapsed="false">
      <c r="A1018" s="45" t="s">
        <v>247</v>
      </c>
      <c r="B1018" s="45" t="s">
        <v>380</v>
      </c>
      <c r="D1018" s="45" t="s">
        <v>381</v>
      </c>
      <c r="E1018" s="45" t="s">
        <v>382</v>
      </c>
      <c r="F1018" s="45" t="s">
        <v>256</v>
      </c>
    </row>
    <row r="1019" customFormat="false" ht="15" hidden="false" customHeight="false" outlineLevel="0" collapsed="false">
      <c r="A1019" s="46" t="s">
        <v>383</v>
      </c>
      <c r="B1019" s="47" t="n">
        <v>709</v>
      </c>
      <c r="C1019" s="48"/>
      <c r="D1019" s="26" t="n">
        <v>0.06</v>
      </c>
      <c r="E1019" s="48"/>
      <c r="F1019" s="49" t="n">
        <f aca="false">ROUND(B1019*D1019,2)</f>
        <v>42.54</v>
      </c>
    </row>
    <row r="1020" customFormat="false" ht="15" hidden="false" customHeight="false" outlineLevel="0" collapsed="false">
      <c r="A1020" s="46" t="s">
        <v>384</v>
      </c>
      <c r="B1020" s="48"/>
      <c r="C1020" s="48"/>
      <c r="D1020" s="48"/>
      <c r="E1020" s="50" t="n">
        <v>0.06</v>
      </c>
      <c r="F1020" s="49" t="n">
        <v>18.41</v>
      </c>
    </row>
    <row r="1021" customFormat="false" ht="15" hidden="false" customHeight="false" outlineLevel="0" collapsed="false">
      <c r="A1021" s="51" t="s">
        <v>385</v>
      </c>
      <c r="B1021" s="48"/>
      <c r="C1021" s="48"/>
      <c r="D1021" s="48"/>
      <c r="E1021" s="48"/>
      <c r="F1021" s="52" t="n">
        <f aca="false">F1019-F1020</f>
        <v>24.13</v>
      </c>
    </row>
    <row r="1023" customFormat="false" ht="15" hidden="false" customHeight="false" outlineLevel="0" collapsed="false">
      <c r="A1023" s="11" t="s">
        <v>699</v>
      </c>
      <c r="B1023" s="11"/>
      <c r="C1023" s="11"/>
      <c r="D1023" s="11"/>
      <c r="E1023" s="11"/>
      <c r="F1023" s="11"/>
      <c r="H1023" s="11" t="s">
        <v>700</v>
      </c>
      <c r="I1023" s="11"/>
      <c r="J1023" s="11"/>
      <c r="K1023" s="11"/>
      <c r="L1023" s="11"/>
      <c r="M1023" s="11"/>
      <c r="N1023" s="11"/>
      <c r="P1023" s="14" t="s">
        <v>246</v>
      </c>
    </row>
    <row r="1024" customFormat="false" ht="15" hidden="false" customHeight="false" outlineLevel="0" collapsed="false">
      <c r="A1024" s="15" t="s">
        <v>247</v>
      </c>
      <c r="B1024" s="16" t="s">
        <v>248</v>
      </c>
      <c r="C1024" s="17"/>
      <c r="D1024" s="17"/>
      <c r="E1024" s="17"/>
      <c r="F1024" s="17"/>
      <c r="H1024" s="18" t="s">
        <v>701</v>
      </c>
      <c r="I1024" s="19"/>
      <c r="J1024" s="19"/>
      <c r="L1024" s="20" t="s">
        <v>702</v>
      </c>
      <c r="M1024" s="21"/>
      <c r="N1024" s="21"/>
      <c r="P1024" s="14" t="s">
        <v>703</v>
      </c>
    </row>
    <row r="1025" customFormat="false" ht="15" hidden="false" customHeight="false" outlineLevel="0" collapsed="false">
      <c r="B1025" s="3" t="s">
        <v>252</v>
      </c>
      <c r="C1025" s="3" t="s">
        <v>253</v>
      </c>
      <c r="D1025" s="3" t="s">
        <v>254</v>
      </c>
      <c r="E1025" s="3" t="s">
        <v>255</v>
      </c>
      <c r="F1025" s="3" t="s">
        <v>256</v>
      </c>
      <c r="H1025" s="22" t="s">
        <v>252</v>
      </c>
      <c r="I1025" s="22" t="s">
        <v>255</v>
      </c>
      <c r="J1025" s="22" t="s">
        <v>256</v>
      </c>
      <c r="L1025" s="23" t="s">
        <v>252</v>
      </c>
      <c r="M1025" s="23" t="s">
        <v>255</v>
      </c>
      <c r="N1025" s="23" t="s">
        <v>256</v>
      </c>
      <c r="P1025" s="14" t="s">
        <v>704</v>
      </c>
    </row>
    <row r="1026" customFormat="false" ht="15" hidden="false" customHeight="false" outlineLevel="0" collapsed="false">
      <c r="A1026" s="24" t="s">
        <v>258</v>
      </c>
      <c r="B1026" s="25" t="n">
        <v>5.5</v>
      </c>
      <c r="C1026" s="25" t="n">
        <v>30</v>
      </c>
      <c r="D1026" s="26" t="n">
        <v>3.4086</v>
      </c>
      <c r="E1026" s="27" t="n">
        <v>4.17</v>
      </c>
      <c r="F1026" s="28" t="n">
        <f aca="false">ROUND(B1026*E1026,2)</f>
        <v>22.94</v>
      </c>
      <c r="H1026" s="29" t="n">
        <v>5.5</v>
      </c>
      <c r="I1026" s="30" t="n">
        <v>4.17</v>
      </c>
      <c r="J1026" s="31" t="n">
        <f aca="false">ROUND(H1026*I1026,2)</f>
        <v>22.94</v>
      </c>
      <c r="L1026" s="32" t="n">
        <v>5.5</v>
      </c>
      <c r="M1026" s="33" t="n">
        <v>4.17</v>
      </c>
      <c r="N1026" s="34" t="n">
        <f aca="false">ROUND(L1026*M1026,2)</f>
        <v>22.94</v>
      </c>
      <c r="P1026" s="35" t="s">
        <v>705</v>
      </c>
    </row>
    <row r="1027" customFormat="false" ht="15" hidden="false" customHeight="false" outlineLevel="0" collapsed="false">
      <c r="A1027" s="24" t="s">
        <v>260</v>
      </c>
      <c r="B1027" s="25" t="n">
        <v>5.5</v>
      </c>
      <c r="C1027" s="25" t="n">
        <v>30</v>
      </c>
      <c r="D1027" s="26" t="n">
        <v>1.09728</v>
      </c>
      <c r="E1027" s="27" t="n">
        <v>1.37</v>
      </c>
      <c r="F1027" s="28" t="n">
        <f aca="false">ROUND(B1027*E1027,2)</f>
        <v>7.54</v>
      </c>
      <c r="H1027" s="29" t="n">
        <v>5.5</v>
      </c>
      <c r="I1027" s="30" t="n">
        <v>1.37</v>
      </c>
      <c r="J1027" s="31" t="n">
        <f aca="false">ROUND(H1027*I1027,2)</f>
        <v>7.54</v>
      </c>
      <c r="L1027" s="32" t="n">
        <v>5.5</v>
      </c>
      <c r="M1027" s="33" t="n">
        <v>1.37</v>
      </c>
      <c r="N1027" s="34" t="n">
        <f aca="false">ROUND(L1027*M1027,2)</f>
        <v>7.54</v>
      </c>
      <c r="P1027" s="36" t="s">
        <v>261</v>
      </c>
    </row>
    <row r="1028" customFormat="false" ht="15" hidden="false" customHeight="false" outlineLevel="0" collapsed="false">
      <c r="A1028" s="24" t="s">
        <v>262</v>
      </c>
      <c r="B1028" s="25" t="n">
        <v>17.133</v>
      </c>
      <c r="C1028" s="25" t="n">
        <v>30</v>
      </c>
      <c r="D1028" s="26" t="n">
        <v>0.110306</v>
      </c>
      <c r="E1028" s="27" t="n">
        <v>0.14937</v>
      </c>
      <c r="F1028" s="28" t="n">
        <f aca="false">ROUND(B1028*E1028,2)</f>
        <v>2.56</v>
      </c>
      <c r="H1028" s="29" t="n">
        <v>18.236</v>
      </c>
      <c r="I1028" s="30" t="n">
        <v>0.14937</v>
      </c>
      <c r="J1028" s="31" t="n">
        <f aca="false">ROUND(H1028*I1028,2)</f>
        <v>2.72</v>
      </c>
      <c r="L1028" s="32" t="n">
        <v>4.307</v>
      </c>
      <c r="M1028" s="33" t="n">
        <v>0.14937</v>
      </c>
      <c r="N1028" s="34" t="n">
        <f aca="false">ROUND(L1028*M1028,2)</f>
        <v>0.64</v>
      </c>
      <c r="P1028" s="35" t="s">
        <v>706</v>
      </c>
    </row>
    <row r="1029" customFormat="false" ht="15" hidden="false" customHeight="false" outlineLevel="0" collapsed="false">
      <c r="A1029" s="24" t="s">
        <v>264</v>
      </c>
      <c r="B1029" s="25" t="n">
        <v>17.593</v>
      </c>
      <c r="C1029" s="25" t="n">
        <v>30</v>
      </c>
      <c r="D1029" s="26" t="n">
        <v>0.110306</v>
      </c>
      <c r="E1029" s="27" t="n">
        <v>0.14937</v>
      </c>
      <c r="F1029" s="28" t="n">
        <f aca="false">ROUND(B1029*E1029,2)</f>
        <v>2.63</v>
      </c>
      <c r="H1029" s="29" t="n">
        <v>3.786</v>
      </c>
      <c r="I1029" s="30" t="n">
        <v>0.14937</v>
      </c>
      <c r="J1029" s="31" t="n">
        <f aca="false">ROUND(H1029*I1029,2)</f>
        <v>0.57</v>
      </c>
      <c r="L1029" s="32" t="n">
        <v>2.934</v>
      </c>
      <c r="M1029" s="33" t="n">
        <v>0.14937</v>
      </c>
      <c r="N1029" s="34" t="n">
        <f aca="false">ROUND(L1029*M1029,2)</f>
        <v>0.44</v>
      </c>
    </row>
    <row r="1030" customFormat="false" ht="15" hidden="false" customHeight="false" outlineLevel="0" collapsed="false">
      <c r="A1030" s="24" t="s">
        <v>265</v>
      </c>
      <c r="B1030" s="25" t="n">
        <v>41.316</v>
      </c>
      <c r="C1030" s="25" t="n">
        <v>30</v>
      </c>
      <c r="D1030" s="26" t="n">
        <v>0.110306</v>
      </c>
      <c r="E1030" s="27" t="n">
        <v>0.14937</v>
      </c>
      <c r="F1030" s="28" t="n">
        <f aca="false">ROUND(B1030*E1030,2)</f>
        <v>6.17</v>
      </c>
      <c r="H1030" s="29" t="n">
        <v>18.968</v>
      </c>
      <c r="I1030" s="30" t="n">
        <v>0.14937</v>
      </c>
      <c r="J1030" s="31" t="n">
        <f aca="false">ROUND(H1030*I1030,2)</f>
        <v>2.83</v>
      </c>
      <c r="L1030" s="32" t="n">
        <v>16.756</v>
      </c>
      <c r="M1030" s="33" t="n">
        <v>0.14937</v>
      </c>
      <c r="N1030" s="34" t="n">
        <f aca="false">ROUND(L1030*M1030,2)</f>
        <v>2.5</v>
      </c>
    </row>
    <row r="1031" customFormat="false" ht="15" hidden="false" customHeight="false" outlineLevel="0" collapsed="false">
      <c r="A1031" s="24" t="s">
        <v>266</v>
      </c>
      <c r="B1031" s="25" t="n">
        <v>1</v>
      </c>
      <c r="C1031" s="25" t="n">
        <v>30</v>
      </c>
      <c r="D1031" s="26" t="n">
        <v>0.7989</v>
      </c>
      <c r="E1031" s="27" t="n">
        <v>4</v>
      </c>
      <c r="F1031" s="28" t="n">
        <f aca="false">ROUND(B1031*E1031,2)</f>
        <v>4</v>
      </c>
      <c r="H1031" s="29" t="n">
        <v>1</v>
      </c>
      <c r="I1031" s="30" t="n">
        <v>4</v>
      </c>
      <c r="J1031" s="31" t="n">
        <f aca="false">ROUND(H1031*I1031,2)</f>
        <v>4</v>
      </c>
      <c r="L1031" s="32" t="n">
        <v>1</v>
      </c>
      <c r="M1031" s="33" t="n">
        <v>4</v>
      </c>
      <c r="N1031" s="34" t="n">
        <f aca="false">ROUND(L1031*M1031,2)</f>
        <v>4</v>
      </c>
    </row>
    <row r="1032" customFormat="false" ht="15" hidden="false" customHeight="false" outlineLevel="0" collapsed="false">
      <c r="A1032" s="24" t="s">
        <v>267</v>
      </c>
      <c r="B1032" s="25" t="n">
        <v>30</v>
      </c>
      <c r="C1032" s="25" t="n">
        <v>30</v>
      </c>
      <c r="D1032" s="26" t="n">
        <v>0.5736</v>
      </c>
      <c r="E1032" s="27" t="n">
        <v>0.01274</v>
      </c>
      <c r="F1032" s="28" t="n">
        <f aca="false">ROUND(B1032*E1032,2)</f>
        <v>0.38</v>
      </c>
      <c r="H1032" s="29" t="n">
        <v>30</v>
      </c>
      <c r="I1032" s="30" t="n">
        <v>0.01274</v>
      </c>
      <c r="J1032" s="31" t="n">
        <f aca="false">ROUND(H1032*I1032,2)</f>
        <v>0.38</v>
      </c>
      <c r="L1032" s="32" t="n">
        <v>30</v>
      </c>
      <c r="M1032" s="33" t="n">
        <v>0.00629</v>
      </c>
      <c r="N1032" s="34" t="n">
        <f aca="false">ROUND(L1032*M1032,2)</f>
        <v>0.19</v>
      </c>
    </row>
    <row r="1033" customFormat="false" ht="15" hidden="false" customHeight="false" outlineLevel="0" collapsed="false">
      <c r="A1033" s="24" t="s">
        <v>268</v>
      </c>
      <c r="B1033" s="25" t="n">
        <v>1.57</v>
      </c>
      <c r="C1033" s="25" t="n">
        <v>30</v>
      </c>
      <c r="D1033" s="26" t="n">
        <v>0.24729</v>
      </c>
      <c r="E1033" s="27" t="n">
        <v>1</v>
      </c>
      <c r="F1033" s="28" t="n">
        <f aca="false">ROUND(B1033*E1033,2)</f>
        <v>1.57</v>
      </c>
      <c r="H1033" s="29" t="n">
        <v>1.57</v>
      </c>
      <c r="I1033" s="30" t="n">
        <v>1</v>
      </c>
      <c r="J1033" s="31" t="n">
        <f aca="false">ROUND(H1033*I1033,2)</f>
        <v>1.57</v>
      </c>
      <c r="L1033" s="32" t="n">
        <v>1.57</v>
      </c>
      <c r="M1033" s="33" t="n">
        <v>1</v>
      </c>
      <c r="N1033" s="34" t="n">
        <f aca="false">ROUND(L1033*M1033,2)</f>
        <v>1.57</v>
      </c>
    </row>
    <row r="1034" customFormat="false" ht="15" hidden="false" customHeight="false" outlineLevel="0" collapsed="false">
      <c r="A1034" s="37" t="s">
        <v>269</v>
      </c>
      <c r="F1034" s="38" t="n">
        <f aca="false">ROUND((SUM(F1026:F1033)-F1033)*1.1+F1033,2)</f>
        <v>52.41</v>
      </c>
      <c r="J1034" s="39" t="n">
        <f aca="false">ROUND(SUM(J1026:J1033),2)</f>
        <v>42.55</v>
      </c>
      <c r="N1034" s="40" t="n">
        <f aca="false">ROUND(SUM(N1026:N1033),2)</f>
        <v>39.82</v>
      </c>
    </row>
    <row r="1035" customFormat="false" ht="15" hidden="false" customHeight="false" outlineLevel="0" collapsed="false">
      <c r="A1035" s="15" t="s">
        <v>270</v>
      </c>
      <c r="B1035" s="41" t="n">
        <f aca="false">IF((F1028+F1026+F1030+F1027+F1029)=0,"",((F1028+F1026+F1030+F1027+F1029)-(B1028*D1028+B1026*D1026+B1030*D1030+B1027*D1027+B1029*D1029))/(F1028+F1026+F1030+F1027+F1029))</f>
        <v>0.207212503537285</v>
      </c>
      <c r="D1035" s="42" t="str">
        <f aca="false">IF(B1035="","SIN PC",IF(B1035&gt;=Detalle!$G$1,"APROBAR",IF(B1035&gt;=0.2,"REVISAR","RECHAZAR")))</f>
        <v>REVISAR</v>
      </c>
      <c r="E1035" s="42"/>
      <c r="F1035" s="42"/>
    </row>
    <row r="1036" customFormat="false" ht="15" hidden="false" customHeight="false" outlineLevel="0" collapsed="false">
      <c r="A1036" s="44" t="s">
        <v>379</v>
      </c>
      <c r="B1036" s="44"/>
      <c r="C1036" s="44"/>
      <c r="D1036" s="44"/>
      <c r="E1036" s="44"/>
      <c r="F1036" s="44"/>
    </row>
    <row r="1037" customFormat="false" ht="15" hidden="false" customHeight="false" outlineLevel="0" collapsed="false">
      <c r="A1037" s="45" t="s">
        <v>247</v>
      </c>
      <c r="B1037" s="45" t="s">
        <v>380</v>
      </c>
      <c r="D1037" s="45" t="s">
        <v>381</v>
      </c>
      <c r="E1037" s="45" t="s">
        <v>382</v>
      </c>
      <c r="F1037" s="45" t="s">
        <v>256</v>
      </c>
    </row>
    <row r="1038" customFormat="false" ht="15" hidden="false" customHeight="false" outlineLevel="0" collapsed="false">
      <c r="A1038" s="46" t="s">
        <v>383</v>
      </c>
      <c r="B1038" s="47" t="n">
        <v>697</v>
      </c>
      <c r="C1038" s="48"/>
      <c r="D1038" s="26" t="n">
        <v>0.06</v>
      </c>
      <c r="E1038" s="48"/>
      <c r="F1038" s="49" t="n">
        <f aca="false">ROUND(B1038*D1038,2)</f>
        <v>41.82</v>
      </c>
    </row>
    <row r="1039" customFormat="false" ht="15" hidden="false" customHeight="false" outlineLevel="0" collapsed="false">
      <c r="A1039" s="46" t="s">
        <v>384</v>
      </c>
      <c r="B1039" s="48"/>
      <c r="C1039" s="48"/>
      <c r="D1039" s="48"/>
      <c r="E1039" s="50" t="n">
        <v>0.06</v>
      </c>
      <c r="F1039" s="49" t="n">
        <v>11.36</v>
      </c>
    </row>
    <row r="1040" customFormat="false" ht="15" hidden="false" customHeight="false" outlineLevel="0" collapsed="false">
      <c r="A1040" s="51" t="s">
        <v>385</v>
      </c>
      <c r="B1040" s="48"/>
      <c r="C1040" s="48"/>
      <c r="D1040" s="48"/>
      <c r="E1040" s="48"/>
      <c r="F1040" s="52" t="n">
        <f aca="false">F1038-F1039</f>
        <v>30.46</v>
      </c>
    </row>
    <row r="1042" customFormat="false" ht="15" hidden="false" customHeight="false" outlineLevel="0" collapsed="false">
      <c r="A1042" s="11" t="s">
        <v>707</v>
      </c>
      <c r="B1042" s="11"/>
      <c r="C1042" s="11"/>
      <c r="D1042" s="11"/>
      <c r="E1042" s="11"/>
      <c r="F1042" s="11"/>
      <c r="H1042" s="11" t="s">
        <v>708</v>
      </c>
      <c r="I1042" s="11"/>
      <c r="J1042" s="11"/>
      <c r="K1042" s="11"/>
      <c r="L1042" s="11"/>
      <c r="M1042" s="11"/>
      <c r="N1042" s="11"/>
      <c r="P1042" s="14" t="s">
        <v>246</v>
      </c>
    </row>
    <row r="1043" customFormat="false" ht="15" hidden="false" customHeight="false" outlineLevel="0" collapsed="false">
      <c r="A1043" s="15" t="s">
        <v>247</v>
      </c>
      <c r="B1043" s="16" t="s">
        <v>248</v>
      </c>
      <c r="C1043" s="17"/>
      <c r="D1043" s="17"/>
      <c r="E1043" s="17"/>
      <c r="F1043" s="17"/>
      <c r="H1043" s="18" t="s">
        <v>709</v>
      </c>
      <c r="I1043" s="19"/>
      <c r="J1043" s="19"/>
      <c r="L1043" s="20" t="s">
        <v>710</v>
      </c>
      <c r="M1043" s="21"/>
      <c r="N1043" s="21"/>
      <c r="P1043" s="14" t="s">
        <v>711</v>
      </c>
    </row>
    <row r="1044" customFormat="false" ht="15" hidden="false" customHeight="false" outlineLevel="0" collapsed="false">
      <c r="B1044" s="3" t="s">
        <v>252</v>
      </c>
      <c r="C1044" s="3" t="s">
        <v>253</v>
      </c>
      <c r="D1044" s="3" t="s">
        <v>254</v>
      </c>
      <c r="E1044" s="3" t="s">
        <v>255</v>
      </c>
      <c r="F1044" s="3" t="s">
        <v>256</v>
      </c>
      <c r="H1044" s="22" t="s">
        <v>252</v>
      </c>
      <c r="I1044" s="22" t="s">
        <v>255</v>
      </c>
      <c r="J1044" s="22" t="s">
        <v>256</v>
      </c>
      <c r="L1044" s="23" t="s">
        <v>252</v>
      </c>
      <c r="M1044" s="23" t="s">
        <v>255</v>
      </c>
      <c r="N1044" s="23" t="s">
        <v>256</v>
      </c>
      <c r="P1044" s="14" t="s">
        <v>712</v>
      </c>
    </row>
    <row r="1045" customFormat="false" ht="15" hidden="false" customHeight="false" outlineLevel="0" collapsed="false">
      <c r="A1045" s="24" t="s">
        <v>258</v>
      </c>
      <c r="B1045" s="25" t="n">
        <v>5.5</v>
      </c>
      <c r="C1045" s="25" t="n">
        <v>30</v>
      </c>
      <c r="D1045" s="26" t="n">
        <v>3.4086</v>
      </c>
      <c r="E1045" s="27" t="n">
        <v>3.85</v>
      </c>
      <c r="F1045" s="28" t="n">
        <f aca="false">ROUND(B1045*E1045,2)</f>
        <v>21.18</v>
      </c>
      <c r="H1045" s="29" t="n">
        <v>5.5</v>
      </c>
      <c r="I1045" s="30" t="n">
        <v>3.85</v>
      </c>
      <c r="J1045" s="31" t="n">
        <f aca="false">ROUND(H1045*I1045,2)</f>
        <v>21.18</v>
      </c>
      <c r="L1045" s="32" t="n">
        <v>5.5</v>
      </c>
      <c r="M1045" s="33" t="n">
        <v>3.85</v>
      </c>
      <c r="N1045" s="34" t="n">
        <f aca="false">ROUND(L1045*M1045,2)</f>
        <v>21.18</v>
      </c>
      <c r="P1045" s="35" t="s">
        <v>713</v>
      </c>
    </row>
    <row r="1046" customFormat="false" ht="15" hidden="false" customHeight="false" outlineLevel="0" collapsed="false">
      <c r="A1046" s="24" t="s">
        <v>260</v>
      </c>
      <c r="B1046" s="25" t="n">
        <v>5.5</v>
      </c>
      <c r="C1046" s="25" t="n">
        <v>30</v>
      </c>
      <c r="D1046" s="26" t="n">
        <v>1.09728</v>
      </c>
      <c r="E1046" s="27" t="n">
        <v>1.33</v>
      </c>
      <c r="F1046" s="28" t="n">
        <f aca="false">ROUND(B1046*E1046,2)</f>
        <v>7.32</v>
      </c>
      <c r="H1046" s="29" t="n">
        <v>5.5</v>
      </c>
      <c r="I1046" s="30" t="n">
        <v>1.33</v>
      </c>
      <c r="J1046" s="31" t="n">
        <f aca="false">ROUND(H1046*I1046,2)</f>
        <v>7.32</v>
      </c>
      <c r="L1046" s="32" t="n">
        <v>5.5</v>
      </c>
      <c r="M1046" s="33" t="n">
        <v>1.33</v>
      </c>
      <c r="N1046" s="34" t="n">
        <f aca="false">ROUND(L1046*M1046,2)</f>
        <v>7.32</v>
      </c>
      <c r="P1046" s="36" t="s">
        <v>261</v>
      </c>
    </row>
    <row r="1047" customFormat="false" ht="15" hidden="false" customHeight="false" outlineLevel="0" collapsed="false">
      <c r="A1047" s="24" t="s">
        <v>262</v>
      </c>
      <c r="B1047" s="25" t="n">
        <v>50.062</v>
      </c>
      <c r="C1047" s="25" t="n">
        <v>30</v>
      </c>
      <c r="D1047" s="26" t="n">
        <v>0.110306</v>
      </c>
      <c r="E1047" s="27" t="n">
        <v>0.13788</v>
      </c>
      <c r="F1047" s="28" t="n">
        <f aca="false">ROUND(B1047*E1047,2)</f>
        <v>6.9</v>
      </c>
      <c r="H1047" s="29" t="n">
        <v>68.467</v>
      </c>
      <c r="I1047" s="30" t="n">
        <v>0.13788</v>
      </c>
      <c r="J1047" s="31" t="n">
        <f aca="false">ROUND(H1047*I1047,2)</f>
        <v>9.44</v>
      </c>
      <c r="L1047" s="32" t="n">
        <v>87.612</v>
      </c>
      <c r="M1047" s="33" t="n">
        <v>0.13788</v>
      </c>
      <c r="N1047" s="34" t="n">
        <f aca="false">ROUND(L1047*M1047,2)</f>
        <v>12.08</v>
      </c>
      <c r="P1047" s="35" t="s">
        <v>714</v>
      </c>
    </row>
    <row r="1048" customFormat="false" ht="15" hidden="false" customHeight="false" outlineLevel="0" collapsed="false">
      <c r="A1048" s="24" t="s">
        <v>264</v>
      </c>
      <c r="B1048" s="25" t="n">
        <v>48.315</v>
      </c>
      <c r="C1048" s="25" t="n">
        <v>30</v>
      </c>
      <c r="D1048" s="26" t="n">
        <v>0.110306</v>
      </c>
      <c r="E1048" s="27" t="n">
        <v>0.13788</v>
      </c>
      <c r="F1048" s="28" t="n">
        <f aca="false">ROUND(B1048*E1048,2)</f>
        <v>6.66</v>
      </c>
      <c r="H1048" s="29" t="n">
        <v>58.682</v>
      </c>
      <c r="I1048" s="30" t="n">
        <v>0.13788</v>
      </c>
      <c r="J1048" s="31" t="n">
        <f aca="false">ROUND(H1048*I1048,2)</f>
        <v>8.09</v>
      </c>
      <c r="L1048" s="32" t="n">
        <v>74.993</v>
      </c>
      <c r="M1048" s="33" t="n">
        <v>0.13788</v>
      </c>
      <c r="N1048" s="34" t="n">
        <f aca="false">ROUND(L1048*M1048,2)</f>
        <v>10.34</v>
      </c>
    </row>
    <row r="1049" customFormat="false" ht="15" hidden="false" customHeight="false" outlineLevel="0" collapsed="false">
      <c r="A1049" s="24" t="s">
        <v>265</v>
      </c>
      <c r="B1049" s="25" t="n">
        <v>127.379</v>
      </c>
      <c r="C1049" s="25" t="n">
        <v>30</v>
      </c>
      <c r="D1049" s="26" t="n">
        <v>0.110306</v>
      </c>
      <c r="E1049" s="27" t="n">
        <v>0.13788</v>
      </c>
      <c r="F1049" s="28" t="n">
        <f aca="false">ROUND(B1049*E1049,2)</f>
        <v>17.56</v>
      </c>
      <c r="H1049" s="29" t="n">
        <v>140.567</v>
      </c>
      <c r="I1049" s="30" t="n">
        <v>0.13788</v>
      </c>
      <c r="J1049" s="31" t="n">
        <f aca="false">ROUND(H1049*I1049,2)</f>
        <v>19.38</v>
      </c>
      <c r="L1049" s="32" t="n">
        <v>155.738</v>
      </c>
      <c r="M1049" s="33" t="n">
        <v>0.13788</v>
      </c>
      <c r="N1049" s="34" t="n">
        <f aca="false">ROUND(L1049*M1049,2)</f>
        <v>21.47</v>
      </c>
    </row>
    <row r="1050" customFormat="false" ht="15" hidden="false" customHeight="false" outlineLevel="0" collapsed="false">
      <c r="A1050" s="24" t="s">
        <v>266</v>
      </c>
      <c r="B1050" s="25" t="n">
        <v>1</v>
      </c>
      <c r="C1050" s="25" t="n">
        <v>30</v>
      </c>
      <c r="D1050" s="26" t="n">
        <v>0.7989</v>
      </c>
      <c r="E1050" s="27" t="n">
        <v>3</v>
      </c>
      <c r="F1050" s="28" t="n">
        <f aca="false">ROUND(B1050*E1050,2)</f>
        <v>3</v>
      </c>
      <c r="H1050" s="29" t="n">
        <v>1</v>
      </c>
      <c r="I1050" s="30" t="n">
        <v>3</v>
      </c>
      <c r="J1050" s="31" t="n">
        <f aca="false">ROUND(H1050*I1050,2)</f>
        <v>3</v>
      </c>
      <c r="L1050" s="32" t="n">
        <v>1</v>
      </c>
      <c r="M1050" s="33" t="n">
        <v>3</v>
      </c>
      <c r="N1050" s="34" t="n">
        <f aca="false">ROUND(L1050*M1050,2)</f>
        <v>3</v>
      </c>
    </row>
    <row r="1051" customFormat="false" ht="15" hidden="false" customHeight="false" outlineLevel="0" collapsed="false">
      <c r="A1051" s="24" t="s">
        <v>267</v>
      </c>
      <c r="B1051" s="25" t="n">
        <v>30</v>
      </c>
      <c r="C1051" s="25" t="n">
        <v>30</v>
      </c>
      <c r="D1051" s="26" t="n">
        <v>0.5736</v>
      </c>
      <c r="E1051" s="27" t="n">
        <v>0.01274</v>
      </c>
      <c r="F1051" s="28" t="n">
        <f aca="false">ROUND(B1051*E1051,2)</f>
        <v>0.38</v>
      </c>
      <c r="H1051" s="29" t="n">
        <v>30</v>
      </c>
      <c r="I1051" s="30" t="n">
        <v>0.01274</v>
      </c>
      <c r="J1051" s="31" t="n">
        <f aca="false">ROUND(H1051*I1051,2)</f>
        <v>0.38</v>
      </c>
      <c r="L1051" s="32" t="n">
        <v>30</v>
      </c>
      <c r="M1051" s="33" t="n">
        <v>0.00629</v>
      </c>
      <c r="N1051" s="34" t="n">
        <f aca="false">ROUND(L1051*M1051,2)</f>
        <v>0.19</v>
      </c>
    </row>
    <row r="1052" customFormat="false" ht="15" hidden="false" customHeight="false" outlineLevel="0" collapsed="false">
      <c r="A1052" s="24" t="s">
        <v>268</v>
      </c>
      <c r="B1052" s="25" t="n">
        <v>2.5</v>
      </c>
      <c r="C1052" s="25" t="n">
        <v>30</v>
      </c>
      <c r="D1052" s="26" t="n">
        <v>0.24729</v>
      </c>
      <c r="E1052" s="27" t="n">
        <v>1</v>
      </c>
      <c r="F1052" s="28" t="n">
        <f aca="false">ROUND(B1052*E1052,2)</f>
        <v>2.5</v>
      </c>
      <c r="H1052" s="29" t="n">
        <v>3.03</v>
      </c>
      <c r="I1052" s="30" t="n">
        <v>1</v>
      </c>
      <c r="J1052" s="31" t="n">
        <f aca="false">ROUND(H1052*I1052,2)</f>
        <v>3.03</v>
      </c>
      <c r="L1052" s="32" t="n">
        <v>3.12</v>
      </c>
      <c r="M1052" s="33" t="n">
        <v>1</v>
      </c>
      <c r="N1052" s="34" t="n">
        <f aca="false">ROUND(L1052*M1052,2)</f>
        <v>3.12</v>
      </c>
    </row>
    <row r="1053" customFormat="false" ht="15" hidden="false" customHeight="false" outlineLevel="0" collapsed="false">
      <c r="A1053" s="37" t="s">
        <v>269</v>
      </c>
      <c r="F1053" s="38" t="n">
        <f aca="false">ROUND((SUM(F1045:F1052)-F1052)*1.1+F1052,2)</f>
        <v>71.8</v>
      </c>
      <c r="J1053" s="39" t="n">
        <f aca="false">ROUND(SUM(J1045:J1052),2)</f>
        <v>71.82</v>
      </c>
      <c r="N1053" s="40" t="n">
        <f aca="false">ROUND(SUM(N1045:N1052),2)</f>
        <v>78.7</v>
      </c>
    </row>
    <row r="1054" customFormat="false" ht="15" hidden="false" customHeight="false" outlineLevel="0" collapsed="false">
      <c r="A1054" s="15" t="s">
        <v>270</v>
      </c>
      <c r="B1054" s="41" t="n">
        <f aca="false">IF((F1047+F1045+F1049+F1046+F1048)=0,"",((F1047+F1045+F1049+F1046+F1048)-(B1047*D1047+B1045*D1045+B1049*D1049+B1046*D1046+B1048*D1048))/(F1047+F1045+F1049+F1046+F1048))</f>
        <v>0.166645734048977</v>
      </c>
      <c r="D1054" s="42" t="str">
        <f aca="false">IF(B1054="","SIN PC",IF(B1054&gt;=Detalle!$G$1,"APROBAR",IF(B1054&gt;=0.2,"REVISAR","RECHAZAR")))</f>
        <v>RECHAZAR</v>
      </c>
      <c r="E1054" s="42"/>
      <c r="F1054" s="42"/>
    </row>
    <row r="1055" customFormat="false" ht="15" hidden="false" customHeight="false" outlineLevel="0" collapsed="false">
      <c r="A1055" s="44" t="s">
        <v>379</v>
      </c>
      <c r="B1055" s="44"/>
      <c r="C1055" s="44"/>
      <c r="D1055" s="44"/>
      <c r="E1055" s="44"/>
      <c r="F1055" s="44"/>
    </row>
    <row r="1056" customFormat="false" ht="15" hidden="false" customHeight="false" outlineLevel="0" collapsed="false">
      <c r="A1056" s="45" t="s">
        <v>247</v>
      </c>
      <c r="B1056" s="45" t="s">
        <v>380</v>
      </c>
      <c r="D1056" s="45" t="s">
        <v>381</v>
      </c>
      <c r="E1056" s="45" t="s">
        <v>382</v>
      </c>
      <c r="F1056" s="45" t="s">
        <v>256</v>
      </c>
    </row>
    <row r="1057" customFormat="false" ht="15" hidden="false" customHeight="false" outlineLevel="0" collapsed="false">
      <c r="A1057" s="46" t="s">
        <v>383</v>
      </c>
      <c r="B1057" s="47" t="n">
        <v>171</v>
      </c>
      <c r="C1057" s="48"/>
      <c r="D1057" s="26" t="n">
        <v>0.06</v>
      </c>
      <c r="E1057" s="48"/>
      <c r="F1057" s="49" t="n">
        <f aca="false">ROUND(B1057*D1057,2)</f>
        <v>10.26</v>
      </c>
    </row>
    <row r="1058" customFormat="false" ht="15" hidden="false" customHeight="false" outlineLevel="0" collapsed="false">
      <c r="A1058" s="46" t="s">
        <v>384</v>
      </c>
      <c r="B1058" s="48"/>
      <c r="C1058" s="48"/>
      <c r="D1058" s="48"/>
      <c r="E1058" s="50" t="n">
        <v>0.06</v>
      </c>
      <c r="F1058" s="49" t="n">
        <v>10.81</v>
      </c>
    </row>
    <row r="1059" customFormat="false" ht="15" hidden="false" customHeight="false" outlineLevel="0" collapsed="false">
      <c r="A1059" s="51" t="s">
        <v>385</v>
      </c>
      <c r="B1059" s="48"/>
      <c r="C1059" s="48"/>
      <c r="D1059" s="48"/>
      <c r="E1059" s="48"/>
      <c r="F1059" s="52" t="n">
        <f aca="false">F1057-F1058</f>
        <v>-0.550000000000001</v>
      </c>
    </row>
    <row r="1061" customFormat="false" ht="15" hidden="false" customHeight="false" outlineLevel="0" collapsed="false">
      <c r="A1061" s="11" t="s">
        <v>715</v>
      </c>
      <c r="B1061" s="11"/>
      <c r="C1061" s="11"/>
      <c r="D1061" s="11"/>
      <c r="E1061" s="11"/>
      <c r="F1061" s="11"/>
      <c r="H1061" s="11" t="s">
        <v>716</v>
      </c>
      <c r="I1061" s="11"/>
      <c r="J1061" s="11"/>
      <c r="K1061" s="11"/>
      <c r="L1061" s="11"/>
      <c r="M1061" s="11"/>
      <c r="N1061" s="11"/>
      <c r="P1061" s="14" t="s">
        <v>246</v>
      </c>
    </row>
    <row r="1062" customFormat="false" ht="15" hidden="false" customHeight="false" outlineLevel="0" collapsed="false">
      <c r="A1062" s="15" t="s">
        <v>247</v>
      </c>
      <c r="B1062" s="16" t="s">
        <v>248</v>
      </c>
      <c r="C1062" s="17"/>
      <c r="D1062" s="17"/>
      <c r="E1062" s="17"/>
      <c r="F1062" s="17"/>
      <c r="H1062" s="18" t="s">
        <v>717</v>
      </c>
      <c r="I1062" s="19"/>
      <c r="J1062" s="19"/>
      <c r="L1062" s="20" t="s">
        <v>718</v>
      </c>
      <c r="M1062" s="21"/>
      <c r="N1062" s="21"/>
      <c r="P1062" s="14" t="s">
        <v>719</v>
      </c>
    </row>
    <row r="1063" customFormat="false" ht="15" hidden="false" customHeight="false" outlineLevel="0" collapsed="false">
      <c r="B1063" s="3" t="s">
        <v>252</v>
      </c>
      <c r="C1063" s="3" t="s">
        <v>253</v>
      </c>
      <c r="D1063" s="3" t="s">
        <v>254</v>
      </c>
      <c r="E1063" s="3" t="s">
        <v>255</v>
      </c>
      <c r="F1063" s="3" t="s">
        <v>256</v>
      </c>
      <c r="H1063" s="22" t="s">
        <v>252</v>
      </c>
      <c r="I1063" s="22" t="s">
        <v>255</v>
      </c>
      <c r="J1063" s="22" t="s">
        <v>256</v>
      </c>
      <c r="L1063" s="23" t="s">
        <v>252</v>
      </c>
      <c r="M1063" s="23" t="s">
        <v>255</v>
      </c>
      <c r="N1063" s="23" t="s">
        <v>256</v>
      </c>
      <c r="P1063" s="14" t="s">
        <v>720</v>
      </c>
    </row>
    <row r="1064" customFormat="false" ht="15" hidden="false" customHeight="false" outlineLevel="0" collapsed="false">
      <c r="A1064" s="24" t="s">
        <v>258</v>
      </c>
      <c r="B1064" s="25" t="n">
        <v>5.75</v>
      </c>
      <c r="C1064" s="25" t="n">
        <v>30</v>
      </c>
      <c r="D1064" s="26" t="n">
        <v>3.68919</v>
      </c>
      <c r="E1064" s="27" t="n">
        <v>4.17</v>
      </c>
      <c r="F1064" s="28" t="n">
        <f aca="false">ROUND(B1064*E1064,2)</f>
        <v>23.98</v>
      </c>
      <c r="H1064" s="29" t="n">
        <v>5.75</v>
      </c>
      <c r="I1064" s="30" t="n">
        <v>4.17</v>
      </c>
      <c r="J1064" s="31" t="n">
        <f aca="false">ROUND(H1064*I1064,2)</f>
        <v>23.98</v>
      </c>
      <c r="L1064" s="32" t="n">
        <v>5.75</v>
      </c>
      <c r="M1064" s="33" t="n">
        <v>4.17</v>
      </c>
      <c r="N1064" s="34" t="n">
        <f aca="false">ROUND(L1064*M1064,2)</f>
        <v>23.98</v>
      </c>
      <c r="P1064" s="35" t="s">
        <v>721</v>
      </c>
    </row>
    <row r="1065" customFormat="false" ht="15" hidden="false" customHeight="false" outlineLevel="0" collapsed="false">
      <c r="A1065" s="24" t="s">
        <v>260</v>
      </c>
      <c r="B1065" s="25" t="n">
        <v>5.75</v>
      </c>
      <c r="C1065" s="25" t="n">
        <v>30</v>
      </c>
      <c r="D1065" s="26" t="n">
        <v>1.31928</v>
      </c>
      <c r="E1065" s="27" t="n">
        <v>1.37</v>
      </c>
      <c r="F1065" s="28" t="n">
        <f aca="false">ROUND(B1065*E1065,2)</f>
        <v>7.88</v>
      </c>
      <c r="H1065" s="29" t="n">
        <v>5.75</v>
      </c>
      <c r="I1065" s="30" t="n">
        <v>1.37</v>
      </c>
      <c r="J1065" s="31" t="n">
        <f aca="false">ROUND(H1065*I1065,2)</f>
        <v>7.88</v>
      </c>
      <c r="L1065" s="32" t="n">
        <v>5.75</v>
      </c>
      <c r="M1065" s="33" t="n">
        <v>1.37</v>
      </c>
      <c r="N1065" s="34" t="n">
        <f aca="false">ROUND(L1065*M1065,2)</f>
        <v>7.88</v>
      </c>
      <c r="P1065" s="36" t="s">
        <v>261</v>
      </c>
    </row>
    <row r="1066" customFormat="false" ht="15" hidden="false" customHeight="false" outlineLevel="0" collapsed="false">
      <c r="A1066" s="24" t="s">
        <v>262</v>
      </c>
      <c r="B1066" s="25" t="n">
        <v>329.249</v>
      </c>
      <c r="C1066" s="25" t="n">
        <v>30</v>
      </c>
      <c r="D1066" s="26" t="n">
        <v>0.111171</v>
      </c>
      <c r="E1066" s="27" t="n">
        <v>0.14937</v>
      </c>
      <c r="F1066" s="28" t="n">
        <f aca="false">ROUND(B1066*E1066,2)</f>
        <v>49.18</v>
      </c>
      <c r="H1066" s="29" t="n">
        <v>400.896</v>
      </c>
      <c r="I1066" s="30" t="n">
        <v>0.139</v>
      </c>
      <c r="J1066" s="31" t="n">
        <f aca="false">ROUND(H1066*I1066,2)</f>
        <v>55.72</v>
      </c>
      <c r="L1066" s="32" t="n">
        <v>250.786</v>
      </c>
      <c r="M1066" s="33" t="n">
        <v>0.14937</v>
      </c>
      <c r="N1066" s="34" t="n">
        <f aca="false">ROUND(L1066*M1066,2)</f>
        <v>37.46</v>
      </c>
      <c r="P1066" s="35" t="s">
        <v>722</v>
      </c>
    </row>
    <row r="1067" customFormat="false" ht="15" hidden="false" customHeight="false" outlineLevel="0" collapsed="false">
      <c r="A1067" s="24" t="s">
        <v>264</v>
      </c>
      <c r="B1067" s="25" t="n">
        <v>316.565</v>
      </c>
      <c r="C1067" s="25" t="n">
        <v>30</v>
      </c>
      <c r="D1067" s="26" t="n">
        <v>0.111171</v>
      </c>
      <c r="E1067" s="27" t="n">
        <v>0.14937</v>
      </c>
      <c r="F1067" s="28" t="n">
        <f aca="false">ROUND(B1067*E1067,2)</f>
        <v>47.29</v>
      </c>
      <c r="H1067" s="29" t="n">
        <v>379.298</v>
      </c>
      <c r="I1067" s="30" t="n">
        <v>0.135</v>
      </c>
      <c r="J1067" s="31" t="n">
        <f aca="false">ROUND(H1067*I1067,2)</f>
        <v>51.21</v>
      </c>
      <c r="L1067" s="32" t="n">
        <v>263.486</v>
      </c>
      <c r="M1067" s="33" t="n">
        <v>0.14937</v>
      </c>
      <c r="N1067" s="34" t="n">
        <f aca="false">ROUND(L1067*M1067,2)</f>
        <v>39.36</v>
      </c>
    </row>
    <row r="1068" customFormat="false" ht="15" hidden="false" customHeight="false" outlineLevel="0" collapsed="false">
      <c r="A1068" s="24" t="s">
        <v>265</v>
      </c>
      <c r="B1068" s="25" t="n">
        <v>678.675</v>
      </c>
      <c r="C1068" s="25" t="n">
        <v>30</v>
      </c>
      <c r="D1068" s="26" t="n">
        <v>0.111171</v>
      </c>
      <c r="E1068" s="27" t="n">
        <v>0.14937</v>
      </c>
      <c r="F1068" s="28" t="n">
        <f aca="false">ROUND(B1068*E1068,2)</f>
        <v>101.37</v>
      </c>
      <c r="H1068" s="29" t="n">
        <v>590.773</v>
      </c>
      <c r="I1068" s="30" t="n">
        <v>0.135</v>
      </c>
      <c r="J1068" s="31" t="n">
        <f aca="false">ROUND(H1068*I1068,2)</f>
        <v>79.75</v>
      </c>
      <c r="L1068" s="32" t="n">
        <v>539.254</v>
      </c>
      <c r="M1068" s="33" t="n">
        <v>0.14937</v>
      </c>
      <c r="N1068" s="34" t="n">
        <f aca="false">ROUND(L1068*M1068,2)</f>
        <v>80.55</v>
      </c>
    </row>
    <row r="1069" customFormat="false" ht="15" hidden="false" customHeight="false" outlineLevel="0" collapsed="false">
      <c r="A1069" s="24" t="s">
        <v>266</v>
      </c>
      <c r="B1069" s="25" t="n">
        <v>1</v>
      </c>
      <c r="C1069" s="25" t="n">
        <v>30</v>
      </c>
      <c r="D1069" s="26" t="n">
        <v>0.7989</v>
      </c>
      <c r="E1069" s="27" t="n">
        <v>4</v>
      </c>
      <c r="F1069" s="28" t="n">
        <f aca="false">ROUND(B1069*E1069,2)</f>
        <v>4</v>
      </c>
      <c r="H1069" s="29" t="n">
        <v>1</v>
      </c>
      <c r="I1069" s="30" t="n">
        <v>4</v>
      </c>
      <c r="J1069" s="31" t="n">
        <f aca="false">ROUND(H1069*I1069,2)</f>
        <v>4</v>
      </c>
      <c r="L1069" s="32" t="n">
        <v>1</v>
      </c>
      <c r="M1069" s="33" t="n">
        <v>4</v>
      </c>
      <c r="N1069" s="34" t="n">
        <f aca="false">ROUND(L1069*M1069,2)</f>
        <v>4</v>
      </c>
    </row>
    <row r="1070" customFormat="false" ht="15" hidden="false" customHeight="false" outlineLevel="0" collapsed="false">
      <c r="A1070" s="24" t="s">
        <v>267</v>
      </c>
      <c r="B1070" s="25" t="n">
        <v>30</v>
      </c>
      <c r="C1070" s="25" t="n">
        <v>30</v>
      </c>
      <c r="D1070" s="26" t="n">
        <v>0.5736</v>
      </c>
      <c r="E1070" s="27" t="n">
        <v>0.01274</v>
      </c>
      <c r="F1070" s="28" t="n">
        <f aca="false">ROUND(B1070*E1070,2)</f>
        <v>0.38</v>
      </c>
      <c r="H1070" s="29" t="n">
        <v>30</v>
      </c>
      <c r="I1070" s="30" t="n">
        <v>0.01274</v>
      </c>
      <c r="J1070" s="31" t="n">
        <f aca="false">ROUND(H1070*I1070,2)</f>
        <v>0.38</v>
      </c>
      <c r="L1070" s="32" t="n">
        <v>30</v>
      </c>
      <c r="M1070" s="33" t="n">
        <v>0.00629</v>
      </c>
      <c r="N1070" s="34" t="n">
        <f aca="false">ROUND(L1070*M1070,2)</f>
        <v>0.19</v>
      </c>
    </row>
    <row r="1071" customFormat="false" ht="15" hidden="false" customHeight="false" outlineLevel="0" collapsed="false">
      <c r="A1071" s="24" t="s">
        <v>268</v>
      </c>
      <c r="B1071" s="25" t="n">
        <v>11.75</v>
      </c>
      <c r="C1071" s="25" t="n">
        <v>30</v>
      </c>
      <c r="D1071" s="26" t="n">
        <v>0.27312</v>
      </c>
      <c r="E1071" s="27" t="n">
        <v>1</v>
      </c>
      <c r="F1071" s="28" t="n">
        <f aca="false">ROUND(B1071*E1071,2)</f>
        <v>11.75</v>
      </c>
      <c r="H1071" s="29" t="n">
        <v>11.93</v>
      </c>
      <c r="I1071" s="30" t="n">
        <v>1</v>
      </c>
      <c r="J1071" s="31" t="n">
        <f aca="false">ROUND(H1071*I1071,2)</f>
        <v>11.93</v>
      </c>
      <c r="L1071" s="32" t="n">
        <v>9.68</v>
      </c>
      <c r="M1071" s="33" t="n">
        <v>1</v>
      </c>
      <c r="N1071" s="34" t="n">
        <f aca="false">ROUND(L1071*M1071,2)</f>
        <v>9.68</v>
      </c>
    </row>
    <row r="1072" customFormat="false" ht="15" hidden="false" customHeight="false" outlineLevel="0" collapsed="false">
      <c r="A1072" s="37" t="s">
        <v>269</v>
      </c>
      <c r="F1072" s="38" t="n">
        <f aca="false">ROUND((SUM(F1064:F1071)-F1071)*1.1+F1071,2)</f>
        <v>269.24</v>
      </c>
      <c r="J1072" s="39" t="n">
        <f aca="false">ROUND(SUM(J1064:J1071),2)</f>
        <v>234.85</v>
      </c>
      <c r="N1072" s="40" t="n">
        <f aca="false">ROUND(SUM(N1064:N1071),2)</f>
        <v>203.1</v>
      </c>
    </row>
    <row r="1073" customFormat="false" ht="15" hidden="false" customHeight="false" outlineLevel="0" collapsed="false">
      <c r="A1073" s="15" t="s">
        <v>270</v>
      </c>
      <c r="B1073" s="41" t="n">
        <f aca="false">IF((F1066+F1064+F1068+F1065+F1067)=0,"",((F1066+F1064+F1068+F1065+F1067)-(B1066*D1066+B1064*D1064+B1068*D1068+B1065*D1065+B1067*D1067))/(F1066+F1064+F1068+F1065+F1067))</f>
        <v>0.233593952464084</v>
      </c>
      <c r="D1073" s="42" t="str">
        <f aca="false">IF(B1073="","SIN PC",IF(B1073&gt;=Detalle!$G$1,"APROBAR",IF(B1073&gt;=0.2,"REVISAR","RECHAZAR")))</f>
        <v>REVISAR</v>
      </c>
      <c r="E1073" s="42"/>
      <c r="F1073" s="42"/>
    </row>
    <row r="1075" customFormat="false" ht="15" hidden="false" customHeight="false" outlineLevel="0" collapsed="false">
      <c r="A1075" s="11" t="s">
        <v>723</v>
      </c>
      <c r="B1075" s="11"/>
      <c r="C1075" s="11"/>
      <c r="D1075" s="11"/>
      <c r="E1075" s="11"/>
      <c r="F1075" s="11"/>
      <c r="H1075" s="11" t="s">
        <v>724</v>
      </c>
      <c r="I1075" s="11"/>
      <c r="J1075" s="11"/>
      <c r="K1075" s="11"/>
      <c r="L1075" s="11"/>
      <c r="M1075" s="11"/>
      <c r="N1075" s="11"/>
      <c r="P1075" s="14" t="s">
        <v>246</v>
      </c>
    </row>
    <row r="1076" customFormat="false" ht="15" hidden="false" customHeight="false" outlineLevel="0" collapsed="false">
      <c r="A1076" s="15" t="s">
        <v>247</v>
      </c>
      <c r="B1076" s="16" t="s">
        <v>248</v>
      </c>
      <c r="C1076" s="17"/>
      <c r="D1076" s="17"/>
      <c r="E1076" s="17"/>
      <c r="F1076" s="17"/>
      <c r="H1076" s="18" t="s">
        <v>725</v>
      </c>
      <c r="I1076" s="19"/>
      <c r="J1076" s="19"/>
      <c r="L1076" s="20" t="s">
        <v>726</v>
      </c>
      <c r="M1076" s="21"/>
      <c r="N1076" s="21"/>
      <c r="P1076" s="14" t="s">
        <v>727</v>
      </c>
    </row>
    <row r="1077" customFormat="false" ht="15" hidden="false" customHeight="false" outlineLevel="0" collapsed="false">
      <c r="B1077" s="3" t="s">
        <v>252</v>
      </c>
      <c r="C1077" s="3" t="s">
        <v>253</v>
      </c>
      <c r="D1077" s="3" t="s">
        <v>254</v>
      </c>
      <c r="E1077" s="3" t="s">
        <v>255</v>
      </c>
      <c r="F1077" s="3" t="s">
        <v>256</v>
      </c>
      <c r="H1077" s="22" t="s">
        <v>252</v>
      </c>
      <c r="I1077" s="22" t="s">
        <v>255</v>
      </c>
      <c r="J1077" s="22" t="s">
        <v>256</v>
      </c>
      <c r="L1077" s="23" t="s">
        <v>252</v>
      </c>
      <c r="M1077" s="23" t="s">
        <v>255</v>
      </c>
      <c r="N1077" s="23" t="s">
        <v>256</v>
      </c>
      <c r="P1077" s="14" t="s">
        <v>728</v>
      </c>
    </row>
    <row r="1078" customFormat="false" ht="15" hidden="false" customHeight="false" outlineLevel="0" collapsed="false">
      <c r="A1078" s="24" t="s">
        <v>258</v>
      </c>
      <c r="B1078" s="25" t="n">
        <v>5.75</v>
      </c>
      <c r="C1078" s="25" t="n">
        <v>30</v>
      </c>
      <c r="D1078" s="26" t="n">
        <v>3.68919</v>
      </c>
      <c r="E1078" s="27" t="n">
        <v>3.85</v>
      </c>
      <c r="F1078" s="28" t="n">
        <f aca="false">ROUND(B1078*E1078,2)</f>
        <v>22.14</v>
      </c>
      <c r="H1078" s="29" t="n">
        <v>5.75</v>
      </c>
      <c r="I1078" s="30" t="n">
        <v>3.85</v>
      </c>
      <c r="J1078" s="31" t="n">
        <f aca="false">ROUND(H1078*I1078,2)</f>
        <v>22.14</v>
      </c>
      <c r="L1078" s="32" t="n">
        <v>5.75</v>
      </c>
      <c r="M1078" s="33" t="n">
        <v>3.85</v>
      </c>
      <c r="N1078" s="34" t="n">
        <f aca="false">ROUND(L1078*M1078,2)</f>
        <v>22.14</v>
      </c>
      <c r="P1078" s="35" t="s">
        <v>729</v>
      </c>
    </row>
    <row r="1079" customFormat="false" ht="15" hidden="false" customHeight="false" outlineLevel="0" collapsed="false">
      <c r="A1079" s="24" t="s">
        <v>260</v>
      </c>
      <c r="B1079" s="25" t="n">
        <v>5.75</v>
      </c>
      <c r="C1079" s="25" t="n">
        <v>30</v>
      </c>
      <c r="D1079" s="26" t="n">
        <v>1.31928</v>
      </c>
      <c r="E1079" s="27" t="n">
        <v>1.33</v>
      </c>
      <c r="F1079" s="28" t="n">
        <f aca="false">ROUND(B1079*E1079,2)</f>
        <v>7.65</v>
      </c>
      <c r="H1079" s="29" t="n">
        <v>5.75</v>
      </c>
      <c r="I1079" s="30" t="n">
        <v>1.33</v>
      </c>
      <c r="J1079" s="31" t="n">
        <f aca="false">ROUND(H1079*I1079,2)</f>
        <v>7.65</v>
      </c>
      <c r="L1079" s="32" t="n">
        <v>5.75</v>
      </c>
      <c r="M1079" s="33" t="n">
        <v>1.33</v>
      </c>
      <c r="N1079" s="34" t="n">
        <f aca="false">ROUND(L1079*M1079,2)</f>
        <v>7.65</v>
      </c>
      <c r="P1079" s="36" t="s">
        <v>261</v>
      </c>
    </row>
    <row r="1080" customFormat="false" ht="15" hidden="false" customHeight="false" outlineLevel="0" collapsed="false">
      <c r="A1080" s="24" t="s">
        <v>262</v>
      </c>
      <c r="B1080" s="25" t="n">
        <v>151.71</v>
      </c>
      <c r="C1080" s="25" t="n">
        <v>30</v>
      </c>
      <c r="D1080" s="26" t="n">
        <v>0.111171</v>
      </c>
      <c r="E1080" s="27" t="n">
        <v>0.13788</v>
      </c>
      <c r="F1080" s="28" t="n">
        <f aca="false">ROUND(B1080*E1080,2)</f>
        <v>20.92</v>
      </c>
      <c r="H1080" s="29" t="n">
        <v>137.206</v>
      </c>
      <c r="I1080" s="30" t="n">
        <v>0.13788</v>
      </c>
      <c r="J1080" s="31" t="n">
        <f aca="false">ROUND(H1080*I1080,2)</f>
        <v>18.92</v>
      </c>
      <c r="L1080" s="32" t="n">
        <v>102.969</v>
      </c>
      <c r="M1080" s="33" t="n">
        <v>0.13788</v>
      </c>
      <c r="N1080" s="34" t="n">
        <f aca="false">ROUND(L1080*M1080,2)</f>
        <v>14.2</v>
      </c>
      <c r="P1080" s="35" t="s">
        <v>730</v>
      </c>
    </row>
    <row r="1081" customFormat="false" ht="15" hidden="false" customHeight="false" outlineLevel="0" collapsed="false">
      <c r="A1081" s="24" t="s">
        <v>264</v>
      </c>
      <c r="B1081" s="25" t="n">
        <v>145.141</v>
      </c>
      <c r="C1081" s="25" t="n">
        <v>30</v>
      </c>
      <c r="D1081" s="26" t="n">
        <v>0.111171</v>
      </c>
      <c r="E1081" s="27" t="n">
        <v>0.13788</v>
      </c>
      <c r="F1081" s="28" t="n">
        <f aca="false">ROUND(B1081*E1081,2)</f>
        <v>20.01</v>
      </c>
      <c r="H1081" s="29" t="n">
        <v>123.453</v>
      </c>
      <c r="I1081" s="30" t="n">
        <v>0.13788</v>
      </c>
      <c r="J1081" s="31" t="n">
        <f aca="false">ROUND(H1081*I1081,2)</f>
        <v>17.02</v>
      </c>
      <c r="L1081" s="32" t="n">
        <v>106.748</v>
      </c>
      <c r="M1081" s="33" t="n">
        <v>0.13788</v>
      </c>
      <c r="N1081" s="34" t="n">
        <f aca="false">ROUND(L1081*M1081,2)</f>
        <v>14.72</v>
      </c>
    </row>
    <row r="1082" customFormat="false" ht="15" hidden="false" customHeight="false" outlineLevel="0" collapsed="false">
      <c r="A1082" s="24" t="s">
        <v>265</v>
      </c>
      <c r="B1082" s="25" t="n">
        <v>132.125</v>
      </c>
      <c r="C1082" s="25" t="n">
        <v>30</v>
      </c>
      <c r="D1082" s="26" t="n">
        <v>0.111171</v>
      </c>
      <c r="E1082" s="27" t="n">
        <v>0.13788</v>
      </c>
      <c r="F1082" s="28" t="n">
        <f aca="false">ROUND(B1082*E1082,2)</f>
        <v>18.22</v>
      </c>
      <c r="H1082" s="29" t="n">
        <v>120.741</v>
      </c>
      <c r="I1082" s="30" t="n">
        <v>0.13788</v>
      </c>
      <c r="J1082" s="31" t="n">
        <f aca="false">ROUND(H1082*I1082,2)</f>
        <v>16.65</v>
      </c>
      <c r="L1082" s="32" t="n">
        <v>110.985</v>
      </c>
      <c r="M1082" s="33" t="n">
        <v>0.13788</v>
      </c>
      <c r="N1082" s="34" t="n">
        <f aca="false">ROUND(L1082*M1082,2)</f>
        <v>15.3</v>
      </c>
    </row>
    <row r="1083" customFormat="false" ht="15" hidden="false" customHeight="false" outlineLevel="0" collapsed="false">
      <c r="A1083" s="24" t="s">
        <v>266</v>
      </c>
      <c r="B1083" s="25" t="n">
        <v>1</v>
      </c>
      <c r="C1083" s="25" t="n">
        <v>30</v>
      </c>
      <c r="D1083" s="26" t="n">
        <v>0.7989</v>
      </c>
      <c r="E1083" s="27" t="n">
        <v>3</v>
      </c>
      <c r="F1083" s="28" t="n">
        <f aca="false">ROUND(B1083*E1083,2)</f>
        <v>3</v>
      </c>
      <c r="H1083" s="29" t="n">
        <v>1</v>
      </c>
      <c r="I1083" s="30" t="n">
        <v>3</v>
      </c>
      <c r="J1083" s="31" t="n">
        <f aca="false">ROUND(H1083*I1083,2)</f>
        <v>3</v>
      </c>
      <c r="L1083" s="32" t="n">
        <v>1</v>
      </c>
      <c r="M1083" s="33" t="n">
        <v>3</v>
      </c>
      <c r="N1083" s="34" t="n">
        <f aca="false">ROUND(L1083*M1083,2)</f>
        <v>3</v>
      </c>
    </row>
    <row r="1084" customFormat="false" ht="15" hidden="false" customHeight="false" outlineLevel="0" collapsed="false">
      <c r="A1084" s="24" t="s">
        <v>267</v>
      </c>
      <c r="B1084" s="25" t="n">
        <v>30</v>
      </c>
      <c r="C1084" s="25" t="n">
        <v>30</v>
      </c>
      <c r="D1084" s="26" t="n">
        <v>0.5736</v>
      </c>
      <c r="E1084" s="27" t="n">
        <v>0.01274</v>
      </c>
      <c r="F1084" s="28" t="n">
        <f aca="false">ROUND(B1084*E1084,2)</f>
        <v>0.38</v>
      </c>
      <c r="H1084" s="29" t="n">
        <v>30</v>
      </c>
      <c r="I1084" s="30" t="n">
        <v>0.01274</v>
      </c>
      <c r="J1084" s="31" t="n">
        <f aca="false">ROUND(H1084*I1084,2)</f>
        <v>0.38</v>
      </c>
      <c r="L1084" s="32" t="n">
        <v>30</v>
      </c>
      <c r="M1084" s="33" t="n">
        <v>0.00629</v>
      </c>
      <c r="N1084" s="34" t="n">
        <f aca="false">ROUND(L1084*M1084,2)</f>
        <v>0.19</v>
      </c>
    </row>
    <row r="1085" customFormat="false" ht="15" hidden="false" customHeight="false" outlineLevel="0" collapsed="false">
      <c r="A1085" s="24" t="s">
        <v>268</v>
      </c>
      <c r="B1085" s="25" t="n">
        <v>4.55</v>
      </c>
      <c r="C1085" s="25" t="n">
        <v>30</v>
      </c>
      <c r="D1085" s="26" t="n">
        <v>0.02671</v>
      </c>
      <c r="E1085" s="27" t="n">
        <v>1</v>
      </c>
      <c r="F1085" s="28" t="n">
        <f aca="false">ROUND(B1085*E1085,2)</f>
        <v>4.55</v>
      </c>
      <c r="H1085" s="29" t="n">
        <v>4.22</v>
      </c>
      <c r="I1085" s="30" t="n">
        <v>1</v>
      </c>
      <c r="J1085" s="31" t="n">
        <f aca="false">ROUND(H1085*I1085,2)</f>
        <v>4.22</v>
      </c>
      <c r="L1085" s="32" t="n">
        <v>3.79</v>
      </c>
      <c r="M1085" s="33" t="n">
        <v>1</v>
      </c>
      <c r="N1085" s="34" t="n">
        <f aca="false">ROUND(L1085*M1085,2)</f>
        <v>3.79</v>
      </c>
    </row>
    <row r="1086" customFormat="false" ht="15" hidden="false" customHeight="false" outlineLevel="0" collapsed="false">
      <c r="A1086" s="37" t="s">
        <v>269</v>
      </c>
      <c r="F1086" s="38" t="n">
        <f aca="false">ROUND((SUM(F1078:F1085)-F1085)*1.1+F1085,2)</f>
        <v>106.1</v>
      </c>
      <c r="J1086" s="39" t="n">
        <f aca="false">ROUND(SUM(J1078:J1085),2)</f>
        <v>89.98</v>
      </c>
      <c r="N1086" s="40" t="n">
        <f aca="false">ROUND(SUM(N1078:N1085),2)</f>
        <v>80.99</v>
      </c>
    </row>
    <row r="1087" customFormat="false" ht="15" hidden="false" customHeight="false" outlineLevel="0" collapsed="false">
      <c r="A1087" s="15" t="s">
        <v>270</v>
      </c>
      <c r="B1087" s="41" t="n">
        <f aca="false">IF((F1080+F1078+F1082+F1079+F1081)=0,"",((F1080+F1078+F1082+F1079+F1081)-(B1080*D1080+B1078*D1078+B1082*D1082+B1079*D1079+B1081*D1081))/(F1080+F1078+F1082+F1079+F1081))</f>
        <v>0.140000074252305</v>
      </c>
      <c r="D1087" s="42" t="str">
        <f aca="false">IF(B1087="","SIN PC",IF(B1087&gt;=Detalle!$G$1,"APROBAR",IF(B1087&gt;=0.2,"REVISAR","RECHAZAR")))</f>
        <v>RECHAZAR</v>
      </c>
      <c r="E1087" s="42"/>
      <c r="F1087" s="42"/>
    </row>
    <row r="1089" customFormat="false" ht="15" hidden="false" customHeight="false" outlineLevel="0" collapsed="false">
      <c r="A1089" s="11" t="s">
        <v>731</v>
      </c>
      <c r="B1089" s="11"/>
      <c r="C1089" s="11"/>
      <c r="D1089" s="11"/>
      <c r="E1089" s="11"/>
      <c r="F1089" s="11"/>
      <c r="H1089" s="11" t="s">
        <v>732</v>
      </c>
      <c r="I1089" s="11"/>
      <c r="J1089" s="11"/>
      <c r="K1089" s="11"/>
      <c r="L1089" s="11"/>
      <c r="M1089" s="11"/>
      <c r="N1089" s="11"/>
      <c r="P1089" s="14" t="s">
        <v>246</v>
      </c>
    </row>
    <row r="1090" customFormat="false" ht="15" hidden="false" customHeight="false" outlineLevel="0" collapsed="false">
      <c r="A1090" s="15" t="s">
        <v>247</v>
      </c>
      <c r="B1090" s="16" t="s">
        <v>248</v>
      </c>
      <c r="C1090" s="17"/>
      <c r="D1090" s="17"/>
      <c r="E1090" s="17"/>
      <c r="F1090" s="17"/>
      <c r="H1090" s="18" t="s">
        <v>733</v>
      </c>
      <c r="I1090" s="19"/>
      <c r="J1090" s="19"/>
      <c r="L1090" s="20" t="s">
        <v>734</v>
      </c>
      <c r="M1090" s="21"/>
      <c r="N1090" s="21"/>
      <c r="P1090" s="14" t="s">
        <v>735</v>
      </c>
    </row>
    <row r="1091" customFormat="false" ht="15" hidden="false" customHeight="false" outlineLevel="0" collapsed="false">
      <c r="B1091" s="3" t="s">
        <v>252</v>
      </c>
      <c r="C1091" s="3" t="s">
        <v>253</v>
      </c>
      <c r="D1091" s="3" t="s">
        <v>254</v>
      </c>
      <c r="E1091" s="3" t="s">
        <v>255</v>
      </c>
      <c r="F1091" s="3" t="s">
        <v>256</v>
      </c>
      <c r="H1091" s="22" t="s">
        <v>252</v>
      </c>
      <c r="I1091" s="22" t="s">
        <v>255</v>
      </c>
      <c r="J1091" s="22" t="s">
        <v>256</v>
      </c>
      <c r="L1091" s="23" t="s">
        <v>252</v>
      </c>
      <c r="M1091" s="23" t="s">
        <v>255</v>
      </c>
      <c r="N1091" s="23" t="s">
        <v>256</v>
      </c>
      <c r="P1091" s="14" t="s">
        <v>736</v>
      </c>
    </row>
    <row r="1092" customFormat="false" ht="15" hidden="false" customHeight="false" outlineLevel="0" collapsed="false">
      <c r="A1092" s="24" t="s">
        <v>258</v>
      </c>
      <c r="B1092" s="25" t="n">
        <v>10</v>
      </c>
      <c r="C1092" s="25" t="n">
        <v>30</v>
      </c>
      <c r="D1092" s="26" t="n">
        <v>3.68919</v>
      </c>
      <c r="E1092" s="27" t="n">
        <v>3.85</v>
      </c>
      <c r="F1092" s="28" t="n">
        <f aca="false">ROUND(B1092*E1092,2)</f>
        <v>38.5</v>
      </c>
      <c r="H1092" s="29" t="n">
        <v>10</v>
      </c>
      <c r="I1092" s="30" t="n">
        <v>3.85</v>
      </c>
      <c r="J1092" s="31" t="n">
        <f aca="false">ROUND(H1092*I1092,2)</f>
        <v>38.5</v>
      </c>
      <c r="L1092" s="32" t="n">
        <v>10</v>
      </c>
      <c r="M1092" s="33" t="n">
        <v>3.85</v>
      </c>
      <c r="N1092" s="34" t="n">
        <f aca="false">ROUND(L1092*M1092,2)</f>
        <v>38.5</v>
      </c>
      <c r="P1092" s="35" t="s">
        <v>737</v>
      </c>
    </row>
    <row r="1093" customFormat="false" ht="15" hidden="false" customHeight="false" outlineLevel="0" collapsed="false">
      <c r="A1093" s="24" t="s">
        <v>260</v>
      </c>
      <c r="B1093" s="25" t="n">
        <v>10</v>
      </c>
      <c r="C1093" s="25" t="n">
        <v>30</v>
      </c>
      <c r="D1093" s="26" t="n">
        <v>1.31928</v>
      </c>
      <c r="E1093" s="27" t="n">
        <v>1.33</v>
      </c>
      <c r="F1093" s="28" t="n">
        <f aca="false">ROUND(B1093*E1093,2)</f>
        <v>13.3</v>
      </c>
      <c r="H1093" s="29" t="n">
        <v>10</v>
      </c>
      <c r="I1093" s="30" t="n">
        <v>1.33</v>
      </c>
      <c r="J1093" s="31" t="n">
        <f aca="false">ROUND(H1093*I1093,2)</f>
        <v>13.3</v>
      </c>
      <c r="L1093" s="32" t="n">
        <v>10</v>
      </c>
      <c r="M1093" s="33" t="n">
        <v>1.33</v>
      </c>
      <c r="N1093" s="34" t="n">
        <f aca="false">ROUND(L1093*M1093,2)</f>
        <v>13.3</v>
      </c>
      <c r="P1093" s="36" t="s">
        <v>261</v>
      </c>
    </row>
    <row r="1094" customFormat="false" ht="15" hidden="false" customHeight="false" outlineLevel="0" collapsed="false">
      <c r="A1094" s="24" t="s">
        <v>262</v>
      </c>
      <c r="B1094" s="25" t="n">
        <v>694.92</v>
      </c>
      <c r="C1094" s="25" t="n">
        <v>30</v>
      </c>
      <c r="D1094" s="26" t="n">
        <v>0.111171</v>
      </c>
      <c r="E1094" s="27" t="n">
        <v>0.13788</v>
      </c>
      <c r="F1094" s="28" t="n">
        <f aca="false">ROUND(B1094*E1094,2)</f>
        <v>95.82</v>
      </c>
      <c r="H1094" s="29" t="n">
        <v>663.883</v>
      </c>
      <c r="I1094" s="30" t="n">
        <v>0.13788</v>
      </c>
      <c r="J1094" s="31" t="n">
        <f aca="false">ROUND(H1094*I1094,2)</f>
        <v>91.54</v>
      </c>
      <c r="L1094" s="32" t="n">
        <v>2990</v>
      </c>
      <c r="M1094" s="33" t="n">
        <v>0.13788</v>
      </c>
      <c r="N1094" s="34" t="n">
        <f aca="false">ROUND(L1094*M1094,2)</f>
        <v>412.26</v>
      </c>
      <c r="P1094" s="35" t="s">
        <v>738</v>
      </c>
    </row>
    <row r="1095" customFormat="false" ht="15" hidden="false" customHeight="false" outlineLevel="0" collapsed="false">
      <c r="A1095" s="24" t="s">
        <v>264</v>
      </c>
      <c r="B1095" s="25" t="n">
        <v>791.092</v>
      </c>
      <c r="C1095" s="25" t="n">
        <v>30</v>
      </c>
      <c r="D1095" s="26" t="n">
        <v>0.111171</v>
      </c>
      <c r="E1095" s="27" t="n">
        <v>0.13788</v>
      </c>
      <c r="F1095" s="28" t="n">
        <f aca="false">ROUND(B1095*E1095,2)</f>
        <v>109.08</v>
      </c>
      <c r="H1095" s="29" t="n">
        <v>676.67</v>
      </c>
      <c r="I1095" s="30" t="n">
        <v>0.13788</v>
      </c>
      <c r="J1095" s="31" t="n">
        <f aca="false">ROUND(H1095*I1095,2)</f>
        <v>93.3</v>
      </c>
      <c r="L1095" s="53"/>
      <c r="M1095" s="53"/>
      <c r="N1095" s="53"/>
    </row>
    <row r="1096" customFormat="false" ht="15" hidden="false" customHeight="false" outlineLevel="0" collapsed="false">
      <c r="A1096" s="24" t="s">
        <v>265</v>
      </c>
      <c r="B1096" s="25" t="n">
        <v>1226.54</v>
      </c>
      <c r="C1096" s="25" t="n">
        <v>30</v>
      </c>
      <c r="D1096" s="26" t="n">
        <v>0.111171</v>
      </c>
      <c r="E1096" s="27" t="n">
        <v>0.13788</v>
      </c>
      <c r="F1096" s="28" t="n">
        <f aca="false">ROUND(B1096*E1096,2)</f>
        <v>169.12</v>
      </c>
      <c r="H1096" s="29" t="n">
        <v>737.089</v>
      </c>
      <c r="I1096" s="30" t="n">
        <v>0.13788</v>
      </c>
      <c r="J1096" s="31" t="n">
        <f aca="false">ROUND(H1096*I1096,2)</f>
        <v>101.63</v>
      </c>
      <c r="L1096" s="53"/>
      <c r="M1096" s="53"/>
      <c r="N1096" s="53"/>
    </row>
    <row r="1097" customFormat="false" ht="15" hidden="false" customHeight="false" outlineLevel="0" collapsed="false">
      <c r="A1097" s="24" t="s">
        <v>266</v>
      </c>
      <c r="B1097" s="25" t="n">
        <v>1</v>
      </c>
      <c r="C1097" s="25" t="n">
        <v>30</v>
      </c>
      <c r="D1097" s="26" t="n">
        <v>1.3414</v>
      </c>
      <c r="E1097" s="27" t="n">
        <v>3</v>
      </c>
      <c r="F1097" s="28" t="n">
        <f aca="false">ROUND(B1097*E1097,2)</f>
        <v>3</v>
      </c>
      <c r="H1097" s="29" t="n">
        <v>1</v>
      </c>
      <c r="I1097" s="30" t="n">
        <v>3</v>
      </c>
      <c r="J1097" s="31" t="n">
        <f aca="false">ROUND(H1097*I1097,2)</f>
        <v>3</v>
      </c>
      <c r="L1097" s="32" t="n">
        <v>1</v>
      </c>
      <c r="M1097" s="33" t="n">
        <v>3</v>
      </c>
      <c r="N1097" s="34" t="n">
        <f aca="false">ROUND(L1097*M1097,2)</f>
        <v>3</v>
      </c>
    </row>
    <row r="1098" customFormat="false" ht="15" hidden="false" customHeight="false" outlineLevel="0" collapsed="false">
      <c r="A1098" s="24" t="s">
        <v>267</v>
      </c>
      <c r="B1098" s="25" t="n">
        <v>30</v>
      </c>
      <c r="C1098" s="25" t="n">
        <v>30</v>
      </c>
      <c r="D1098" s="26" t="n">
        <v>0.5736</v>
      </c>
      <c r="E1098" s="27" t="n">
        <v>0.01274</v>
      </c>
      <c r="F1098" s="28" t="n">
        <f aca="false">ROUND(B1098*E1098,2)</f>
        <v>0.38</v>
      </c>
      <c r="H1098" s="29" t="n">
        <v>30</v>
      </c>
      <c r="I1098" s="30" t="n">
        <v>0.01274</v>
      </c>
      <c r="J1098" s="31" t="n">
        <f aca="false">ROUND(H1098*I1098,2)</f>
        <v>0.38</v>
      </c>
      <c r="L1098" s="32" t="n">
        <v>30</v>
      </c>
      <c r="M1098" s="33" t="n">
        <v>0.01274</v>
      </c>
      <c r="N1098" s="34" t="n">
        <f aca="false">ROUND(L1098*M1098,2)</f>
        <v>0.38</v>
      </c>
    </row>
    <row r="1099" customFormat="false" ht="15" hidden="false" customHeight="false" outlineLevel="0" collapsed="false">
      <c r="A1099" s="24" t="s">
        <v>268</v>
      </c>
      <c r="B1099" s="25" t="n">
        <v>22.86</v>
      </c>
      <c r="C1099" s="25" t="n">
        <v>30</v>
      </c>
      <c r="D1099" s="26" t="n">
        <v>0.27312</v>
      </c>
      <c r="E1099" s="27" t="n">
        <v>1</v>
      </c>
      <c r="F1099" s="28" t="n">
        <f aca="false">ROUND(B1099*E1099,2)</f>
        <v>22.86</v>
      </c>
      <c r="H1099" s="29" t="n">
        <v>18.27</v>
      </c>
      <c r="I1099" s="30" t="n">
        <v>1</v>
      </c>
      <c r="J1099" s="31" t="n">
        <f aca="false">ROUND(H1099*I1099,2)</f>
        <v>18.27</v>
      </c>
      <c r="L1099" s="32" t="n">
        <v>25.14</v>
      </c>
      <c r="M1099" s="33" t="n">
        <v>1</v>
      </c>
      <c r="N1099" s="34" t="n">
        <f aca="false">ROUND(L1099*M1099,2)</f>
        <v>25.14</v>
      </c>
    </row>
    <row r="1100" customFormat="false" ht="15" hidden="false" customHeight="false" outlineLevel="0" collapsed="false">
      <c r="A1100" s="37" t="s">
        <v>269</v>
      </c>
      <c r="F1100" s="38" t="n">
        <f aca="false">ROUND((SUM(F1092:F1099)-F1099)*1.1+F1099,2)</f>
        <v>494.98</v>
      </c>
      <c r="J1100" s="39" t="n">
        <f aca="false">ROUND(SUM(J1092:J1099),2)</f>
        <v>359.92</v>
      </c>
      <c r="N1100" s="40" t="n">
        <f aca="false">ROUND(SUM(N1092:N1099),2)</f>
        <v>492.58</v>
      </c>
    </row>
    <row r="1101" customFormat="false" ht="15" hidden="false" customHeight="false" outlineLevel="0" collapsed="false">
      <c r="A1101" s="15" t="s">
        <v>270</v>
      </c>
      <c r="B1101" s="41" t="n">
        <f aca="false">IF((F1094+F1092+F1096+F1093+F1095)=0,"",((F1094+F1092+F1096+F1093+F1095)-(B1094*D1094+B1092*D1092+B1096*D1096+B1093*D1093+B1095*D1095))/(F1094+F1092+F1096+F1093+F1095))</f>
        <v>0.174200792842046</v>
      </c>
      <c r="D1101" s="42" t="str">
        <f aca="false">IF(B1101="","SIN PC",IF(B1101&gt;=Detalle!$G$1,"APROBAR",IF(B1101&gt;=0.2,"REVISAR","RECHAZAR")))</f>
        <v>RECHAZAR</v>
      </c>
      <c r="E1101" s="42"/>
      <c r="F1101" s="42"/>
    </row>
    <row r="1103" customFormat="false" ht="15" hidden="false" customHeight="false" outlineLevel="0" collapsed="false">
      <c r="A1103" s="11" t="s">
        <v>739</v>
      </c>
      <c r="B1103" s="11"/>
      <c r="C1103" s="11"/>
      <c r="D1103" s="11"/>
      <c r="E1103" s="11"/>
      <c r="F1103" s="11"/>
      <c r="H1103" s="11" t="s">
        <v>740</v>
      </c>
      <c r="I1103" s="11"/>
      <c r="J1103" s="11"/>
      <c r="K1103" s="11"/>
      <c r="L1103" s="11"/>
      <c r="M1103" s="11"/>
      <c r="N1103" s="11"/>
      <c r="P1103" s="14" t="s">
        <v>246</v>
      </c>
    </row>
    <row r="1104" customFormat="false" ht="15" hidden="false" customHeight="false" outlineLevel="0" collapsed="false">
      <c r="A1104" s="15" t="s">
        <v>247</v>
      </c>
      <c r="B1104" s="16" t="s">
        <v>248</v>
      </c>
      <c r="C1104" s="17"/>
      <c r="D1104" s="17"/>
      <c r="E1104" s="17"/>
      <c r="F1104" s="17"/>
      <c r="H1104" s="18" t="s">
        <v>741</v>
      </c>
      <c r="I1104" s="19"/>
      <c r="J1104" s="19"/>
      <c r="L1104" s="20" t="s">
        <v>742</v>
      </c>
      <c r="M1104" s="21"/>
      <c r="N1104" s="21"/>
      <c r="P1104" s="14" t="s">
        <v>743</v>
      </c>
    </row>
    <row r="1105" customFormat="false" ht="15" hidden="false" customHeight="false" outlineLevel="0" collapsed="false">
      <c r="B1105" s="3" t="s">
        <v>252</v>
      </c>
      <c r="C1105" s="3" t="s">
        <v>253</v>
      </c>
      <c r="D1105" s="3" t="s">
        <v>254</v>
      </c>
      <c r="E1105" s="3" t="s">
        <v>255</v>
      </c>
      <c r="F1105" s="3" t="s">
        <v>256</v>
      </c>
      <c r="H1105" s="22" t="s">
        <v>252</v>
      </c>
      <c r="I1105" s="22" t="s">
        <v>255</v>
      </c>
      <c r="J1105" s="22" t="s">
        <v>256</v>
      </c>
      <c r="L1105" s="23" t="s">
        <v>252</v>
      </c>
      <c r="M1105" s="23" t="s">
        <v>255</v>
      </c>
      <c r="N1105" s="23" t="s">
        <v>256</v>
      </c>
      <c r="P1105" s="14" t="s">
        <v>744</v>
      </c>
    </row>
    <row r="1106" customFormat="false" ht="15" hidden="false" customHeight="false" outlineLevel="0" collapsed="false">
      <c r="A1106" s="24" t="s">
        <v>258</v>
      </c>
      <c r="B1106" s="25" t="n">
        <v>9.2</v>
      </c>
      <c r="C1106" s="25" t="n">
        <v>30</v>
      </c>
      <c r="D1106" s="26" t="n">
        <v>3.4086</v>
      </c>
      <c r="E1106" s="27" t="n">
        <v>4.17</v>
      </c>
      <c r="F1106" s="28" t="n">
        <f aca="false">ROUND(B1106*E1106,2)</f>
        <v>38.36</v>
      </c>
      <c r="H1106" s="29" t="n">
        <v>9.2</v>
      </c>
      <c r="I1106" s="30" t="n">
        <v>4.17</v>
      </c>
      <c r="J1106" s="31" t="n">
        <f aca="false">ROUND(H1106*I1106,2)</f>
        <v>38.36</v>
      </c>
      <c r="L1106" s="32" t="n">
        <v>9.2</v>
      </c>
      <c r="M1106" s="33" t="n">
        <v>4.17</v>
      </c>
      <c r="N1106" s="34" t="n">
        <f aca="false">ROUND(L1106*M1106,2)</f>
        <v>38.36</v>
      </c>
      <c r="P1106" s="35" t="s">
        <v>745</v>
      </c>
    </row>
    <row r="1107" customFormat="false" ht="15" hidden="false" customHeight="false" outlineLevel="0" collapsed="false">
      <c r="A1107" s="24" t="s">
        <v>260</v>
      </c>
      <c r="B1107" s="25" t="n">
        <v>9.2</v>
      </c>
      <c r="C1107" s="25" t="n">
        <v>30</v>
      </c>
      <c r="D1107" s="26" t="n">
        <v>1.09728</v>
      </c>
      <c r="E1107" s="27" t="n">
        <v>1.37</v>
      </c>
      <c r="F1107" s="28" t="n">
        <f aca="false">ROUND(B1107*E1107,2)</f>
        <v>12.6</v>
      </c>
      <c r="H1107" s="29" t="n">
        <v>9.2</v>
      </c>
      <c r="I1107" s="30" t="n">
        <v>1.37</v>
      </c>
      <c r="J1107" s="31" t="n">
        <f aca="false">ROUND(H1107*I1107,2)</f>
        <v>12.6</v>
      </c>
      <c r="L1107" s="32" t="n">
        <v>9.2</v>
      </c>
      <c r="M1107" s="33" t="n">
        <v>1.37</v>
      </c>
      <c r="N1107" s="34" t="n">
        <f aca="false">ROUND(L1107*M1107,2)</f>
        <v>12.6</v>
      </c>
      <c r="P1107" s="36" t="s">
        <v>261</v>
      </c>
    </row>
    <row r="1108" customFormat="false" ht="15" hidden="false" customHeight="false" outlineLevel="0" collapsed="false">
      <c r="A1108" s="24" t="s">
        <v>262</v>
      </c>
      <c r="B1108" s="25" t="n">
        <v>37.814</v>
      </c>
      <c r="C1108" s="25" t="n">
        <v>30</v>
      </c>
      <c r="D1108" s="26" t="n">
        <v>0.110306</v>
      </c>
      <c r="E1108" s="27" t="n">
        <v>0.14937</v>
      </c>
      <c r="F1108" s="28" t="n">
        <f aca="false">ROUND(B1108*E1108,2)</f>
        <v>5.65</v>
      </c>
      <c r="H1108" s="29" t="n">
        <v>96.458</v>
      </c>
      <c r="I1108" s="30" t="n">
        <v>0.14937</v>
      </c>
      <c r="J1108" s="31" t="n">
        <f aca="false">ROUND(H1108*I1108,2)</f>
        <v>14.41</v>
      </c>
      <c r="L1108" s="32" t="n">
        <v>9.16</v>
      </c>
      <c r="M1108" s="33" t="n">
        <v>0.14937</v>
      </c>
      <c r="N1108" s="34" t="n">
        <f aca="false">ROUND(L1108*M1108,2)</f>
        <v>1.37</v>
      </c>
      <c r="P1108" s="35" t="s">
        <v>746</v>
      </c>
    </row>
    <row r="1109" customFormat="false" ht="15" hidden="false" customHeight="false" outlineLevel="0" collapsed="false">
      <c r="A1109" s="24" t="s">
        <v>264</v>
      </c>
      <c r="B1109" s="25" t="n">
        <v>21.919</v>
      </c>
      <c r="C1109" s="25" t="n">
        <v>30</v>
      </c>
      <c r="D1109" s="26" t="n">
        <v>0.110306</v>
      </c>
      <c r="E1109" s="27" t="n">
        <v>0.14937</v>
      </c>
      <c r="F1109" s="28" t="n">
        <f aca="false">ROUND(B1109*E1109,2)</f>
        <v>3.27</v>
      </c>
      <c r="H1109" s="29" t="n">
        <v>60.026</v>
      </c>
      <c r="I1109" s="30" t="n">
        <v>0.14937</v>
      </c>
      <c r="J1109" s="31" t="n">
        <f aca="false">ROUND(H1109*I1109,2)</f>
        <v>8.97</v>
      </c>
      <c r="L1109" s="32" t="n">
        <v>24.46</v>
      </c>
      <c r="M1109" s="33" t="n">
        <v>0.14937</v>
      </c>
      <c r="N1109" s="34" t="n">
        <f aca="false">ROUND(L1109*M1109,2)</f>
        <v>3.65</v>
      </c>
    </row>
    <row r="1110" customFormat="false" ht="15" hidden="false" customHeight="false" outlineLevel="0" collapsed="false">
      <c r="A1110" s="24" t="s">
        <v>265</v>
      </c>
      <c r="B1110" s="25" t="n">
        <v>63.406</v>
      </c>
      <c r="C1110" s="25" t="n">
        <v>30</v>
      </c>
      <c r="D1110" s="26" t="n">
        <v>0.110306</v>
      </c>
      <c r="E1110" s="27" t="n">
        <v>0.14937</v>
      </c>
      <c r="F1110" s="28" t="n">
        <f aca="false">ROUND(B1110*E1110,2)</f>
        <v>9.47</v>
      </c>
      <c r="H1110" s="29" t="n">
        <v>220.16</v>
      </c>
      <c r="I1110" s="30" t="n">
        <v>0.14937</v>
      </c>
      <c r="J1110" s="31" t="n">
        <f aca="false">ROUND(H1110*I1110,2)</f>
        <v>32.89</v>
      </c>
      <c r="L1110" s="32" t="n">
        <v>76.632</v>
      </c>
      <c r="M1110" s="33" t="n">
        <v>0.14937</v>
      </c>
      <c r="N1110" s="34" t="n">
        <f aca="false">ROUND(L1110*M1110,2)</f>
        <v>11.45</v>
      </c>
    </row>
    <row r="1111" customFormat="false" ht="15" hidden="false" customHeight="false" outlineLevel="0" collapsed="false">
      <c r="A1111" s="24" t="s">
        <v>266</v>
      </c>
      <c r="B1111" s="25" t="n">
        <v>1</v>
      </c>
      <c r="C1111" s="25" t="n">
        <v>30</v>
      </c>
      <c r="D1111" s="26" t="n">
        <v>0.7989</v>
      </c>
      <c r="E1111" s="27" t="n">
        <v>4</v>
      </c>
      <c r="F1111" s="28" t="n">
        <f aca="false">ROUND(B1111*E1111,2)</f>
        <v>4</v>
      </c>
      <c r="H1111" s="29" t="n">
        <v>1</v>
      </c>
      <c r="I1111" s="30" t="n">
        <v>4</v>
      </c>
      <c r="J1111" s="31" t="n">
        <f aca="false">ROUND(H1111*I1111,2)</f>
        <v>4</v>
      </c>
      <c r="L1111" s="32" t="n">
        <v>1</v>
      </c>
      <c r="M1111" s="33" t="n">
        <v>4</v>
      </c>
      <c r="N1111" s="34" t="n">
        <f aca="false">ROUND(L1111*M1111,2)</f>
        <v>4</v>
      </c>
    </row>
    <row r="1112" customFormat="false" ht="15" hidden="false" customHeight="false" outlineLevel="0" collapsed="false">
      <c r="A1112" s="24" t="s">
        <v>267</v>
      </c>
      <c r="B1112" s="25" t="n">
        <v>30</v>
      </c>
      <c r="C1112" s="25" t="n">
        <v>30</v>
      </c>
      <c r="D1112" s="26" t="n">
        <v>0.5736</v>
      </c>
      <c r="E1112" s="27" t="n">
        <v>0.01274</v>
      </c>
      <c r="F1112" s="28" t="n">
        <f aca="false">ROUND(B1112*E1112,2)</f>
        <v>0.38</v>
      </c>
      <c r="H1112" s="29" t="n">
        <v>30</v>
      </c>
      <c r="I1112" s="30" t="n">
        <v>0.01274</v>
      </c>
      <c r="J1112" s="31" t="n">
        <f aca="false">ROUND(H1112*I1112,2)</f>
        <v>0.38</v>
      </c>
      <c r="L1112" s="32" t="n">
        <v>30</v>
      </c>
      <c r="M1112" s="33" t="n">
        <v>0.00629</v>
      </c>
      <c r="N1112" s="34" t="n">
        <f aca="false">ROUND(L1112*M1112,2)</f>
        <v>0.19</v>
      </c>
    </row>
    <row r="1113" customFormat="false" ht="15" hidden="false" customHeight="false" outlineLevel="0" collapsed="false">
      <c r="A1113" s="24" t="s">
        <v>268</v>
      </c>
      <c r="B1113" s="25" t="n">
        <v>2.61</v>
      </c>
      <c r="C1113" s="25" t="n">
        <v>30</v>
      </c>
      <c r="D1113" s="26" t="n">
        <v>0.24729</v>
      </c>
      <c r="E1113" s="27" t="n">
        <v>1</v>
      </c>
      <c r="F1113" s="28" t="n">
        <f aca="false">ROUND(B1113*E1113,2)</f>
        <v>2.61</v>
      </c>
      <c r="H1113" s="29" t="n">
        <v>4.89</v>
      </c>
      <c r="I1113" s="30" t="n">
        <v>1</v>
      </c>
      <c r="J1113" s="31" t="n">
        <f aca="false">ROUND(H1113*I1113,2)</f>
        <v>4.89</v>
      </c>
      <c r="L1113" s="32" t="n">
        <v>2.61</v>
      </c>
      <c r="M1113" s="33" t="n">
        <v>1</v>
      </c>
      <c r="N1113" s="34" t="n">
        <f aca="false">ROUND(L1113*M1113,2)</f>
        <v>2.61</v>
      </c>
    </row>
    <row r="1114" customFormat="false" ht="15" hidden="false" customHeight="false" outlineLevel="0" collapsed="false">
      <c r="A1114" s="37" t="s">
        <v>269</v>
      </c>
      <c r="F1114" s="38" t="n">
        <f aca="false">ROUND((SUM(F1106:F1113)-F1113)*1.1+F1113,2)</f>
        <v>83.71</v>
      </c>
      <c r="J1114" s="39" t="n">
        <f aca="false">ROUND(SUM(J1106:J1113),2)</f>
        <v>116.5</v>
      </c>
      <c r="N1114" s="40" t="n">
        <f aca="false">ROUND(SUM(N1106:N1113),2)</f>
        <v>74.23</v>
      </c>
    </row>
    <row r="1115" customFormat="false" ht="15" hidden="false" customHeight="false" outlineLevel="0" collapsed="false">
      <c r="A1115" s="15" t="s">
        <v>270</v>
      </c>
      <c r="B1115" s="41" t="n">
        <f aca="false">IF((F1108+F1106+F1110+F1107+F1109)=0,"",((F1108+F1106+F1110+F1107+F1109)-(B1108*D1108+B1106*D1106+B1110*D1110+B1107*D1107+B1109*D1109))/(F1108+F1106+F1110+F1107+F1109))</f>
        <v>0.206386928132661</v>
      </c>
      <c r="D1115" s="42" t="str">
        <f aca="false">IF(B1115="","SIN PC",IF(B1115&gt;=Detalle!$G$1,"APROBAR",IF(B1115&gt;=0.2,"REVISAR","RECHAZAR")))</f>
        <v>REVISAR</v>
      </c>
      <c r="E1115" s="42"/>
      <c r="F1115" s="42"/>
    </row>
    <row r="1116" customFormat="false" ht="15" hidden="false" customHeight="false" outlineLevel="0" collapsed="false">
      <c r="A1116" s="44" t="s">
        <v>379</v>
      </c>
      <c r="B1116" s="44"/>
      <c r="C1116" s="44"/>
      <c r="D1116" s="44"/>
      <c r="E1116" s="44"/>
      <c r="F1116" s="44"/>
    </row>
    <row r="1117" customFormat="false" ht="15" hidden="false" customHeight="false" outlineLevel="0" collapsed="false">
      <c r="A1117" s="45" t="s">
        <v>247</v>
      </c>
      <c r="B1117" s="45" t="s">
        <v>380</v>
      </c>
      <c r="D1117" s="45" t="s">
        <v>381</v>
      </c>
      <c r="E1117" s="45" t="s">
        <v>382</v>
      </c>
      <c r="F1117" s="45" t="s">
        <v>256</v>
      </c>
    </row>
    <row r="1118" customFormat="false" ht="15" hidden="false" customHeight="false" outlineLevel="0" collapsed="false">
      <c r="A1118" s="46" t="s">
        <v>383</v>
      </c>
      <c r="B1118" s="47" t="n">
        <v>403</v>
      </c>
      <c r="C1118" s="48"/>
      <c r="D1118" s="26" t="n">
        <v>0.06</v>
      </c>
      <c r="E1118" s="48"/>
      <c r="F1118" s="49" t="n">
        <f aca="false">ROUND(B1118*D1118,2)</f>
        <v>24.18</v>
      </c>
    </row>
    <row r="1119" customFormat="false" ht="15" hidden="false" customHeight="false" outlineLevel="0" collapsed="false">
      <c r="A1119" s="46" t="s">
        <v>384</v>
      </c>
      <c r="B1119" s="48"/>
      <c r="C1119" s="48"/>
      <c r="D1119" s="48"/>
      <c r="E1119" s="50" t="n">
        <v>0.06</v>
      </c>
      <c r="F1119" s="49" t="n">
        <v>18.39</v>
      </c>
    </row>
    <row r="1120" customFormat="false" ht="15" hidden="false" customHeight="false" outlineLevel="0" collapsed="false">
      <c r="A1120" s="51" t="s">
        <v>385</v>
      </c>
      <c r="B1120" s="48"/>
      <c r="C1120" s="48"/>
      <c r="D1120" s="48"/>
      <c r="E1120" s="48"/>
      <c r="F1120" s="52" t="n">
        <f aca="false">F1118-F1119</f>
        <v>5.79</v>
      </c>
    </row>
    <row r="1122" customFormat="false" ht="15" hidden="false" customHeight="false" outlineLevel="0" collapsed="false">
      <c r="A1122" s="11" t="s">
        <v>747</v>
      </c>
      <c r="B1122" s="11"/>
      <c r="C1122" s="11"/>
      <c r="D1122" s="11"/>
      <c r="E1122" s="11"/>
      <c r="F1122" s="11"/>
      <c r="H1122" s="11" t="s">
        <v>748</v>
      </c>
      <c r="I1122" s="11"/>
      <c r="J1122" s="11"/>
      <c r="K1122" s="11"/>
      <c r="L1122" s="11"/>
      <c r="M1122" s="11"/>
      <c r="N1122" s="11"/>
      <c r="P1122" s="14" t="s">
        <v>246</v>
      </c>
    </row>
    <row r="1123" customFormat="false" ht="15" hidden="false" customHeight="false" outlineLevel="0" collapsed="false">
      <c r="A1123" s="15" t="s">
        <v>247</v>
      </c>
      <c r="B1123" s="16" t="s">
        <v>248</v>
      </c>
      <c r="C1123" s="17"/>
      <c r="D1123" s="17"/>
      <c r="E1123" s="17"/>
      <c r="F1123" s="17"/>
      <c r="H1123" s="18" t="s">
        <v>749</v>
      </c>
      <c r="I1123" s="19"/>
      <c r="J1123" s="19"/>
      <c r="L1123" s="20" t="s">
        <v>750</v>
      </c>
      <c r="M1123" s="21"/>
      <c r="N1123" s="21"/>
      <c r="P1123" s="14" t="s">
        <v>751</v>
      </c>
    </row>
    <row r="1124" customFormat="false" ht="15" hidden="false" customHeight="false" outlineLevel="0" collapsed="false">
      <c r="B1124" s="3" t="s">
        <v>252</v>
      </c>
      <c r="C1124" s="3" t="s">
        <v>253</v>
      </c>
      <c r="D1124" s="3" t="s">
        <v>254</v>
      </c>
      <c r="E1124" s="3" t="s">
        <v>255</v>
      </c>
      <c r="F1124" s="3" t="s">
        <v>256</v>
      </c>
      <c r="H1124" s="22" t="s">
        <v>252</v>
      </c>
      <c r="I1124" s="22" t="s">
        <v>255</v>
      </c>
      <c r="J1124" s="22" t="s">
        <v>256</v>
      </c>
      <c r="L1124" s="23" t="s">
        <v>252</v>
      </c>
      <c r="M1124" s="23" t="s">
        <v>255</v>
      </c>
      <c r="N1124" s="23" t="s">
        <v>256</v>
      </c>
      <c r="P1124" s="14" t="s">
        <v>752</v>
      </c>
    </row>
    <row r="1125" customFormat="false" ht="15" hidden="false" customHeight="false" outlineLevel="0" collapsed="false">
      <c r="A1125" s="24" t="s">
        <v>258</v>
      </c>
      <c r="B1125" s="25" t="n">
        <v>3.3</v>
      </c>
      <c r="C1125" s="25" t="n">
        <v>30</v>
      </c>
      <c r="D1125" s="26" t="n">
        <v>3.68919</v>
      </c>
      <c r="E1125" s="27" t="n">
        <v>3.85</v>
      </c>
      <c r="F1125" s="28" t="n">
        <f aca="false">ROUND(B1125*E1125,2)</f>
        <v>12.71</v>
      </c>
      <c r="H1125" s="29" t="n">
        <v>3.3</v>
      </c>
      <c r="I1125" s="30" t="n">
        <v>3.85</v>
      </c>
      <c r="J1125" s="31" t="n">
        <f aca="false">ROUND(H1125*I1125,2)</f>
        <v>12.71</v>
      </c>
      <c r="L1125" s="32" t="n">
        <v>3.3</v>
      </c>
      <c r="M1125" s="33" t="n">
        <v>3.85</v>
      </c>
      <c r="N1125" s="34" t="n">
        <f aca="false">ROUND(L1125*M1125,2)</f>
        <v>12.71</v>
      </c>
      <c r="P1125" s="35" t="s">
        <v>753</v>
      </c>
    </row>
    <row r="1126" customFormat="false" ht="15" hidden="false" customHeight="false" outlineLevel="0" collapsed="false">
      <c r="A1126" s="24" t="s">
        <v>260</v>
      </c>
      <c r="B1126" s="25" t="n">
        <v>3.3</v>
      </c>
      <c r="C1126" s="25" t="n">
        <v>30</v>
      </c>
      <c r="D1126" s="26" t="n">
        <v>1.31928</v>
      </c>
      <c r="E1126" s="27" t="n">
        <v>1.33</v>
      </c>
      <c r="F1126" s="28" t="n">
        <f aca="false">ROUND(B1126*E1126,2)</f>
        <v>4.39</v>
      </c>
      <c r="H1126" s="29" t="n">
        <v>3.3</v>
      </c>
      <c r="I1126" s="30" t="n">
        <v>1.33</v>
      </c>
      <c r="J1126" s="31" t="n">
        <f aca="false">ROUND(H1126*I1126,2)</f>
        <v>4.39</v>
      </c>
      <c r="L1126" s="32" t="n">
        <v>3.3</v>
      </c>
      <c r="M1126" s="33" t="n">
        <v>1.33</v>
      </c>
      <c r="N1126" s="34" t="n">
        <f aca="false">ROUND(L1126*M1126,2)</f>
        <v>4.39</v>
      </c>
      <c r="P1126" s="36" t="s">
        <v>261</v>
      </c>
    </row>
    <row r="1127" customFormat="false" ht="15" hidden="false" customHeight="false" outlineLevel="0" collapsed="false">
      <c r="A1127" s="24" t="s">
        <v>262</v>
      </c>
      <c r="B1127" s="25" t="n">
        <v>22.41</v>
      </c>
      <c r="C1127" s="25" t="n">
        <v>30</v>
      </c>
      <c r="D1127" s="26" t="n">
        <v>0.111171</v>
      </c>
      <c r="E1127" s="27" t="n">
        <v>0.13788</v>
      </c>
      <c r="F1127" s="28" t="n">
        <f aca="false">ROUND(B1127*E1127,2)</f>
        <v>3.09</v>
      </c>
      <c r="H1127" s="29" t="n">
        <v>19.923</v>
      </c>
      <c r="I1127" s="30" t="n">
        <v>0.13788</v>
      </c>
      <c r="J1127" s="31" t="n">
        <f aca="false">ROUND(H1127*I1127,2)</f>
        <v>2.75</v>
      </c>
      <c r="L1127" s="32" t="n">
        <v>31.912</v>
      </c>
      <c r="M1127" s="33" t="n">
        <v>0.13788</v>
      </c>
      <c r="N1127" s="34" t="n">
        <f aca="false">ROUND(L1127*M1127,2)</f>
        <v>4.4</v>
      </c>
      <c r="P1127" s="35" t="s">
        <v>754</v>
      </c>
    </row>
    <row r="1128" customFormat="false" ht="15" hidden="false" customHeight="false" outlineLevel="0" collapsed="false">
      <c r="A1128" s="24" t="s">
        <v>264</v>
      </c>
      <c r="B1128" s="25" t="n">
        <v>11.739</v>
      </c>
      <c r="C1128" s="25" t="n">
        <v>30</v>
      </c>
      <c r="D1128" s="26" t="n">
        <v>0.111171</v>
      </c>
      <c r="E1128" s="27" t="n">
        <v>0.13788</v>
      </c>
      <c r="F1128" s="28" t="n">
        <f aca="false">ROUND(B1128*E1128,2)</f>
        <v>1.62</v>
      </c>
      <c r="H1128" s="29" t="n">
        <v>14.315</v>
      </c>
      <c r="I1128" s="30" t="n">
        <v>0.13788</v>
      </c>
      <c r="J1128" s="31" t="n">
        <f aca="false">ROUND(H1128*I1128,2)</f>
        <v>1.97</v>
      </c>
      <c r="L1128" s="32" t="n">
        <v>16.468</v>
      </c>
      <c r="M1128" s="33" t="n">
        <v>0.13788</v>
      </c>
      <c r="N1128" s="34" t="n">
        <f aca="false">ROUND(L1128*M1128,2)</f>
        <v>2.27</v>
      </c>
    </row>
    <row r="1129" customFormat="false" ht="15" hidden="false" customHeight="false" outlineLevel="0" collapsed="false">
      <c r="A1129" s="24" t="s">
        <v>265</v>
      </c>
      <c r="B1129" s="25" t="n">
        <v>24.587</v>
      </c>
      <c r="C1129" s="25" t="n">
        <v>30</v>
      </c>
      <c r="D1129" s="26" t="n">
        <v>0.111171</v>
      </c>
      <c r="E1129" s="27" t="n">
        <v>0.13788</v>
      </c>
      <c r="F1129" s="28" t="n">
        <f aca="false">ROUND(B1129*E1129,2)</f>
        <v>3.39</v>
      </c>
      <c r="H1129" s="29" t="n">
        <v>26.446</v>
      </c>
      <c r="I1129" s="30" t="n">
        <v>0.13788</v>
      </c>
      <c r="J1129" s="31" t="n">
        <f aca="false">ROUND(H1129*I1129,2)</f>
        <v>3.65</v>
      </c>
      <c r="L1129" s="32" t="n">
        <v>24.569</v>
      </c>
      <c r="M1129" s="33" t="n">
        <v>0.13788</v>
      </c>
      <c r="N1129" s="34" t="n">
        <f aca="false">ROUND(L1129*M1129,2)</f>
        <v>3.39</v>
      </c>
    </row>
    <row r="1130" customFormat="false" ht="15" hidden="false" customHeight="false" outlineLevel="0" collapsed="false">
      <c r="A1130" s="24" t="s">
        <v>266</v>
      </c>
      <c r="B1130" s="25" t="n">
        <v>1</v>
      </c>
      <c r="C1130" s="25" t="n">
        <v>30</v>
      </c>
      <c r="D1130" s="26" t="n">
        <v>0.7989</v>
      </c>
      <c r="E1130" s="27" t="n">
        <v>3</v>
      </c>
      <c r="F1130" s="28" t="n">
        <f aca="false">ROUND(B1130*E1130,2)</f>
        <v>3</v>
      </c>
      <c r="H1130" s="29" t="n">
        <v>1</v>
      </c>
      <c r="I1130" s="30" t="n">
        <v>3</v>
      </c>
      <c r="J1130" s="31" t="n">
        <f aca="false">ROUND(H1130*I1130,2)</f>
        <v>3</v>
      </c>
      <c r="L1130" s="32" t="n">
        <v>1</v>
      </c>
      <c r="M1130" s="33" t="n">
        <v>3</v>
      </c>
      <c r="N1130" s="34" t="n">
        <f aca="false">ROUND(L1130*M1130,2)</f>
        <v>3</v>
      </c>
    </row>
    <row r="1131" customFormat="false" ht="15" hidden="false" customHeight="false" outlineLevel="0" collapsed="false">
      <c r="A1131" s="24" t="s">
        <v>267</v>
      </c>
      <c r="B1131" s="25" t="n">
        <v>30</v>
      </c>
      <c r="C1131" s="25" t="n">
        <v>30</v>
      </c>
      <c r="D1131" s="26" t="n">
        <v>0.5736</v>
      </c>
      <c r="E1131" s="27" t="n">
        <v>0.01274</v>
      </c>
      <c r="F1131" s="28" t="n">
        <f aca="false">ROUND(B1131*E1131,2)</f>
        <v>0.38</v>
      </c>
      <c r="H1131" s="29" t="n">
        <v>30</v>
      </c>
      <c r="I1131" s="30" t="n">
        <v>0.01274</v>
      </c>
      <c r="J1131" s="31" t="n">
        <f aca="false">ROUND(H1131*I1131,2)</f>
        <v>0.38</v>
      </c>
      <c r="L1131" s="32" t="n">
        <v>30</v>
      </c>
      <c r="M1131" s="33" t="n">
        <v>0.00629</v>
      </c>
      <c r="N1131" s="34" t="n">
        <f aca="false">ROUND(L1131*M1131,2)</f>
        <v>0.19</v>
      </c>
    </row>
    <row r="1132" customFormat="false" ht="15" hidden="false" customHeight="false" outlineLevel="0" collapsed="false">
      <c r="A1132" s="24" t="s">
        <v>268</v>
      </c>
      <c r="B1132" s="25" t="n">
        <v>1.3</v>
      </c>
      <c r="C1132" s="25" t="n">
        <v>30</v>
      </c>
      <c r="D1132" s="26" t="n">
        <v>0.02671</v>
      </c>
      <c r="E1132" s="27" t="n">
        <v>1</v>
      </c>
      <c r="F1132" s="28" t="n">
        <f aca="false">ROUND(B1132*E1132,2)</f>
        <v>1.3</v>
      </c>
      <c r="H1132" s="29" t="n">
        <v>1.31</v>
      </c>
      <c r="I1132" s="30" t="n">
        <v>1</v>
      </c>
      <c r="J1132" s="31" t="n">
        <f aca="false">ROUND(H1132*I1132,2)</f>
        <v>1.31</v>
      </c>
      <c r="L1132" s="32" t="n">
        <v>1.4</v>
      </c>
      <c r="M1132" s="33" t="n">
        <v>1</v>
      </c>
      <c r="N1132" s="34" t="n">
        <f aca="false">ROUND(L1132*M1132,2)</f>
        <v>1.4</v>
      </c>
    </row>
    <row r="1133" customFormat="false" ht="15" hidden="false" customHeight="false" outlineLevel="0" collapsed="false">
      <c r="A1133" s="37" t="s">
        <v>269</v>
      </c>
      <c r="F1133" s="38" t="n">
        <f aca="false">ROUND((SUM(F1125:F1132)-F1132)*1.1+F1132,2)</f>
        <v>32.74</v>
      </c>
      <c r="J1133" s="39" t="n">
        <f aca="false">ROUND(SUM(J1125:J1132),2)</f>
        <v>30.16</v>
      </c>
      <c r="N1133" s="40" t="n">
        <f aca="false">ROUND(SUM(N1125:N1132),2)</f>
        <v>31.75</v>
      </c>
    </row>
    <row r="1134" customFormat="false" ht="15" hidden="false" customHeight="false" outlineLevel="0" collapsed="false">
      <c r="A1134" s="15" t="s">
        <v>270</v>
      </c>
      <c r="B1134" s="41" t="n">
        <f aca="false">IF((F1127+F1125+F1129+F1126+F1128)=0,"",((F1127+F1125+F1129+F1126+F1128)-(B1127*D1127+B1125*D1125+B1129*D1129+B1126*D1126+B1128*D1128))/(F1127+F1125+F1129+F1126+F1128))</f>
        <v>0.0850122676190477</v>
      </c>
      <c r="D1134" s="42" t="str">
        <f aca="false">IF(B1134="","SIN PC",IF(B1134&gt;=Detalle!$G$1,"APROBAR",IF(B1134&gt;=0.2,"REVISAR","RECHAZAR")))</f>
        <v>RECHAZAR</v>
      </c>
      <c r="E1134" s="42"/>
      <c r="F1134" s="42"/>
    </row>
    <row r="1136" customFormat="false" ht="15" hidden="false" customHeight="false" outlineLevel="0" collapsed="false">
      <c r="A1136" s="11" t="s">
        <v>755</v>
      </c>
      <c r="B1136" s="11"/>
      <c r="C1136" s="11"/>
      <c r="D1136" s="11"/>
      <c r="E1136" s="11"/>
      <c r="F1136" s="11"/>
      <c r="H1136" s="11" t="s">
        <v>756</v>
      </c>
      <c r="I1136" s="11"/>
      <c r="J1136" s="11"/>
      <c r="K1136" s="11"/>
      <c r="L1136" s="11"/>
      <c r="M1136" s="11"/>
      <c r="N1136" s="11"/>
      <c r="P1136" s="14" t="s">
        <v>246</v>
      </c>
    </row>
    <row r="1137" customFormat="false" ht="15" hidden="false" customHeight="false" outlineLevel="0" collapsed="false">
      <c r="A1137" s="15" t="s">
        <v>247</v>
      </c>
      <c r="B1137" s="16" t="s">
        <v>248</v>
      </c>
      <c r="C1137" s="17"/>
      <c r="D1137" s="17"/>
      <c r="E1137" s="17"/>
      <c r="F1137" s="17"/>
      <c r="H1137" s="18" t="s">
        <v>757</v>
      </c>
      <c r="I1137" s="19"/>
      <c r="J1137" s="19"/>
      <c r="L1137" s="20" t="s">
        <v>758</v>
      </c>
      <c r="M1137" s="21"/>
      <c r="N1137" s="21"/>
      <c r="P1137" s="14" t="s">
        <v>759</v>
      </c>
    </row>
    <row r="1138" customFormat="false" ht="15" hidden="false" customHeight="false" outlineLevel="0" collapsed="false">
      <c r="B1138" s="3" t="s">
        <v>252</v>
      </c>
      <c r="C1138" s="3" t="s">
        <v>253</v>
      </c>
      <c r="D1138" s="3" t="s">
        <v>254</v>
      </c>
      <c r="E1138" s="3" t="s">
        <v>255</v>
      </c>
      <c r="F1138" s="3" t="s">
        <v>256</v>
      </c>
      <c r="H1138" s="22" t="s">
        <v>252</v>
      </c>
      <c r="I1138" s="22" t="s">
        <v>255</v>
      </c>
      <c r="J1138" s="22" t="s">
        <v>256</v>
      </c>
      <c r="L1138" s="23" t="s">
        <v>252</v>
      </c>
      <c r="M1138" s="23" t="s">
        <v>255</v>
      </c>
      <c r="N1138" s="23" t="s">
        <v>256</v>
      </c>
      <c r="P1138" s="14" t="s">
        <v>760</v>
      </c>
    </row>
    <row r="1139" customFormat="false" ht="15" hidden="false" customHeight="false" outlineLevel="0" collapsed="false">
      <c r="A1139" s="24" t="s">
        <v>258</v>
      </c>
      <c r="B1139" s="25" t="n">
        <v>8.8</v>
      </c>
      <c r="C1139" s="25" t="n">
        <v>30</v>
      </c>
      <c r="D1139" s="26" t="n">
        <v>3.68919</v>
      </c>
      <c r="E1139" s="27" t="n">
        <v>3.85</v>
      </c>
      <c r="F1139" s="28" t="n">
        <f aca="false">ROUND(B1139*E1139,2)</f>
        <v>33.88</v>
      </c>
      <c r="H1139" s="29" t="n">
        <v>8.8</v>
      </c>
      <c r="I1139" s="30" t="n">
        <v>3.85</v>
      </c>
      <c r="J1139" s="31" t="n">
        <f aca="false">ROUND(H1139*I1139,2)</f>
        <v>33.88</v>
      </c>
      <c r="L1139" s="32" t="n">
        <v>8.8</v>
      </c>
      <c r="M1139" s="33" t="n">
        <v>3.85</v>
      </c>
      <c r="N1139" s="34" t="n">
        <f aca="false">ROUND(L1139*M1139,2)</f>
        <v>33.88</v>
      </c>
      <c r="P1139" s="35" t="s">
        <v>761</v>
      </c>
    </row>
    <row r="1140" customFormat="false" ht="15" hidden="false" customHeight="false" outlineLevel="0" collapsed="false">
      <c r="A1140" s="24" t="s">
        <v>260</v>
      </c>
      <c r="B1140" s="25" t="n">
        <v>8.8</v>
      </c>
      <c r="C1140" s="25" t="n">
        <v>30</v>
      </c>
      <c r="D1140" s="26" t="n">
        <v>1.31928</v>
      </c>
      <c r="E1140" s="27" t="n">
        <v>1.33</v>
      </c>
      <c r="F1140" s="28" t="n">
        <f aca="false">ROUND(B1140*E1140,2)</f>
        <v>11.7</v>
      </c>
      <c r="H1140" s="29" t="n">
        <v>8.8</v>
      </c>
      <c r="I1140" s="30" t="n">
        <v>1.33</v>
      </c>
      <c r="J1140" s="31" t="n">
        <f aca="false">ROUND(H1140*I1140,2)</f>
        <v>11.7</v>
      </c>
      <c r="L1140" s="32" t="n">
        <v>8.8</v>
      </c>
      <c r="M1140" s="33" t="n">
        <v>1.33</v>
      </c>
      <c r="N1140" s="34" t="n">
        <f aca="false">ROUND(L1140*M1140,2)</f>
        <v>11.7</v>
      </c>
      <c r="P1140" s="36" t="s">
        <v>261</v>
      </c>
    </row>
    <row r="1141" customFormat="false" ht="15" hidden="false" customHeight="false" outlineLevel="0" collapsed="false">
      <c r="A1141" s="24" t="s">
        <v>262</v>
      </c>
      <c r="B1141" s="25" t="n">
        <v>334.871</v>
      </c>
      <c r="C1141" s="25" t="n">
        <v>30</v>
      </c>
      <c r="D1141" s="26" t="n">
        <v>0.111171</v>
      </c>
      <c r="E1141" s="27" t="n">
        <v>0.13788</v>
      </c>
      <c r="F1141" s="28" t="n">
        <f aca="false">ROUND(B1141*E1141,2)</f>
        <v>46.17</v>
      </c>
      <c r="H1141" s="29" t="n">
        <v>526.221</v>
      </c>
      <c r="I1141" s="30" t="n">
        <v>0.13788</v>
      </c>
      <c r="J1141" s="31" t="n">
        <f aca="false">ROUND(H1141*I1141,2)</f>
        <v>72.56</v>
      </c>
      <c r="L1141" s="32" t="n">
        <v>294.289</v>
      </c>
      <c r="M1141" s="33" t="n">
        <v>0.13788</v>
      </c>
      <c r="N1141" s="34" t="n">
        <f aca="false">ROUND(L1141*M1141,2)</f>
        <v>40.58</v>
      </c>
      <c r="P1141" s="35" t="s">
        <v>762</v>
      </c>
    </row>
    <row r="1142" customFormat="false" ht="15" hidden="false" customHeight="false" outlineLevel="0" collapsed="false">
      <c r="A1142" s="24" t="s">
        <v>264</v>
      </c>
      <c r="B1142" s="25" t="n">
        <v>313.035</v>
      </c>
      <c r="C1142" s="25" t="n">
        <v>30</v>
      </c>
      <c r="D1142" s="26" t="n">
        <v>0.111171</v>
      </c>
      <c r="E1142" s="27" t="n">
        <v>0.13788</v>
      </c>
      <c r="F1142" s="28" t="n">
        <f aca="false">ROUND(B1142*E1142,2)</f>
        <v>43.16</v>
      </c>
      <c r="H1142" s="29" t="n">
        <v>556.114</v>
      </c>
      <c r="I1142" s="30" t="n">
        <v>0.13788</v>
      </c>
      <c r="J1142" s="31" t="n">
        <f aca="false">ROUND(H1142*I1142,2)</f>
        <v>76.68</v>
      </c>
      <c r="L1142" s="32" t="n">
        <v>356.427</v>
      </c>
      <c r="M1142" s="33" t="n">
        <v>0.13788</v>
      </c>
      <c r="N1142" s="34" t="n">
        <f aca="false">ROUND(L1142*M1142,2)</f>
        <v>49.14</v>
      </c>
    </row>
    <row r="1143" customFormat="false" ht="15" hidden="false" customHeight="false" outlineLevel="0" collapsed="false">
      <c r="A1143" s="24" t="s">
        <v>265</v>
      </c>
      <c r="B1143" s="25" t="n">
        <v>698.439</v>
      </c>
      <c r="C1143" s="25" t="n">
        <v>30</v>
      </c>
      <c r="D1143" s="26" t="n">
        <v>0.111171</v>
      </c>
      <c r="E1143" s="27" t="n">
        <v>0.13788</v>
      </c>
      <c r="F1143" s="28" t="n">
        <f aca="false">ROUND(B1143*E1143,2)</f>
        <v>96.3</v>
      </c>
      <c r="H1143" s="29" t="n">
        <v>1161.64</v>
      </c>
      <c r="I1143" s="30" t="n">
        <v>0.13788</v>
      </c>
      <c r="J1143" s="31" t="n">
        <f aca="false">ROUND(H1143*I1143,2)</f>
        <v>160.17</v>
      </c>
      <c r="L1143" s="32" t="n">
        <v>764.901</v>
      </c>
      <c r="M1143" s="33" t="n">
        <v>0.13788</v>
      </c>
      <c r="N1143" s="34" t="n">
        <f aca="false">ROUND(L1143*M1143,2)</f>
        <v>105.46</v>
      </c>
    </row>
    <row r="1144" customFormat="false" ht="15" hidden="false" customHeight="false" outlineLevel="0" collapsed="false">
      <c r="A1144" s="24" t="s">
        <v>266</v>
      </c>
      <c r="B1144" s="25" t="n">
        <v>1</v>
      </c>
      <c r="C1144" s="25" t="n">
        <v>30</v>
      </c>
      <c r="D1144" s="26" t="n">
        <v>0.7989</v>
      </c>
      <c r="E1144" s="27" t="n">
        <v>3</v>
      </c>
      <c r="F1144" s="28" t="n">
        <f aca="false">ROUND(B1144*E1144,2)</f>
        <v>3</v>
      </c>
      <c r="H1144" s="29" t="n">
        <v>1</v>
      </c>
      <c r="I1144" s="30" t="n">
        <v>3</v>
      </c>
      <c r="J1144" s="31" t="n">
        <f aca="false">ROUND(H1144*I1144,2)</f>
        <v>3</v>
      </c>
      <c r="L1144" s="32" t="n">
        <v>1</v>
      </c>
      <c r="M1144" s="33" t="n">
        <v>3</v>
      </c>
      <c r="N1144" s="34" t="n">
        <f aca="false">ROUND(L1144*M1144,2)</f>
        <v>3</v>
      </c>
    </row>
    <row r="1145" customFormat="false" ht="15" hidden="false" customHeight="false" outlineLevel="0" collapsed="false">
      <c r="A1145" s="24" t="s">
        <v>267</v>
      </c>
      <c r="B1145" s="25" t="n">
        <v>30</v>
      </c>
      <c r="C1145" s="25" t="n">
        <v>30</v>
      </c>
      <c r="D1145" s="26" t="n">
        <v>0.5736</v>
      </c>
      <c r="E1145" s="27" t="n">
        <v>0.01274</v>
      </c>
      <c r="F1145" s="28" t="n">
        <f aca="false">ROUND(B1145*E1145,2)</f>
        <v>0.38</v>
      </c>
      <c r="H1145" s="29" t="n">
        <v>30</v>
      </c>
      <c r="I1145" s="30" t="n">
        <v>0.01274</v>
      </c>
      <c r="J1145" s="31" t="n">
        <f aca="false">ROUND(H1145*I1145,2)</f>
        <v>0.38</v>
      </c>
      <c r="L1145" s="32" t="n">
        <v>30</v>
      </c>
      <c r="M1145" s="33" t="n">
        <v>0.00629</v>
      </c>
      <c r="N1145" s="34" t="n">
        <f aca="false">ROUND(L1145*M1145,2)</f>
        <v>0.19</v>
      </c>
    </row>
    <row r="1146" customFormat="false" ht="15" hidden="false" customHeight="false" outlineLevel="0" collapsed="false">
      <c r="A1146" s="24" t="s">
        <v>268</v>
      </c>
      <c r="B1146" s="25" t="n">
        <v>11.82</v>
      </c>
      <c r="C1146" s="25" t="n">
        <v>30</v>
      </c>
      <c r="D1146" s="26" t="n">
        <v>0.27312</v>
      </c>
      <c r="E1146" s="27" t="n">
        <v>1</v>
      </c>
      <c r="F1146" s="28" t="n">
        <f aca="false">ROUND(B1146*E1146,2)</f>
        <v>11.82</v>
      </c>
      <c r="H1146" s="29" t="n">
        <v>18.15</v>
      </c>
      <c r="I1146" s="30" t="n">
        <v>1</v>
      </c>
      <c r="J1146" s="31" t="n">
        <f aca="false">ROUND(H1146*I1146,2)</f>
        <v>18.15</v>
      </c>
      <c r="L1146" s="32" t="n">
        <v>12.31</v>
      </c>
      <c r="M1146" s="33" t="n">
        <v>1</v>
      </c>
      <c r="N1146" s="34" t="n">
        <f aca="false">ROUND(L1146*M1146,2)</f>
        <v>12.31</v>
      </c>
    </row>
    <row r="1147" customFormat="false" ht="15" hidden="false" customHeight="false" outlineLevel="0" collapsed="false">
      <c r="A1147" s="37" t="s">
        <v>269</v>
      </c>
      <c r="F1147" s="38" t="n">
        <f aca="false">ROUND((SUM(F1139:F1146)-F1146)*1.1+F1146,2)</f>
        <v>269.87</v>
      </c>
      <c r="J1147" s="39" t="n">
        <f aca="false">ROUND(SUM(J1139:J1146),2)</f>
        <v>376.52</v>
      </c>
      <c r="N1147" s="40" t="n">
        <f aca="false">ROUND(SUM(N1139:N1146),2)</f>
        <v>256.26</v>
      </c>
    </row>
    <row r="1148" customFormat="false" ht="15" hidden="false" customHeight="false" outlineLevel="0" collapsed="false">
      <c r="A1148" s="15" t="s">
        <v>270</v>
      </c>
      <c r="B1148" s="41" t="n">
        <f aca="false">IF((F1141+F1139+F1143+F1140+F1142)=0,"",((F1141+F1139+F1143+F1140+F1142)-(B1141*D1141+B1139*D1139+B1143*D1143+B1140*D1140+B1142*D1142))/(F1141+F1139+F1143+F1140+F1142))</f>
        <v>0.162021296678344</v>
      </c>
      <c r="D1148" s="42" t="str">
        <f aca="false">IF(B1148="","SIN PC",IF(B1148&gt;=Detalle!$G$1,"APROBAR",IF(B1148&gt;=0.2,"REVISAR","RECHAZAR")))</f>
        <v>RECHAZAR</v>
      </c>
      <c r="E1148" s="42"/>
      <c r="F1148" s="42"/>
    </row>
    <row r="1150" customFormat="false" ht="15" hidden="false" customHeight="false" outlineLevel="0" collapsed="false">
      <c r="A1150" s="11" t="s">
        <v>763</v>
      </c>
      <c r="B1150" s="11"/>
      <c r="C1150" s="11"/>
      <c r="D1150" s="11"/>
      <c r="E1150" s="11"/>
      <c r="F1150" s="11"/>
      <c r="H1150" s="11" t="s">
        <v>764</v>
      </c>
      <c r="I1150" s="11"/>
      <c r="J1150" s="11"/>
      <c r="K1150" s="11"/>
      <c r="L1150" s="11"/>
      <c r="M1150" s="11"/>
      <c r="N1150" s="11"/>
      <c r="P1150" s="14" t="s">
        <v>246</v>
      </c>
    </row>
    <row r="1151" customFormat="false" ht="15" hidden="false" customHeight="false" outlineLevel="0" collapsed="false">
      <c r="A1151" s="15" t="s">
        <v>247</v>
      </c>
      <c r="B1151" s="16" t="s">
        <v>248</v>
      </c>
      <c r="C1151" s="17"/>
      <c r="D1151" s="17"/>
      <c r="E1151" s="17"/>
      <c r="F1151" s="17"/>
      <c r="H1151" s="18" t="s">
        <v>765</v>
      </c>
      <c r="I1151" s="19"/>
      <c r="J1151" s="19"/>
      <c r="L1151" s="20" t="s">
        <v>766</v>
      </c>
      <c r="M1151" s="21"/>
      <c r="N1151" s="21"/>
      <c r="P1151" s="14" t="s">
        <v>767</v>
      </c>
    </row>
    <row r="1152" customFormat="false" ht="15" hidden="false" customHeight="false" outlineLevel="0" collapsed="false">
      <c r="B1152" s="3" t="s">
        <v>252</v>
      </c>
      <c r="C1152" s="3" t="s">
        <v>253</v>
      </c>
      <c r="D1152" s="3" t="s">
        <v>254</v>
      </c>
      <c r="E1152" s="3" t="s">
        <v>255</v>
      </c>
      <c r="F1152" s="3" t="s">
        <v>256</v>
      </c>
      <c r="H1152" s="22" t="s">
        <v>252</v>
      </c>
      <c r="I1152" s="22" t="s">
        <v>255</v>
      </c>
      <c r="J1152" s="22" t="s">
        <v>256</v>
      </c>
      <c r="L1152" s="23" t="s">
        <v>252</v>
      </c>
      <c r="M1152" s="23" t="s">
        <v>255</v>
      </c>
      <c r="N1152" s="23" t="s">
        <v>256</v>
      </c>
      <c r="P1152" s="14" t="s">
        <v>768</v>
      </c>
    </row>
    <row r="1153" customFormat="false" ht="15" hidden="false" customHeight="false" outlineLevel="0" collapsed="false">
      <c r="A1153" s="24" t="s">
        <v>258</v>
      </c>
      <c r="B1153" s="25" t="n">
        <v>5</v>
      </c>
      <c r="C1153" s="25" t="n">
        <v>30</v>
      </c>
      <c r="D1153" s="26" t="n">
        <v>3.68919</v>
      </c>
      <c r="E1153" s="27" t="n">
        <v>3.85</v>
      </c>
      <c r="F1153" s="28" t="n">
        <f aca="false">ROUND(B1153*E1153,2)</f>
        <v>19.25</v>
      </c>
      <c r="H1153" s="29" t="n">
        <v>5</v>
      </c>
      <c r="I1153" s="30" t="n">
        <v>3.85</v>
      </c>
      <c r="J1153" s="31" t="n">
        <f aca="false">ROUND(H1153*I1153,2)</f>
        <v>19.25</v>
      </c>
      <c r="L1153" s="32" t="n">
        <v>5</v>
      </c>
      <c r="M1153" s="33" t="n">
        <v>3.85</v>
      </c>
      <c r="N1153" s="34" t="n">
        <f aca="false">ROUND(L1153*M1153,2)</f>
        <v>19.25</v>
      </c>
      <c r="P1153" s="35" t="s">
        <v>769</v>
      </c>
    </row>
    <row r="1154" customFormat="false" ht="15" hidden="false" customHeight="false" outlineLevel="0" collapsed="false">
      <c r="A1154" s="24" t="s">
        <v>260</v>
      </c>
      <c r="B1154" s="25" t="n">
        <v>5</v>
      </c>
      <c r="C1154" s="25" t="n">
        <v>30</v>
      </c>
      <c r="D1154" s="26" t="n">
        <v>1.31928</v>
      </c>
      <c r="E1154" s="27" t="n">
        <v>1.33</v>
      </c>
      <c r="F1154" s="28" t="n">
        <f aca="false">ROUND(B1154*E1154,2)</f>
        <v>6.65</v>
      </c>
      <c r="H1154" s="29" t="n">
        <v>5</v>
      </c>
      <c r="I1154" s="30" t="n">
        <v>1.33</v>
      </c>
      <c r="J1154" s="31" t="n">
        <f aca="false">ROUND(H1154*I1154,2)</f>
        <v>6.65</v>
      </c>
      <c r="L1154" s="32" t="n">
        <v>5</v>
      </c>
      <c r="M1154" s="33" t="n">
        <v>1.33</v>
      </c>
      <c r="N1154" s="34" t="n">
        <f aca="false">ROUND(L1154*M1154,2)</f>
        <v>6.65</v>
      </c>
      <c r="P1154" s="36" t="s">
        <v>261</v>
      </c>
    </row>
    <row r="1155" customFormat="false" ht="15" hidden="false" customHeight="false" outlineLevel="0" collapsed="false">
      <c r="A1155" s="24" t="s">
        <v>262</v>
      </c>
      <c r="B1155" s="25" t="n">
        <v>85.061</v>
      </c>
      <c r="C1155" s="25" t="n">
        <v>30</v>
      </c>
      <c r="D1155" s="26" t="n">
        <v>0.111171</v>
      </c>
      <c r="E1155" s="27" t="n">
        <v>0.13788</v>
      </c>
      <c r="F1155" s="28" t="n">
        <f aca="false">ROUND(B1155*E1155,2)</f>
        <v>11.73</v>
      </c>
      <c r="H1155" s="29" t="n">
        <v>189.172</v>
      </c>
      <c r="I1155" s="30" t="n">
        <v>0.13788</v>
      </c>
      <c r="J1155" s="31" t="n">
        <f aca="false">ROUND(H1155*I1155,2)</f>
        <v>26.08</v>
      </c>
      <c r="L1155" s="32" t="n">
        <v>96.81</v>
      </c>
      <c r="M1155" s="33" t="n">
        <v>0.13788</v>
      </c>
      <c r="N1155" s="34" t="n">
        <f aca="false">ROUND(L1155*M1155,2)</f>
        <v>13.35</v>
      </c>
      <c r="P1155" s="35" t="s">
        <v>770</v>
      </c>
    </row>
    <row r="1156" customFormat="false" ht="15" hidden="false" customHeight="false" outlineLevel="0" collapsed="false">
      <c r="A1156" s="24" t="s">
        <v>264</v>
      </c>
      <c r="B1156" s="25" t="n">
        <v>62.424</v>
      </c>
      <c r="C1156" s="25" t="n">
        <v>30</v>
      </c>
      <c r="D1156" s="26" t="n">
        <v>0.111171</v>
      </c>
      <c r="E1156" s="27" t="n">
        <v>0.13788</v>
      </c>
      <c r="F1156" s="28" t="n">
        <f aca="false">ROUND(B1156*E1156,2)</f>
        <v>8.61</v>
      </c>
      <c r="H1156" s="29" t="n">
        <v>152.436</v>
      </c>
      <c r="I1156" s="30" t="n">
        <v>0.13788</v>
      </c>
      <c r="J1156" s="31" t="n">
        <f aca="false">ROUND(H1156*I1156,2)</f>
        <v>21.02</v>
      </c>
      <c r="L1156" s="32" t="n">
        <v>85.76</v>
      </c>
      <c r="M1156" s="33" t="n">
        <v>0.13788</v>
      </c>
      <c r="N1156" s="34" t="n">
        <f aca="false">ROUND(L1156*M1156,2)</f>
        <v>11.82</v>
      </c>
    </row>
    <row r="1157" customFormat="false" ht="15" hidden="false" customHeight="false" outlineLevel="0" collapsed="false">
      <c r="A1157" s="24" t="s">
        <v>265</v>
      </c>
      <c r="B1157" s="25" t="n">
        <v>101.957</v>
      </c>
      <c r="C1157" s="25" t="n">
        <v>30</v>
      </c>
      <c r="D1157" s="26" t="n">
        <v>0.111171</v>
      </c>
      <c r="E1157" s="27" t="n">
        <v>0.13788</v>
      </c>
      <c r="F1157" s="28" t="n">
        <f aca="false">ROUND(B1157*E1157,2)</f>
        <v>14.06</v>
      </c>
      <c r="H1157" s="29" t="n">
        <v>214.461</v>
      </c>
      <c r="I1157" s="30" t="n">
        <v>0.13788</v>
      </c>
      <c r="J1157" s="31" t="n">
        <f aca="false">ROUND(H1157*I1157,2)</f>
        <v>29.57</v>
      </c>
      <c r="L1157" s="32" t="n">
        <v>133.277</v>
      </c>
      <c r="M1157" s="33" t="n">
        <v>0.13788</v>
      </c>
      <c r="N1157" s="34" t="n">
        <f aca="false">ROUND(L1157*M1157,2)</f>
        <v>18.38</v>
      </c>
    </row>
    <row r="1158" customFormat="false" ht="15" hidden="false" customHeight="false" outlineLevel="0" collapsed="false">
      <c r="A1158" s="24" t="s">
        <v>266</v>
      </c>
      <c r="B1158" s="25" t="n">
        <v>1</v>
      </c>
      <c r="C1158" s="25" t="n">
        <v>30</v>
      </c>
      <c r="D1158" s="26" t="n">
        <v>0.7989</v>
      </c>
      <c r="E1158" s="27" t="n">
        <v>3</v>
      </c>
      <c r="F1158" s="28" t="n">
        <f aca="false">ROUND(B1158*E1158,2)</f>
        <v>3</v>
      </c>
      <c r="H1158" s="29" t="n">
        <v>1</v>
      </c>
      <c r="I1158" s="30" t="n">
        <v>3</v>
      </c>
      <c r="J1158" s="31" t="n">
        <f aca="false">ROUND(H1158*I1158,2)</f>
        <v>3</v>
      </c>
      <c r="L1158" s="32" t="n">
        <v>1</v>
      </c>
      <c r="M1158" s="33" t="n">
        <v>3</v>
      </c>
      <c r="N1158" s="34" t="n">
        <f aca="false">ROUND(L1158*M1158,2)</f>
        <v>3</v>
      </c>
    </row>
    <row r="1159" customFormat="false" ht="15" hidden="false" customHeight="false" outlineLevel="0" collapsed="false">
      <c r="A1159" s="24" t="s">
        <v>267</v>
      </c>
      <c r="B1159" s="25" t="n">
        <v>30</v>
      </c>
      <c r="C1159" s="25" t="n">
        <v>30</v>
      </c>
      <c r="D1159" s="26" t="n">
        <v>0.5736</v>
      </c>
      <c r="E1159" s="27" t="n">
        <v>0.01274</v>
      </c>
      <c r="F1159" s="28" t="n">
        <f aca="false">ROUND(B1159*E1159,2)</f>
        <v>0.38</v>
      </c>
      <c r="H1159" s="29" t="n">
        <v>30</v>
      </c>
      <c r="I1159" s="30" t="n">
        <v>0.01274</v>
      </c>
      <c r="J1159" s="31" t="n">
        <f aca="false">ROUND(H1159*I1159,2)</f>
        <v>0.38</v>
      </c>
      <c r="L1159" s="32" t="n">
        <v>30</v>
      </c>
      <c r="M1159" s="33" t="n">
        <v>0.00629</v>
      </c>
      <c r="N1159" s="34" t="n">
        <f aca="false">ROUND(L1159*M1159,2)</f>
        <v>0.19</v>
      </c>
    </row>
    <row r="1160" customFormat="false" ht="15" hidden="false" customHeight="false" outlineLevel="0" collapsed="false">
      <c r="A1160" s="24" t="s">
        <v>268</v>
      </c>
      <c r="B1160" s="25" t="n">
        <v>3.09</v>
      </c>
      <c r="C1160" s="25" t="n">
        <v>30</v>
      </c>
      <c r="D1160" s="26" t="n">
        <v>0.27312</v>
      </c>
      <c r="E1160" s="27" t="n">
        <v>1</v>
      </c>
      <c r="F1160" s="28" t="n">
        <f aca="false">ROUND(B1160*E1160,2)</f>
        <v>3.09</v>
      </c>
      <c r="H1160" s="29" t="n">
        <v>5.25</v>
      </c>
      <c r="I1160" s="30" t="n">
        <v>1</v>
      </c>
      <c r="J1160" s="31" t="n">
        <f aca="false">ROUND(H1160*I1160,2)</f>
        <v>5.25</v>
      </c>
      <c r="L1160" s="32" t="n">
        <v>3.56</v>
      </c>
      <c r="M1160" s="33" t="n">
        <v>1</v>
      </c>
      <c r="N1160" s="34" t="n">
        <f aca="false">ROUND(L1160*M1160,2)</f>
        <v>3.56</v>
      </c>
    </row>
    <row r="1161" customFormat="false" ht="15" hidden="false" customHeight="false" outlineLevel="0" collapsed="false">
      <c r="A1161" s="37" t="s">
        <v>269</v>
      </c>
      <c r="F1161" s="38" t="n">
        <f aca="false">ROUND((SUM(F1153:F1160)-F1160)*1.1+F1160,2)</f>
        <v>73.14</v>
      </c>
      <c r="J1161" s="39" t="n">
        <f aca="false">ROUND(SUM(J1153:J1160),2)</f>
        <v>111.2</v>
      </c>
      <c r="N1161" s="40" t="n">
        <f aca="false">ROUND(SUM(N1153:N1160),2)</f>
        <v>76.2</v>
      </c>
    </row>
    <row r="1162" customFormat="false" ht="15" hidden="false" customHeight="false" outlineLevel="0" collapsed="false">
      <c r="A1162" s="15" t="s">
        <v>270</v>
      </c>
      <c r="B1162" s="41" t="n">
        <f aca="false">IF((F1155+F1153+F1157+F1154+F1156)=0,"",((F1155+F1153+F1157+F1154+F1156)-(B1155*D1155+B1153*D1153+B1157*D1157+B1154*D1154+B1156*D1156))/(F1155+F1153+F1157+F1154+F1156))</f>
        <v>0.124824766467662</v>
      </c>
      <c r="D1162" s="42" t="str">
        <f aca="false">IF(B1162="","SIN PC",IF(B1162&gt;=Detalle!$G$1,"APROBAR",IF(B1162&gt;=0.2,"REVISAR","RECHAZAR")))</f>
        <v>RECHAZAR</v>
      </c>
      <c r="E1162" s="42"/>
      <c r="F1162" s="42"/>
    </row>
    <row r="1164" customFormat="false" ht="15" hidden="false" customHeight="false" outlineLevel="0" collapsed="false">
      <c r="A1164" s="11" t="s">
        <v>771</v>
      </c>
      <c r="B1164" s="11"/>
      <c r="C1164" s="11"/>
      <c r="D1164" s="11"/>
      <c r="E1164" s="11"/>
      <c r="F1164" s="11"/>
      <c r="H1164" s="11" t="s">
        <v>772</v>
      </c>
      <c r="I1164" s="11"/>
      <c r="J1164" s="11"/>
      <c r="K1164" s="11"/>
      <c r="L1164" s="11"/>
      <c r="M1164" s="11"/>
      <c r="N1164" s="11"/>
      <c r="P1164" s="14" t="s">
        <v>246</v>
      </c>
    </row>
    <row r="1165" customFormat="false" ht="15" hidden="false" customHeight="false" outlineLevel="0" collapsed="false">
      <c r="A1165" s="15" t="s">
        <v>247</v>
      </c>
      <c r="B1165" s="16" t="s">
        <v>248</v>
      </c>
      <c r="C1165" s="17"/>
      <c r="D1165" s="17"/>
      <c r="E1165" s="17"/>
      <c r="F1165" s="17"/>
      <c r="H1165" s="18" t="s">
        <v>773</v>
      </c>
      <c r="I1165" s="19"/>
      <c r="J1165" s="19"/>
      <c r="L1165" s="20" t="s">
        <v>774</v>
      </c>
      <c r="M1165" s="21"/>
      <c r="N1165" s="21"/>
      <c r="P1165" s="14" t="s">
        <v>775</v>
      </c>
    </row>
    <row r="1166" customFormat="false" ht="15" hidden="false" customHeight="false" outlineLevel="0" collapsed="false">
      <c r="B1166" s="3" t="s">
        <v>252</v>
      </c>
      <c r="C1166" s="3" t="s">
        <v>253</v>
      </c>
      <c r="D1166" s="3" t="s">
        <v>254</v>
      </c>
      <c r="E1166" s="3" t="s">
        <v>255</v>
      </c>
      <c r="F1166" s="3" t="s">
        <v>256</v>
      </c>
      <c r="H1166" s="22" t="s">
        <v>252</v>
      </c>
      <c r="I1166" s="22" t="s">
        <v>255</v>
      </c>
      <c r="J1166" s="22" t="s">
        <v>256</v>
      </c>
      <c r="L1166" s="23" t="s">
        <v>252</v>
      </c>
      <c r="M1166" s="23" t="s">
        <v>255</v>
      </c>
      <c r="N1166" s="23" t="s">
        <v>256</v>
      </c>
      <c r="P1166" s="14" t="s">
        <v>776</v>
      </c>
    </row>
    <row r="1167" customFormat="false" ht="15" hidden="false" customHeight="false" outlineLevel="0" collapsed="false">
      <c r="A1167" s="24" t="s">
        <v>258</v>
      </c>
      <c r="B1167" s="25" t="n">
        <v>5.75</v>
      </c>
      <c r="C1167" s="25" t="n">
        <v>30</v>
      </c>
      <c r="D1167" s="26" t="n">
        <v>3.4086</v>
      </c>
      <c r="E1167" s="27" t="n">
        <v>3.85</v>
      </c>
      <c r="F1167" s="28" t="n">
        <f aca="false">ROUND(B1167*E1167,2)</f>
        <v>22.14</v>
      </c>
      <c r="H1167" s="29" t="n">
        <v>5.75</v>
      </c>
      <c r="I1167" s="30" t="n">
        <v>3.85</v>
      </c>
      <c r="J1167" s="31" t="n">
        <f aca="false">ROUND(H1167*I1167,2)</f>
        <v>22.14</v>
      </c>
      <c r="L1167" s="32" t="n">
        <v>5.75</v>
      </c>
      <c r="M1167" s="33" t="n">
        <v>3.85</v>
      </c>
      <c r="N1167" s="34" t="n">
        <f aca="false">ROUND(L1167*M1167,2)</f>
        <v>22.14</v>
      </c>
      <c r="P1167" s="35" t="s">
        <v>777</v>
      </c>
    </row>
    <row r="1168" customFormat="false" ht="15" hidden="false" customHeight="false" outlineLevel="0" collapsed="false">
      <c r="A1168" s="24" t="s">
        <v>260</v>
      </c>
      <c r="B1168" s="25" t="n">
        <v>5.75</v>
      </c>
      <c r="C1168" s="25" t="n">
        <v>30</v>
      </c>
      <c r="D1168" s="26" t="n">
        <v>1.09728</v>
      </c>
      <c r="E1168" s="27" t="n">
        <v>1.33</v>
      </c>
      <c r="F1168" s="28" t="n">
        <f aca="false">ROUND(B1168*E1168,2)</f>
        <v>7.65</v>
      </c>
      <c r="H1168" s="29" t="n">
        <v>5.75</v>
      </c>
      <c r="I1168" s="30" t="n">
        <v>1.33</v>
      </c>
      <c r="J1168" s="31" t="n">
        <f aca="false">ROUND(H1168*I1168,2)</f>
        <v>7.65</v>
      </c>
      <c r="L1168" s="32" t="n">
        <v>5.75</v>
      </c>
      <c r="M1168" s="33" t="n">
        <v>1.33</v>
      </c>
      <c r="N1168" s="34" t="n">
        <f aca="false">ROUND(L1168*M1168,2)</f>
        <v>7.65</v>
      </c>
      <c r="P1168" s="36" t="s">
        <v>261</v>
      </c>
    </row>
    <row r="1169" customFormat="false" ht="15" hidden="false" customHeight="false" outlineLevel="0" collapsed="false">
      <c r="A1169" s="24" t="s">
        <v>262</v>
      </c>
      <c r="B1169" s="25" t="n">
        <v>196.826</v>
      </c>
      <c r="C1169" s="25" t="n">
        <v>30</v>
      </c>
      <c r="D1169" s="26" t="n">
        <v>0.110306</v>
      </c>
      <c r="E1169" s="27" t="n">
        <v>0.13788</v>
      </c>
      <c r="F1169" s="28" t="n">
        <f aca="false">ROUND(B1169*E1169,2)</f>
        <v>27.14</v>
      </c>
      <c r="H1169" s="29" t="n">
        <v>150.9</v>
      </c>
      <c r="I1169" s="30" t="n">
        <v>0.13788</v>
      </c>
      <c r="J1169" s="31" t="n">
        <f aca="false">ROUND(H1169*I1169,2)</f>
        <v>20.81</v>
      </c>
      <c r="L1169" s="32" t="n">
        <v>100.464</v>
      </c>
      <c r="M1169" s="33" t="n">
        <v>0.13788</v>
      </c>
      <c r="N1169" s="34" t="n">
        <f aca="false">ROUND(L1169*M1169,2)</f>
        <v>13.85</v>
      </c>
      <c r="P1169" s="35" t="s">
        <v>778</v>
      </c>
    </row>
    <row r="1170" customFormat="false" ht="15" hidden="false" customHeight="false" outlineLevel="0" collapsed="false">
      <c r="A1170" s="24" t="s">
        <v>264</v>
      </c>
      <c r="B1170" s="25" t="n">
        <v>159.465</v>
      </c>
      <c r="C1170" s="25" t="n">
        <v>30</v>
      </c>
      <c r="D1170" s="26" t="n">
        <v>0.110306</v>
      </c>
      <c r="E1170" s="27" t="n">
        <v>0.13788</v>
      </c>
      <c r="F1170" s="28" t="n">
        <f aca="false">ROUND(B1170*E1170,2)</f>
        <v>21.99</v>
      </c>
      <c r="H1170" s="29" t="n">
        <v>131.444</v>
      </c>
      <c r="I1170" s="30" t="n">
        <v>0.13788</v>
      </c>
      <c r="J1170" s="31" t="n">
        <f aca="false">ROUND(H1170*I1170,2)</f>
        <v>18.12</v>
      </c>
      <c r="L1170" s="32" t="n">
        <v>110.913</v>
      </c>
      <c r="M1170" s="33" t="n">
        <v>0.13788</v>
      </c>
      <c r="N1170" s="34" t="n">
        <f aca="false">ROUND(L1170*M1170,2)</f>
        <v>15.29</v>
      </c>
    </row>
    <row r="1171" customFormat="false" ht="15" hidden="false" customHeight="false" outlineLevel="0" collapsed="false">
      <c r="A1171" s="24" t="s">
        <v>265</v>
      </c>
      <c r="B1171" s="25" t="n">
        <v>129.412</v>
      </c>
      <c r="C1171" s="25" t="n">
        <v>30</v>
      </c>
      <c r="D1171" s="26" t="n">
        <v>0.110306</v>
      </c>
      <c r="E1171" s="27" t="n">
        <v>0.13788</v>
      </c>
      <c r="F1171" s="28" t="n">
        <f aca="false">ROUND(B1171*E1171,2)</f>
        <v>17.84</v>
      </c>
      <c r="H1171" s="29" t="n">
        <v>113.935</v>
      </c>
      <c r="I1171" s="30" t="n">
        <v>0.13788</v>
      </c>
      <c r="J1171" s="31" t="n">
        <f aca="false">ROUND(H1171*I1171,2)</f>
        <v>15.71</v>
      </c>
      <c r="L1171" s="32" t="n">
        <v>133.101</v>
      </c>
      <c r="M1171" s="33" t="n">
        <v>0.13788</v>
      </c>
      <c r="N1171" s="34" t="n">
        <f aca="false">ROUND(L1171*M1171,2)</f>
        <v>18.35</v>
      </c>
    </row>
    <row r="1172" customFormat="false" ht="15" hidden="false" customHeight="false" outlineLevel="0" collapsed="false">
      <c r="A1172" s="24" t="s">
        <v>266</v>
      </c>
      <c r="B1172" s="25" t="n">
        <v>1</v>
      </c>
      <c r="C1172" s="25" t="n">
        <v>30</v>
      </c>
      <c r="D1172" s="26" t="n">
        <v>0.7989</v>
      </c>
      <c r="E1172" s="27" t="n">
        <v>3</v>
      </c>
      <c r="F1172" s="28" t="n">
        <f aca="false">ROUND(B1172*E1172,2)</f>
        <v>3</v>
      </c>
      <c r="H1172" s="29" t="n">
        <v>1</v>
      </c>
      <c r="I1172" s="30" t="n">
        <v>3</v>
      </c>
      <c r="J1172" s="31" t="n">
        <f aca="false">ROUND(H1172*I1172,2)</f>
        <v>3</v>
      </c>
      <c r="L1172" s="32" t="n">
        <v>1</v>
      </c>
      <c r="M1172" s="33" t="n">
        <v>3</v>
      </c>
      <c r="N1172" s="34" t="n">
        <f aca="false">ROUND(L1172*M1172,2)</f>
        <v>3</v>
      </c>
    </row>
    <row r="1173" customFormat="false" ht="15" hidden="false" customHeight="false" outlineLevel="0" collapsed="false">
      <c r="A1173" s="24" t="s">
        <v>267</v>
      </c>
      <c r="B1173" s="25" t="n">
        <v>30</v>
      </c>
      <c r="C1173" s="25" t="n">
        <v>30</v>
      </c>
      <c r="D1173" s="26" t="n">
        <v>0.5736</v>
      </c>
      <c r="E1173" s="27" t="n">
        <v>0.01274</v>
      </c>
      <c r="F1173" s="28" t="n">
        <f aca="false">ROUND(B1173*E1173,2)</f>
        <v>0.38</v>
      </c>
      <c r="H1173" s="29" t="n">
        <v>30</v>
      </c>
      <c r="I1173" s="30" t="n">
        <v>0.01274</v>
      </c>
      <c r="J1173" s="31" t="n">
        <f aca="false">ROUND(H1173*I1173,2)</f>
        <v>0.38</v>
      </c>
      <c r="L1173" s="32" t="n">
        <v>30</v>
      </c>
      <c r="M1173" s="33" t="n">
        <v>0.00629</v>
      </c>
      <c r="N1173" s="34" t="n">
        <f aca="false">ROUND(L1173*M1173,2)</f>
        <v>0.19</v>
      </c>
    </row>
    <row r="1174" customFormat="false" ht="15" hidden="false" customHeight="false" outlineLevel="0" collapsed="false">
      <c r="A1174" s="24" t="s">
        <v>268</v>
      </c>
      <c r="B1174" s="25" t="n">
        <v>4.95</v>
      </c>
      <c r="C1174" s="25" t="n">
        <v>30</v>
      </c>
      <c r="D1174" s="26" t="n">
        <v>0.24729</v>
      </c>
      <c r="E1174" s="27" t="n">
        <v>1</v>
      </c>
      <c r="F1174" s="28" t="n">
        <f aca="false">ROUND(B1174*E1174,2)</f>
        <v>4.95</v>
      </c>
      <c r="H1174" s="29" t="n">
        <v>4.32</v>
      </c>
      <c r="I1174" s="30" t="n">
        <v>1</v>
      </c>
      <c r="J1174" s="31" t="n">
        <f aca="false">ROUND(H1174*I1174,2)</f>
        <v>4.32</v>
      </c>
      <c r="L1174" s="32" t="n">
        <v>3.96</v>
      </c>
      <c r="M1174" s="33" t="n">
        <v>1</v>
      </c>
      <c r="N1174" s="34" t="n">
        <f aca="false">ROUND(L1174*M1174,2)</f>
        <v>3.96</v>
      </c>
    </row>
    <row r="1175" customFormat="false" ht="15" hidden="false" customHeight="false" outlineLevel="0" collapsed="false">
      <c r="A1175" s="37" t="s">
        <v>269</v>
      </c>
      <c r="F1175" s="38" t="n">
        <f aca="false">ROUND((SUM(F1167:F1174)-F1174)*1.1+F1174,2)</f>
        <v>115.1</v>
      </c>
      <c r="J1175" s="39" t="n">
        <f aca="false">ROUND(SUM(J1167:J1174),2)</f>
        <v>92.13</v>
      </c>
      <c r="N1175" s="40" t="n">
        <f aca="false">ROUND(SUM(N1167:N1174),2)</f>
        <v>84.43</v>
      </c>
    </row>
    <row r="1176" customFormat="false" ht="15" hidden="false" customHeight="false" outlineLevel="0" collapsed="false">
      <c r="A1176" s="15" t="s">
        <v>270</v>
      </c>
      <c r="B1176" s="41" t="n">
        <f aca="false">IF((F1169+F1167+F1171+F1168+F1170)=0,"",((F1169+F1167+F1171+F1168+F1170)-(B1169*D1169+B1167*D1167+B1171*D1171+B1168*D1168+B1170*D1170))/(F1169+F1167+F1171+F1168+F1170))</f>
        <v>0.17853694586606</v>
      </c>
      <c r="D1176" s="42" t="str">
        <f aca="false">IF(B1176="","SIN PC",IF(B1176&gt;=Detalle!$G$1,"APROBAR",IF(B1176&gt;=0.2,"REVISAR","RECHAZAR")))</f>
        <v>RECHAZAR</v>
      </c>
      <c r="E1176" s="42"/>
      <c r="F1176" s="42"/>
    </row>
    <row r="1178" customFormat="false" ht="15" hidden="false" customHeight="false" outlineLevel="0" collapsed="false">
      <c r="A1178" s="11" t="s">
        <v>779</v>
      </c>
      <c r="B1178" s="11"/>
      <c r="C1178" s="11"/>
      <c r="D1178" s="11"/>
      <c r="E1178" s="11"/>
      <c r="F1178" s="11"/>
      <c r="H1178" s="11" t="s">
        <v>418</v>
      </c>
      <c r="I1178" s="11"/>
      <c r="J1178" s="11"/>
      <c r="K1178" s="11"/>
      <c r="L1178" s="11"/>
      <c r="M1178" s="11"/>
      <c r="N1178" s="11"/>
      <c r="P1178" s="14" t="s">
        <v>246</v>
      </c>
    </row>
    <row r="1179" customFormat="false" ht="15" hidden="false" customHeight="false" outlineLevel="0" collapsed="false">
      <c r="A1179" s="15" t="s">
        <v>247</v>
      </c>
      <c r="B1179" s="16" t="s">
        <v>248</v>
      </c>
      <c r="C1179" s="17"/>
      <c r="D1179" s="17"/>
      <c r="E1179" s="17"/>
      <c r="F1179" s="17"/>
      <c r="H1179" s="18" t="s">
        <v>419</v>
      </c>
      <c r="I1179" s="19"/>
      <c r="J1179" s="19"/>
      <c r="L1179" s="20" t="s">
        <v>420</v>
      </c>
      <c r="M1179" s="21"/>
      <c r="N1179" s="21"/>
      <c r="P1179" s="14" t="s">
        <v>421</v>
      </c>
    </row>
    <row r="1180" customFormat="false" ht="15" hidden="false" customHeight="false" outlineLevel="0" collapsed="false">
      <c r="B1180" s="3" t="s">
        <v>252</v>
      </c>
      <c r="C1180" s="3" t="s">
        <v>253</v>
      </c>
      <c r="D1180" s="3" t="s">
        <v>254</v>
      </c>
      <c r="E1180" s="3" t="s">
        <v>255</v>
      </c>
      <c r="F1180" s="3" t="s">
        <v>256</v>
      </c>
      <c r="H1180" s="22" t="s">
        <v>252</v>
      </c>
      <c r="I1180" s="22" t="s">
        <v>255</v>
      </c>
      <c r="J1180" s="22" t="s">
        <v>256</v>
      </c>
      <c r="L1180" s="23" t="s">
        <v>252</v>
      </c>
      <c r="M1180" s="23" t="s">
        <v>255</v>
      </c>
      <c r="N1180" s="23" t="s">
        <v>256</v>
      </c>
      <c r="P1180" s="14" t="s">
        <v>422</v>
      </c>
    </row>
    <row r="1181" customFormat="false" ht="15" hidden="false" customHeight="false" outlineLevel="0" collapsed="false">
      <c r="A1181" s="24" t="s">
        <v>258</v>
      </c>
      <c r="B1181" s="25" t="n">
        <v>5.75</v>
      </c>
      <c r="C1181" s="25" t="n">
        <v>30</v>
      </c>
      <c r="D1181" s="26" t="n">
        <v>3.68919</v>
      </c>
      <c r="E1181" s="27" t="n">
        <v>4.82</v>
      </c>
      <c r="F1181" s="28" t="n">
        <f aca="false">ROUND(B1181*E1181,2)</f>
        <v>27.72</v>
      </c>
      <c r="H1181" s="29" t="n">
        <v>5.75</v>
      </c>
      <c r="I1181" s="30" t="n">
        <v>4.82</v>
      </c>
      <c r="J1181" s="31" t="n">
        <f aca="false">ROUND(H1181*I1181,2)</f>
        <v>27.72</v>
      </c>
      <c r="L1181" s="32" t="n">
        <v>5.75</v>
      </c>
      <c r="M1181" s="33" t="n">
        <v>4.82</v>
      </c>
      <c r="N1181" s="34" t="n">
        <f aca="false">ROUND(L1181*M1181,2)</f>
        <v>27.72</v>
      </c>
      <c r="P1181" s="35" t="s">
        <v>423</v>
      </c>
    </row>
    <row r="1182" customFormat="false" ht="15" hidden="false" customHeight="false" outlineLevel="0" collapsed="false">
      <c r="A1182" s="24" t="s">
        <v>260</v>
      </c>
      <c r="B1182" s="25" t="n">
        <v>5.75</v>
      </c>
      <c r="C1182" s="25" t="n">
        <v>30</v>
      </c>
      <c r="D1182" s="26" t="n">
        <v>1.31928</v>
      </c>
      <c r="E1182" s="27" t="n">
        <v>2.3744</v>
      </c>
      <c r="F1182" s="28" t="n">
        <f aca="false">ROUND(B1182*E1182,2)</f>
        <v>13.65</v>
      </c>
      <c r="H1182" s="29" t="n">
        <v>5.75</v>
      </c>
      <c r="I1182" s="30" t="n">
        <v>2.3744</v>
      </c>
      <c r="J1182" s="31" t="n">
        <f aca="false">ROUND(H1182*I1182,2)</f>
        <v>13.65</v>
      </c>
      <c r="L1182" s="32" t="n">
        <v>5.75</v>
      </c>
      <c r="M1182" s="33" t="n">
        <v>2.3744</v>
      </c>
      <c r="N1182" s="34" t="n">
        <f aca="false">ROUND(L1182*M1182,2)</f>
        <v>13.65</v>
      </c>
      <c r="P1182" s="36" t="s">
        <v>261</v>
      </c>
    </row>
    <row r="1183" customFormat="false" ht="15" hidden="false" customHeight="false" outlineLevel="0" collapsed="false">
      <c r="A1183" s="24" t="s">
        <v>262</v>
      </c>
      <c r="B1183" s="25" t="n">
        <v>51.324</v>
      </c>
      <c r="C1183" s="25" t="n">
        <v>30</v>
      </c>
      <c r="D1183" s="26" t="n">
        <v>0.111171</v>
      </c>
      <c r="E1183" s="27" t="n">
        <v>0.139</v>
      </c>
      <c r="F1183" s="28" t="n">
        <f aca="false">ROUND(B1183*E1183,2)</f>
        <v>7.13</v>
      </c>
      <c r="H1183" s="29" t="n">
        <v>44.943</v>
      </c>
      <c r="I1183" s="30" t="n">
        <v>0.139</v>
      </c>
      <c r="J1183" s="31" t="n">
        <f aca="false">ROUND(H1183*I1183,2)</f>
        <v>6.25</v>
      </c>
      <c r="L1183" s="32" t="n">
        <v>55.127</v>
      </c>
      <c r="M1183" s="33" t="n">
        <v>0.1724</v>
      </c>
      <c r="N1183" s="34" t="n">
        <f aca="false">ROUND(L1183*M1183,2)</f>
        <v>9.5</v>
      </c>
      <c r="P1183" s="35" t="s">
        <v>424</v>
      </c>
    </row>
    <row r="1184" customFormat="false" ht="15" hidden="false" customHeight="false" outlineLevel="0" collapsed="false">
      <c r="A1184" s="24" t="s">
        <v>264</v>
      </c>
      <c r="B1184" s="25" t="n">
        <v>21.674</v>
      </c>
      <c r="C1184" s="25" t="n">
        <v>30</v>
      </c>
      <c r="D1184" s="26" t="n">
        <v>0.111171</v>
      </c>
      <c r="E1184" s="27" t="n">
        <v>0.139</v>
      </c>
      <c r="F1184" s="28" t="n">
        <f aca="false">ROUND(B1184*E1184,2)</f>
        <v>3.01</v>
      </c>
      <c r="H1184" s="29" t="n">
        <v>24.243</v>
      </c>
      <c r="I1184" s="30" t="n">
        <v>0.139</v>
      </c>
      <c r="J1184" s="31" t="n">
        <f aca="false">ROUND(H1184*I1184,2)</f>
        <v>3.37</v>
      </c>
      <c r="L1184" s="32" t="n">
        <v>55.993</v>
      </c>
      <c r="M1184" s="33" t="n">
        <v>0.1724</v>
      </c>
      <c r="N1184" s="34" t="n">
        <f aca="false">ROUND(L1184*M1184,2)</f>
        <v>9.65</v>
      </c>
    </row>
    <row r="1185" customFormat="false" ht="15" hidden="false" customHeight="false" outlineLevel="0" collapsed="false">
      <c r="A1185" s="24" t="s">
        <v>265</v>
      </c>
      <c r="B1185" s="25" t="n">
        <v>88.886</v>
      </c>
      <c r="C1185" s="25" t="n">
        <v>30</v>
      </c>
      <c r="D1185" s="26" t="n">
        <v>0.111171</v>
      </c>
      <c r="E1185" s="27" t="n">
        <v>0.139</v>
      </c>
      <c r="F1185" s="28" t="n">
        <f aca="false">ROUND(B1185*E1185,2)</f>
        <v>12.36</v>
      </c>
      <c r="H1185" s="29" t="n">
        <v>88.21</v>
      </c>
      <c r="I1185" s="30" t="n">
        <v>0.139</v>
      </c>
      <c r="J1185" s="31" t="n">
        <f aca="false">ROUND(H1185*I1185,2)</f>
        <v>12.26</v>
      </c>
      <c r="L1185" s="32" t="n">
        <v>120.095</v>
      </c>
      <c r="M1185" s="33" t="n">
        <v>0.1724</v>
      </c>
      <c r="N1185" s="34" t="n">
        <f aca="false">ROUND(L1185*M1185,2)</f>
        <v>20.7</v>
      </c>
    </row>
    <row r="1186" customFormat="false" ht="15" hidden="false" customHeight="false" outlineLevel="0" collapsed="false">
      <c r="A1186" s="24" t="s">
        <v>266</v>
      </c>
      <c r="B1186" s="25" t="n">
        <v>1</v>
      </c>
      <c r="C1186" s="25" t="n">
        <v>30</v>
      </c>
      <c r="D1186" s="26" t="n">
        <v>0.7989</v>
      </c>
      <c r="E1186" s="27" t="n">
        <v>6</v>
      </c>
      <c r="F1186" s="28" t="n">
        <f aca="false">ROUND(B1186*E1186,2)</f>
        <v>6</v>
      </c>
      <c r="H1186" s="29" t="n">
        <v>1</v>
      </c>
      <c r="I1186" s="30" t="n">
        <v>6</v>
      </c>
      <c r="J1186" s="31" t="n">
        <f aca="false">ROUND(H1186*I1186,2)</f>
        <v>6</v>
      </c>
      <c r="L1186" s="32" t="n">
        <v>1</v>
      </c>
      <c r="M1186" s="33" t="n">
        <v>6</v>
      </c>
      <c r="N1186" s="34" t="n">
        <f aca="false">ROUND(L1186*M1186,2)</f>
        <v>6</v>
      </c>
    </row>
    <row r="1187" customFormat="false" ht="15" hidden="false" customHeight="false" outlineLevel="0" collapsed="false">
      <c r="A1187" s="24" t="s">
        <v>267</v>
      </c>
      <c r="B1187" s="25" t="n">
        <v>30</v>
      </c>
      <c r="C1187" s="25" t="n">
        <v>30</v>
      </c>
      <c r="D1187" s="26" t="n">
        <v>0.5736</v>
      </c>
      <c r="E1187" s="27" t="n">
        <v>0.01274</v>
      </c>
      <c r="F1187" s="28" t="n">
        <f aca="false">ROUND(B1187*E1187,2)</f>
        <v>0.38</v>
      </c>
      <c r="H1187" s="29" t="n">
        <v>30</v>
      </c>
      <c r="I1187" s="30" t="n">
        <v>0.01274</v>
      </c>
      <c r="J1187" s="31" t="n">
        <f aca="false">ROUND(H1187*I1187,2)</f>
        <v>0.38</v>
      </c>
      <c r="L1187" s="32" t="n">
        <v>30</v>
      </c>
      <c r="M1187" s="33" t="n">
        <v>0.00629</v>
      </c>
      <c r="N1187" s="34" t="n">
        <f aca="false">ROUND(L1187*M1187,2)</f>
        <v>0.19</v>
      </c>
    </row>
    <row r="1188" customFormat="false" ht="15" hidden="false" customHeight="false" outlineLevel="0" collapsed="false">
      <c r="A1188" s="24" t="s">
        <v>268</v>
      </c>
      <c r="B1188" s="25" t="n">
        <v>2.4</v>
      </c>
      <c r="C1188" s="25" t="n">
        <v>30</v>
      </c>
      <c r="D1188" s="26" t="n">
        <v>0.27312</v>
      </c>
      <c r="E1188" s="27" t="n">
        <v>1</v>
      </c>
      <c r="F1188" s="28" t="n">
        <f aca="false">ROUND(B1188*E1188,2)</f>
        <v>2.4</v>
      </c>
      <c r="H1188" s="29" t="n">
        <v>2.53</v>
      </c>
      <c r="I1188" s="30" t="n">
        <v>1</v>
      </c>
      <c r="J1188" s="31" t="n">
        <f aca="false">ROUND(H1188*I1188,2)</f>
        <v>2.53</v>
      </c>
      <c r="L1188" s="32" t="n">
        <v>3.33</v>
      </c>
      <c r="M1188" s="33" t="n">
        <v>1</v>
      </c>
      <c r="N1188" s="34" t="n">
        <f aca="false">ROUND(L1188*M1188,2)</f>
        <v>3.33</v>
      </c>
    </row>
    <row r="1189" customFormat="false" ht="15" hidden="false" customHeight="false" outlineLevel="0" collapsed="false">
      <c r="A1189" s="37" t="s">
        <v>269</v>
      </c>
      <c r="F1189" s="38" t="n">
        <f aca="false">ROUND((SUM(F1181:F1188)-F1188)*1.1+F1188,2)</f>
        <v>79.68</v>
      </c>
      <c r="J1189" s="39" t="n">
        <f aca="false">ROUND(SUM(J1181:J1188),2)</f>
        <v>72.16</v>
      </c>
      <c r="N1189" s="40" t="n">
        <f aca="false">ROUND(SUM(N1181:N1188),2)</f>
        <v>90.74</v>
      </c>
    </row>
    <row r="1190" customFormat="false" ht="15" hidden="false" customHeight="false" outlineLevel="0" collapsed="false">
      <c r="A1190" s="15" t="s">
        <v>270</v>
      </c>
      <c r="B1190" s="41" t="n">
        <f aca="false">IF((F1183+F1181+F1185+F1182+F1184)=0,"",((F1183+F1181+F1185+F1182+F1184)-(B1183*D1183+B1181*D1181+B1185*D1185+B1182*D1182+B1184*D1184))/(F1183+F1181+F1185+F1182+F1184))</f>
        <v>0.267331945138563</v>
      </c>
      <c r="D1190" s="42" t="str">
        <f aca="false">IF(B1190="","SIN PC",IF(B1190&gt;=Detalle!$G$1,"APROBAR",IF(B1190&gt;=0.2,"REVISAR","RECHAZAR")))</f>
        <v>REVISAR</v>
      </c>
      <c r="E1190" s="42"/>
      <c r="F1190" s="42"/>
    </row>
    <row r="1191" customFormat="false" ht="15" hidden="false" customHeight="false" outlineLevel="0" collapsed="false">
      <c r="A1191" s="44" t="s">
        <v>379</v>
      </c>
      <c r="B1191" s="44"/>
      <c r="C1191" s="44"/>
      <c r="D1191" s="44"/>
      <c r="E1191" s="44"/>
      <c r="F1191" s="44"/>
    </row>
    <row r="1192" customFormat="false" ht="15" hidden="false" customHeight="false" outlineLevel="0" collapsed="false">
      <c r="A1192" s="45" t="s">
        <v>247</v>
      </c>
      <c r="B1192" s="45" t="s">
        <v>380</v>
      </c>
      <c r="D1192" s="45" t="s">
        <v>381</v>
      </c>
      <c r="E1192" s="45" t="s">
        <v>382</v>
      </c>
      <c r="F1192" s="45" t="s">
        <v>256</v>
      </c>
    </row>
    <row r="1193" customFormat="false" ht="15" hidden="false" customHeight="false" outlineLevel="0" collapsed="false">
      <c r="A1193" s="46" t="s">
        <v>383</v>
      </c>
      <c r="B1193" s="47" t="n">
        <v>524</v>
      </c>
      <c r="C1193" s="48"/>
      <c r="D1193" s="26" t="n">
        <v>0.06</v>
      </c>
      <c r="E1193" s="48"/>
      <c r="F1193" s="49" t="n">
        <f aca="false">ROUND(B1193*D1193,2)</f>
        <v>31.44</v>
      </c>
    </row>
    <row r="1194" customFormat="false" ht="15" hidden="false" customHeight="false" outlineLevel="0" collapsed="false">
      <c r="A1194" s="46" t="s">
        <v>384</v>
      </c>
      <c r="B1194" s="48"/>
      <c r="C1194" s="48"/>
      <c r="D1194" s="48"/>
      <c r="E1194" s="50" t="n">
        <v>0.06</v>
      </c>
      <c r="F1194" s="49" t="n">
        <v>17.17</v>
      </c>
    </row>
    <row r="1195" customFormat="false" ht="15" hidden="false" customHeight="false" outlineLevel="0" collapsed="false">
      <c r="A1195" s="51" t="s">
        <v>385</v>
      </c>
      <c r="B1195" s="48"/>
      <c r="C1195" s="48"/>
      <c r="D1195" s="48"/>
      <c r="E1195" s="48"/>
      <c r="F1195" s="52" t="n">
        <f aca="false">F1193-F1194</f>
        <v>14.27</v>
      </c>
    </row>
    <row r="1197" customFormat="false" ht="15" hidden="false" customHeight="false" outlineLevel="0" collapsed="false">
      <c r="A1197" s="11" t="s">
        <v>780</v>
      </c>
      <c r="B1197" s="11"/>
      <c r="C1197" s="11"/>
      <c r="D1197" s="11"/>
      <c r="E1197" s="11"/>
      <c r="F1197" s="11"/>
      <c r="H1197" s="11" t="s">
        <v>781</v>
      </c>
      <c r="I1197" s="11"/>
      <c r="J1197" s="11"/>
      <c r="K1197" s="11"/>
      <c r="L1197" s="11"/>
      <c r="M1197" s="11"/>
      <c r="N1197" s="11"/>
      <c r="P1197" s="14" t="s">
        <v>246</v>
      </c>
    </row>
    <row r="1198" customFormat="false" ht="15" hidden="false" customHeight="false" outlineLevel="0" collapsed="false">
      <c r="A1198" s="15" t="s">
        <v>247</v>
      </c>
      <c r="B1198" s="16" t="s">
        <v>248</v>
      </c>
      <c r="C1198" s="17"/>
      <c r="D1198" s="17"/>
      <c r="E1198" s="17"/>
      <c r="F1198" s="17"/>
      <c r="H1198" s="18" t="s">
        <v>782</v>
      </c>
      <c r="I1198" s="19"/>
      <c r="J1198" s="19"/>
      <c r="L1198" s="20" t="s">
        <v>783</v>
      </c>
      <c r="M1198" s="21"/>
      <c r="N1198" s="21"/>
      <c r="P1198" s="14" t="s">
        <v>784</v>
      </c>
    </row>
    <row r="1199" customFormat="false" ht="15" hidden="false" customHeight="false" outlineLevel="0" collapsed="false">
      <c r="B1199" s="3" t="s">
        <v>252</v>
      </c>
      <c r="C1199" s="3" t="s">
        <v>253</v>
      </c>
      <c r="D1199" s="3" t="s">
        <v>254</v>
      </c>
      <c r="E1199" s="3" t="s">
        <v>255</v>
      </c>
      <c r="F1199" s="3" t="s">
        <v>256</v>
      </c>
      <c r="H1199" s="22" t="s">
        <v>252</v>
      </c>
      <c r="I1199" s="22" t="s">
        <v>255</v>
      </c>
      <c r="J1199" s="22" t="s">
        <v>256</v>
      </c>
      <c r="L1199" s="23" t="s">
        <v>252</v>
      </c>
      <c r="M1199" s="23" t="s">
        <v>255</v>
      </c>
      <c r="N1199" s="23" t="s">
        <v>256</v>
      </c>
      <c r="P1199" s="14" t="s">
        <v>785</v>
      </c>
    </row>
    <row r="1200" customFormat="false" ht="15" hidden="false" customHeight="false" outlineLevel="0" collapsed="false">
      <c r="A1200" s="24" t="s">
        <v>258</v>
      </c>
      <c r="B1200" s="25" t="n">
        <v>5.75</v>
      </c>
      <c r="C1200" s="25" t="n">
        <v>30</v>
      </c>
      <c r="D1200" s="26" t="n">
        <v>3.68919</v>
      </c>
      <c r="E1200" s="27" t="n">
        <v>4.17</v>
      </c>
      <c r="F1200" s="28" t="n">
        <f aca="false">ROUND(B1200*E1200,2)</f>
        <v>23.98</v>
      </c>
      <c r="H1200" s="29" t="n">
        <v>5.75</v>
      </c>
      <c r="I1200" s="30" t="n">
        <v>4.17</v>
      </c>
      <c r="J1200" s="31" t="n">
        <f aca="false">ROUND(H1200*I1200,2)</f>
        <v>23.98</v>
      </c>
      <c r="L1200" s="32" t="n">
        <v>5.75</v>
      </c>
      <c r="M1200" s="33" t="n">
        <v>4.17</v>
      </c>
      <c r="N1200" s="34" t="n">
        <f aca="false">ROUND(L1200*M1200,2)</f>
        <v>23.98</v>
      </c>
      <c r="P1200" s="35" t="s">
        <v>786</v>
      </c>
    </row>
    <row r="1201" customFormat="false" ht="15" hidden="false" customHeight="false" outlineLevel="0" collapsed="false">
      <c r="A1201" s="24" t="s">
        <v>260</v>
      </c>
      <c r="B1201" s="25" t="n">
        <v>5.75</v>
      </c>
      <c r="C1201" s="25" t="n">
        <v>30</v>
      </c>
      <c r="D1201" s="26" t="n">
        <v>1.31928</v>
      </c>
      <c r="E1201" s="27" t="n">
        <v>1.37</v>
      </c>
      <c r="F1201" s="28" t="n">
        <f aca="false">ROUND(B1201*E1201,2)</f>
        <v>7.88</v>
      </c>
      <c r="H1201" s="29" t="n">
        <v>5.75</v>
      </c>
      <c r="I1201" s="30" t="n">
        <v>1.37</v>
      </c>
      <c r="J1201" s="31" t="n">
        <f aca="false">ROUND(H1201*I1201,2)</f>
        <v>7.88</v>
      </c>
      <c r="L1201" s="32" t="n">
        <v>5.75</v>
      </c>
      <c r="M1201" s="33" t="n">
        <v>1.37</v>
      </c>
      <c r="N1201" s="34" t="n">
        <f aca="false">ROUND(L1201*M1201,2)</f>
        <v>7.88</v>
      </c>
      <c r="P1201" s="36" t="s">
        <v>261</v>
      </c>
    </row>
    <row r="1202" customFormat="false" ht="15" hidden="false" customHeight="false" outlineLevel="0" collapsed="false">
      <c r="A1202" s="24" t="s">
        <v>262</v>
      </c>
      <c r="B1202" s="25" t="n">
        <v>209.96</v>
      </c>
      <c r="C1202" s="25" t="n">
        <v>30</v>
      </c>
      <c r="D1202" s="26" t="n">
        <v>0.111171</v>
      </c>
      <c r="E1202" s="27" t="n">
        <v>0.135</v>
      </c>
      <c r="F1202" s="28" t="n">
        <f aca="false">ROUND(B1202*E1202,2)</f>
        <v>28.34</v>
      </c>
      <c r="H1202" s="29" t="n">
        <v>207.556</v>
      </c>
      <c r="I1202" s="30" t="n">
        <v>0.139</v>
      </c>
      <c r="J1202" s="31" t="n">
        <f aca="false">ROUND(H1202*I1202,2)</f>
        <v>28.85</v>
      </c>
      <c r="L1202" s="32" t="n">
        <v>226.375</v>
      </c>
      <c r="M1202" s="33" t="n">
        <v>0.14937</v>
      </c>
      <c r="N1202" s="34" t="n">
        <f aca="false">ROUND(L1202*M1202,2)</f>
        <v>33.81</v>
      </c>
      <c r="P1202" s="35" t="s">
        <v>787</v>
      </c>
    </row>
    <row r="1203" customFormat="false" ht="15" hidden="false" customHeight="false" outlineLevel="0" collapsed="false">
      <c r="A1203" s="24" t="s">
        <v>264</v>
      </c>
      <c r="B1203" s="25" t="n">
        <v>122.245</v>
      </c>
      <c r="C1203" s="25" t="n">
        <v>30</v>
      </c>
      <c r="D1203" s="26" t="n">
        <v>0.111171</v>
      </c>
      <c r="E1203" s="27" t="n">
        <v>0.135</v>
      </c>
      <c r="F1203" s="28" t="n">
        <f aca="false">ROUND(B1203*E1203,2)</f>
        <v>16.5</v>
      </c>
      <c r="H1203" s="29" t="n">
        <v>169.317</v>
      </c>
      <c r="I1203" s="30" t="n">
        <v>0.13</v>
      </c>
      <c r="J1203" s="31" t="n">
        <f aca="false">ROUND(H1203*I1203,2)</f>
        <v>22.01</v>
      </c>
      <c r="L1203" s="32" t="n">
        <v>152.843</v>
      </c>
      <c r="M1203" s="33" t="n">
        <v>0.14937</v>
      </c>
      <c r="N1203" s="34" t="n">
        <f aca="false">ROUND(L1203*M1203,2)</f>
        <v>22.83</v>
      </c>
    </row>
    <row r="1204" customFormat="false" ht="15" hidden="false" customHeight="false" outlineLevel="0" collapsed="false">
      <c r="A1204" s="24" t="s">
        <v>265</v>
      </c>
      <c r="B1204" s="25" t="n">
        <v>217.201</v>
      </c>
      <c r="C1204" s="25" t="n">
        <v>30</v>
      </c>
      <c r="D1204" s="26" t="n">
        <v>0.111171</v>
      </c>
      <c r="E1204" s="27" t="n">
        <v>0.135</v>
      </c>
      <c r="F1204" s="28" t="n">
        <f aca="false">ROUND(B1204*E1204,2)</f>
        <v>29.32</v>
      </c>
      <c r="H1204" s="29" t="n">
        <v>245.327</v>
      </c>
      <c r="I1204" s="30" t="n">
        <v>0.13</v>
      </c>
      <c r="J1204" s="31" t="n">
        <f aca="false">ROUND(H1204*I1204,2)</f>
        <v>31.89</v>
      </c>
      <c r="L1204" s="32" t="n">
        <v>270.158</v>
      </c>
      <c r="M1204" s="33" t="n">
        <v>0.14937</v>
      </c>
      <c r="N1204" s="34" t="n">
        <f aca="false">ROUND(L1204*M1204,2)</f>
        <v>40.35</v>
      </c>
    </row>
    <row r="1205" customFormat="false" ht="15" hidden="false" customHeight="false" outlineLevel="0" collapsed="false">
      <c r="A1205" s="24" t="s">
        <v>266</v>
      </c>
      <c r="B1205" s="25" t="n">
        <v>1</v>
      </c>
      <c r="C1205" s="25" t="n">
        <v>30</v>
      </c>
      <c r="D1205" s="26" t="n">
        <v>0.7989</v>
      </c>
      <c r="E1205" s="27" t="n">
        <v>4</v>
      </c>
      <c r="F1205" s="28" t="n">
        <f aca="false">ROUND(B1205*E1205,2)</f>
        <v>4</v>
      </c>
      <c r="H1205" s="29" t="n">
        <v>1</v>
      </c>
      <c r="I1205" s="30" t="n">
        <v>4</v>
      </c>
      <c r="J1205" s="31" t="n">
        <f aca="false">ROUND(H1205*I1205,2)</f>
        <v>4</v>
      </c>
      <c r="L1205" s="32" t="n">
        <v>1</v>
      </c>
      <c r="M1205" s="33" t="n">
        <v>4</v>
      </c>
      <c r="N1205" s="34" t="n">
        <f aca="false">ROUND(L1205*M1205,2)</f>
        <v>4</v>
      </c>
    </row>
    <row r="1206" customFormat="false" ht="15" hidden="false" customHeight="false" outlineLevel="0" collapsed="false">
      <c r="A1206" s="24" t="s">
        <v>267</v>
      </c>
      <c r="B1206" s="25" t="n">
        <v>30</v>
      </c>
      <c r="C1206" s="25" t="n">
        <v>30</v>
      </c>
      <c r="D1206" s="26" t="n">
        <v>0.5736</v>
      </c>
      <c r="E1206" s="27" t="n">
        <v>0.01274</v>
      </c>
      <c r="F1206" s="28" t="n">
        <f aca="false">ROUND(B1206*E1206,2)</f>
        <v>0.38</v>
      </c>
      <c r="H1206" s="29" t="n">
        <v>30</v>
      </c>
      <c r="I1206" s="30" t="n">
        <v>0.01274</v>
      </c>
      <c r="J1206" s="31" t="n">
        <f aca="false">ROUND(H1206*I1206,2)</f>
        <v>0.38</v>
      </c>
      <c r="L1206" s="32" t="n">
        <v>30</v>
      </c>
      <c r="M1206" s="33" t="n">
        <v>0.00629</v>
      </c>
      <c r="N1206" s="34" t="n">
        <f aca="false">ROUND(L1206*M1206,2)</f>
        <v>0.19</v>
      </c>
    </row>
    <row r="1207" customFormat="false" ht="15" hidden="false" customHeight="false" outlineLevel="0" collapsed="false">
      <c r="A1207" s="24" t="s">
        <v>268</v>
      </c>
      <c r="B1207" s="25" t="n">
        <v>5.83</v>
      </c>
      <c r="C1207" s="25" t="n">
        <v>30</v>
      </c>
      <c r="D1207" s="26" t="n">
        <v>0.27312</v>
      </c>
      <c r="E1207" s="27" t="n">
        <v>1</v>
      </c>
      <c r="F1207" s="28" t="n">
        <f aca="false">ROUND(B1207*E1207,2)</f>
        <v>5.83</v>
      </c>
      <c r="H1207" s="29" t="n">
        <v>6.4</v>
      </c>
      <c r="I1207" s="30" t="n">
        <v>1</v>
      </c>
      <c r="J1207" s="31" t="n">
        <f aca="false">ROUND(H1207*I1207,2)</f>
        <v>6.4</v>
      </c>
      <c r="L1207" s="32" t="n">
        <v>6.59</v>
      </c>
      <c r="M1207" s="33" t="n">
        <v>1</v>
      </c>
      <c r="N1207" s="34" t="n">
        <f aca="false">ROUND(L1207*M1207,2)</f>
        <v>6.59</v>
      </c>
    </row>
    <row r="1208" customFormat="false" ht="15" hidden="false" customHeight="false" outlineLevel="0" collapsed="false">
      <c r="A1208" s="37" t="s">
        <v>269</v>
      </c>
      <c r="F1208" s="38" t="n">
        <f aca="false">ROUND((SUM(F1200:F1207)-F1207)*1.1+F1207,2)</f>
        <v>127.27</v>
      </c>
      <c r="J1208" s="39" t="n">
        <f aca="false">ROUND(SUM(J1200:J1207),2)</f>
        <v>125.39</v>
      </c>
      <c r="N1208" s="40" t="n">
        <f aca="false">ROUND(SUM(N1200:N1207),2)</f>
        <v>139.63</v>
      </c>
    </row>
    <row r="1209" customFormat="false" ht="15" hidden="false" customHeight="false" outlineLevel="0" collapsed="false">
      <c r="A1209" s="15" t="s">
        <v>270</v>
      </c>
      <c r="B1209" s="41" t="n">
        <f aca="false">IF((F1202+F1200+F1204+F1201+F1203)=0,"",((F1202+F1200+F1204+F1201+F1203)-(B1202*D1202+B1200*D1200+B1204*D1204+B1201*D1201+B1203*D1203))/(F1202+F1200+F1204+F1201+F1203))</f>
        <v>0.152266393831353</v>
      </c>
      <c r="D1209" s="42" t="str">
        <f aca="false">IF(B1209="","SIN PC",IF(B1209&gt;=Detalle!$G$1,"APROBAR",IF(B1209&gt;=0.2,"REVISAR","RECHAZAR")))</f>
        <v>RECHAZAR</v>
      </c>
      <c r="E1209" s="42"/>
      <c r="F1209" s="42"/>
    </row>
    <row r="1211" customFormat="false" ht="15" hidden="false" customHeight="false" outlineLevel="0" collapsed="false">
      <c r="A1211" s="11" t="s">
        <v>788</v>
      </c>
      <c r="B1211" s="11"/>
      <c r="C1211" s="11"/>
      <c r="D1211" s="11"/>
      <c r="E1211" s="11"/>
      <c r="F1211" s="11"/>
      <c r="H1211" s="11" t="s">
        <v>789</v>
      </c>
      <c r="I1211" s="11"/>
      <c r="J1211" s="11"/>
      <c r="K1211" s="11"/>
      <c r="L1211" s="11"/>
      <c r="M1211" s="11"/>
      <c r="N1211" s="11"/>
      <c r="P1211" s="14" t="s">
        <v>246</v>
      </c>
    </row>
    <row r="1212" customFormat="false" ht="15" hidden="false" customHeight="false" outlineLevel="0" collapsed="false">
      <c r="A1212" s="15" t="s">
        <v>247</v>
      </c>
      <c r="B1212" s="16" t="s">
        <v>248</v>
      </c>
      <c r="C1212" s="17"/>
      <c r="D1212" s="17"/>
      <c r="E1212" s="17"/>
      <c r="F1212" s="17"/>
      <c r="H1212" s="18" t="s">
        <v>790</v>
      </c>
      <c r="I1212" s="19"/>
      <c r="J1212" s="19"/>
      <c r="L1212" s="20" t="s">
        <v>791</v>
      </c>
      <c r="M1212" s="21"/>
      <c r="N1212" s="21"/>
      <c r="P1212" s="14" t="s">
        <v>792</v>
      </c>
    </row>
    <row r="1213" customFormat="false" ht="15" hidden="false" customHeight="false" outlineLevel="0" collapsed="false">
      <c r="B1213" s="3" t="s">
        <v>252</v>
      </c>
      <c r="C1213" s="3" t="s">
        <v>253</v>
      </c>
      <c r="D1213" s="3" t="s">
        <v>254</v>
      </c>
      <c r="E1213" s="3" t="s">
        <v>255</v>
      </c>
      <c r="F1213" s="3" t="s">
        <v>256</v>
      </c>
      <c r="H1213" s="22" t="s">
        <v>252</v>
      </c>
      <c r="I1213" s="22" t="s">
        <v>255</v>
      </c>
      <c r="J1213" s="22" t="s">
        <v>256</v>
      </c>
      <c r="L1213" s="23" t="s">
        <v>252</v>
      </c>
      <c r="M1213" s="23" t="s">
        <v>255</v>
      </c>
      <c r="N1213" s="23" t="s">
        <v>256</v>
      </c>
      <c r="P1213" s="14" t="s">
        <v>793</v>
      </c>
    </row>
    <row r="1214" customFormat="false" ht="15" hidden="false" customHeight="false" outlineLevel="0" collapsed="false">
      <c r="A1214" s="24" t="s">
        <v>258</v>
      </c>
      <c r="B1214" s="25" t="n">
        <v>5.5</v>
      </c>
      <c r="C1214" s="25" t="n">
        <v>30</v>
      </c>
      <c r="D1214" s="26" t="n">
        <v>3.68919</v>
      </c>
      <c r="E1214" s="27" t="n">
        <v>3.85</v>
      </c>
      <c r="F1214" s="28" t="n">
        <f aca="false">ROUND(B1214*E1214,2)</f>
        <v>21.18</v>
      </c>
      <c r="H1214" s="29" t="n">
        <v>5.5</v>
      </c>
      <c r="I1214" s="30" t="n">
        <v>3.85</v>
      </c>
      <c r="J1214" s="31" t="n">
        <f aca="false">ROUND(H1214*I1214,2)</f>
        <v>21.18</v>
      </c>
      <c r="L1214" s="32" t="n">
        <v>5.5</v>
      </c>
      <c r="M1214" s="33" t="n">
        <v>3.85</v>
      </c>
      <c r="N1214" s="34" t="n">
        <f aca="false">ROUND(L1214*M1214,2)</f>
        <v>21.18</v>
      </c>
      <c r="P1214" s="35" t="s">
        <v>794</v>
      </c>
    </row>
    <row r="1215" customFormat="false" ht="15" hidden="false" customHeight="false" outlineLevel="0" collapsed="false">
      <c r="A1215" s="24" t="s">
        <v>260</v>
      </c>
      <c r="B1215" s="25" t="n">
        <v>5.5</v>
      </c>
      <c r="C1215" s="25" t="n">
        <v>30</v>
      </c>
      <c r="D1215" s="26" t="n">
        <v>1.31928</v>
      </c>
      <c r="E1215" s="27" t="n">
        <v>1.33</v>
      </c>
      <c r="F1215" s="28" t="n">
        <f aca="false">ROUND(B1215*E1215,2)</f>
        <v>7.32</v>
      </c>
      <c r="H1215" s="29" t="n">
        <v>5.5</v>
      </c>
      <c r="I1215" s="30" t="n">
        <v>1.33</v>
      </c>
      <c r="J1215" s="31" t="n">
        <f aca="false">ROUND(H1215*I1215,2)</f>
        <v>7.32</v>
      </c>
      <c r="L1215" s="32" t="n">
        <v>5.5</v>
      </c>
      <c r="M1215" s="33" t="n">
        <v>1.33</v>
      </c>
      <c r="N1215" s="34" t="n">
        <f aca="false">ROUND(L1215*M1215,2)</f>
        <v>7.32</v>
      </c>
      <c r="P1215" s="36" t="s">
        <v>261</v>
      </c>
    </row>
    <row r="1216" customFormat="false" ht="15" hidden="false" customHeight="false" outlineLevel="0" collapsed="false">
      <c r="A1216" s="24" t="s">
        <v>262</v>
      </c>
      <c r="B1216" s="25" t="n">
        <v>53.507</v>
      </c>
      <c r="C1216" s="25" t="n">
        <v>30</v>
      </c>
      <c r="D1216" s="26" t="n">
        <v>0.111171</v>
      </c>
      <c r="E1216" s="27" t="n">
        <v>0.129</v>
      </c>
      <c r="F1216" s="28" t="n">
        <f aca="false">ROUND(B1216*E1216,2)</f>
        <v>6.9</v>
      </c>
      <c r="H1216" s="29" t="n">
        <v>92.627</v>
      </c>
      <c r="I1216" s="30" t="n">
        <v>0.129</v>
      </c>
      <c r="J1216" s="31" t="n">
        <f aca="false">ROUND(H1216*I1216,2)</f>
        <v>11.95</v>
      </c>
      <c r="L1216" s="32" t="n">
        <v>51.292</v>
      </c>
      <c r="M1216" s="33" t="n">
        <v>0.129</v>
      </c>
      <c r="N1216" s="34" t="n">
        <f aca="false">ROUND(L1216*M1216,2)</f>
        <v>6.62</v>
      </c>
      <c r="P1216" s="35" t="s">
        <v>795</v>
      </c>
    </row>
    <row r="1217" customFormat="false" ht="15" hidden="false" customHeight="false" outlineLevel="0" collapsed="false">
      <c r="A1217" s="24" t="s">
        <v>264</v>
      </c>
      <c r="B1217" s="25" t="n">
        <v>42.168</v>
      </c>
      <c r="C1217" s="25" t="n">
        <v>30</v>
      </c>
      <c r="D1217" s="26" t="n">
        <v>0.111171</v>
      </c>
      <c r="E1217" s="27" t="n">
        <v>0.129</v>
      </c>
      <c r="F1217" s="28" t="n">
        <f aca="false">ROUND(B1217*E1217,2)</f>
        <v>5.44</v>
      </c>
      <c r="H1217" s="29" t="n">
        <v>63.818</v>
      </c>
      <c r="I1217" s="30" t="n">
        <v>0.129</v>
      </c>
      <c r="J1217" s="31" t="n">
        <f aca="false">ROUND(H1217*I1217,2)</f>
        <v>8.23</v>
      </c>
      <c r="L1217" s="32" t="n">
        <v>37.431</v>
      </c>
      <c r="M1217" s="33" t="n">
        <v>0.129</v>
      </c>
      <c r="N1217" s="34" t="n">
        <f aca="false">ROUND(L1217*M1217,2)</f>
        <v>4.83</v>
      </c>
    </row>
    <row r="1218" customFormat="false" ht="15" hidden="false" customHeight="false" outlineLevel="0" collapsed="false">
      <c r="A1218" s="24" t="s">
        <v>265</v>
      </c>
      <c r="B1218" s="25" t="n">
        <v>63.111</v>
      </c>
      <c r="C1218" s="25" t="n">
        <v>30</v>
      </c>
      <c r="D1218" s="26" t="n">
        <v>0.111171</v>
      </c>
      <c r="E1218" s="27" t="n">
        <v>0.129</v>
      </c>
      <c r="F1218" s="28" t="n">
        <f aca="false">ROUND(B1218*E1218,2)</f>
        <v>8.14</v>
      </c>
      <c r="H1218" s="29" t="n">
        <v>111.282</v>
      </c>
      <c r="I1218" s="30" t="n">
        <v>0.129</v>
      </c>
      <c r="J1218" s="31" t="n">
        <f aca="false">ROUND(H1218*I1218,2)</f>
        <v>14.36</v>
      </c>
      <c r="L1218" s="32" t="n">
        <v>57.706</v>
      </c>
      <c r="M1218" s="33" t="n">
        <v>0.129</v>
      </c>
      <c r="N1218" s="34" t="n">
        <f aca="false">ROUND(L1218*M1218,2)</f>
        <v>7.44</v>
      </c>
    </row>
    <row r="1219" customFormat="false" ht="15" hidden="false" customHeight="false" outlineLevel="0" collapsed="false">
      <c r="A1219" s="24" t="s">
        <v>266</v>
      </c>
      <c r="B1219" s="25" t="n">
        <v>1</v>
      </c>
      <c r="C1219" s="25" t="n">
        <v>30</v>
      </c>
      <c r="D1219" s="26" t="n">
        <v>0.7989</v>
      </c>
      <c r="E1219" s="27" t="n">
        <v>3</v>
      </c>
      <c r="F1219" s="28" t="n">
        <f aca="false">ROUND(B1219*E1219,2)</f>
        <v>3</v>
      </c>
      <c r="H1219" s="29" t="n">
        <v>1</v>
      </c>
      <c r="I1219" s="30" t="n">
        <v>3</v>
      </c>
      <c r="J1219" s="31" t="n">
        <f aca="false">ROUND(H1219*I1219,2)</f>
        <v>3</v>
      </c>
      <c r="L1219" s="32" t="n">
        <v>1</v>
      </c>
      <c r="M1219" s="33" t="n">
        <v>3</v>
      </c>
      <c r="N1219" s="34" t="n">
        <f aca="false">ROUND(L1219*M1219,2)</f>
        <v>3</v>
      </c>
    </row>
    <row r="1220" customFormat="false" ht="15" hidden="false" customHeight="false" outlineLevel="0" collapsed="false">
      <c r="A1220" s="24" t="s">
        <v>267</v>
      </c>
      <c r="B1220" s="25" t="n">
        <v>30</v>
      </c>
      <c r="C1220" s="25" t="n">
        <v>30</v>
      </c>
      <c r="D1220" s="26" t="n">
        <v>0.5736</v>
      </c>
      <c r="E1220" s="27" t="n">
        <v>0.00629</v>
      </c>
      <c r="F1220" s="28" t="n">
        <f aca="false">ROUND(B1220*E1220,2)</f>
        <v>0.19</v>
      </c>
      <c r="H1220" s="29" t="n">
        <v>30</v>
      </c>
      <c r="I1220" s="30" t="n">
        <v>0.00629</v>
      </c>
      <c r="J1220" s="31" t="n">
        <f aca="false">ROUND(H1220*I1220,2)</f>
        <v>0.19</v>
      </c>
      <c r="L1220" s="32" t="n">
        <v>30</v>
      </c>
      <c r="M1220" s="33" t="n">
        <v>0.00629</v>
      </c>
      <c r="N1220" s="34" t="n">
        <f aca="false">ROUND(L1220*M1220,2)</f>
        <v>0.19</v>
      </c>
    </row>
    <row r="1221" customFormat="false" ht="15" hidden="false" customHeight="false" outlineLevel="0" collapsed="false">
      <c r="A1221" s="24" t="s">
        <v>268</v>
      </c>
      <c r="B1221" s="25" t="n">
        <v>2.51</v>
      </c>
      <c r="C1221" s="25" t="n">
        <v>30</v>
      </c>
      <c r="D1221" s="26" t="n">
        <v>0.27312</v>
      </c>
      <c r="E1221" s="27" t="n">
        <v>1</v>
      </c>
      <c r="F1221" s="28" t="n">
        <f aca="false">ROUND(B1221*E1221,2)</f>
        <v>2.51</v>
      </c>
      <c r="H1221" s="29" t="n">
        <v>3.23</v>
      </c>
      <c r="I1221" s="30" t="n">
        <v>1</v>
      </c>
      <c r="J1221" s="31" t="n">
        <f aca="false">ROUND(H1221*I1221,2)</f>
        <v>3.23</v>
      </c>
      <c r="L1221" s="32" t="n">
        <v>2.43</v>
      </c>
      <c r="M1221" s="33" t="n">
        <v>1</v>
      </c>
      <c r="N1221" s="34" t="n">
        <f aca="false">ROUND(L1221*M1221,2)</f>
        <v>2.43</v>
      </c>
    </row>
    <row r="1222" customFormat="false" ht="15" hidden="false" customHeight="false" outlineLevel="0" collapsed="false">
      <c r="A1222" s="37" t="s">
        <v>269</v>
      </c>
      <c r="F1222" s="38" t="n">
        <f aca="false">ROUND((SUM(F1214:F1221)-F1221)*1.1+F1221,2)</f>
        <v>59.9</v>
      </c>
      <c r="J1222" s="39" t="n">
        <f aca="false">ROUND(SUM(J1214:J1221),2)</f>
        <v>69.46</v>
      </c>
      <c r="N1222" s="40" t="n">
        <f aca="false">ROUND(SUM(N1214:N1221),2)</f>
        <v>53.01</v>
      </c>
    </row>
    <row r="1223" customFormat="false" ht="15" hidden="false" customHeight="false" outlineLevel="0" collapsed="false">
      <c r="A1223" s="15" t="s">
        <v>270</v>
      </c>
      <c r="B1223" s="41" t="n">
        <f aca="false">IF((F1216+F1214+F1218+F1215+F1217)=0,"",((F1216+F1214+F1218+F1215+F1217)-(B1216*D1216+B1214*D1214+B1218*D1218+B1215*D1215+B1217*D1217))/(F1216+F1214+F1218+F1215+F1217))</f>
        <v>0.0771951121682318</v>
      </c>
      <c r="D1223" s="42" t="str">
        <f aca="false">IF(B1223="","SIN PC",IF(B1223&gt;=Detalle!$G$1,"APROBAR",IF(B1223&gt;=0.2,"REVISAR","RECHAZAR")))</f>
        <v>RECHAZAR</v>
      </c>
      <c r="E1223" s="42"/>
      <c r="F1223" s="42"/>
    </row>
    <row r="1225" customFormat="false" ht="15" hidden="false" customHeight="false" outlineLevel="0" collapsed="false">
      <c r="A1225" s="11" t="s">
        <v>796</v>
      </c>
      <c r="B1225" s="11"/>
      <c r="C1225" s="11"/>
      <c r="D1225" s="11"/>
      <c r="E1225" s="11"/>
      <c r="F1225" s="11"/>
      <c r="H1225" s="11" t="s">
        <v>797</v>
      </c>
      <c r="I1225" s="11"/>
      <c r="J1225" s="11"/>
      <c r="K1225" s="11"/>
      <c r="L1225" s="11"/>
      <c r="M1225" s="11"/>
      <c r="N1225" s="11"/>
      <c r="P1225" s="14" t="s">
        <v>246</v>
      </c>
    </row>
    <row r="1226" customFormat="false" ht="15" hidden="false" customHeight="false" outlineLevel="0" collapsed="false">
      <c r="A1226" s="15" t="s">
        <v>247</v>
      </c>
      <c r="B1226" s="16" t="s">
        <v>248</v>
      </c>
      <c r="C1226" s="17"/>
      <c r="D1226" s="17"/>
      <c r="E1226" s="17"/>
      <c r="F1226" s="17"/>
      <c r="H1226" s="18" t="s">
        <v>798</v>
      </c>
      <c r="I1226" s="19"/>
      <c r="J1226" s="19"/>
      <c r="L1226" s="20" t="s">
        <v>799</v>
      </c>
      <c r="M1226" s="21"/>
      <c r="N1226" s="21"/>
      <c r="P1226" s="14" t="s">
        <v>800</v>
      </c>
    </row>
    <row r="1227" customFormat="false" ht="15" hidden="false" customHeight="false" outlineLevel="0" collapsed="false">
      <c r="B1227" s="3" t="s">
        <v>252</v>
      </c>
      <c r="C1227" s="3" t="s">
        <v>253</v>
      </c>
      <c r="D1227" s="3" t="s">
        <v>254</v>
      </c>
      <c r="E1227" s="3" t="s">
        <v>255</v>
      </c>
      <c r="F1227" s="3" t="s">
        <v>256</v>
      </c>
      <c r="H1227" s="22" t="s">
        <v>252</v>
      </c>
      <c r="I1227" s="22" t="s">
        <v>255</v>
      </c>
      <c r="J1227" s="22" t="s">
        <v>256</v>
      </c>
      <c r="L1227" s="23" t="s">
        <v>252</v>
      </c>
      <c r="M1227" s="23" t="s">
        <v>255</v>
      </c>
      <c r="N1227" s="23" t="s">
        <v>256</v>
      </c>
      <c r="P1227" s="14" t="s">
        <v>801</v>
      </c>
    </row>
    <row r="1228" customFormat="false" ht="15" hidden="false" customHeight="false" outlineLevel="0" collapsed="false">
      <c r="A1228" s="24" t="s">
        <v>258</v>
      </c>
      <c r="B1228" s="25" t="n">
        <v>5</v>
      </c>
      <c r="C1228" s="25" t="n">
        <v>30</v>
      </c>
      <c r="D1228" s="26" t="n">
        <v>3.68919</v>
      </c>
      <c r="E1228" s="27" t="n">
        <v>3.85</v>
      </c>
      <c r="F1228" s="28" t="n">
        <f aca="false">ROUND(B1228*E1228,2)</f>
        <v>19.25</v>
      </c>
      <c r="H1228" s="29" t="n">
        <v>5</v>
      </c>
      <c r="I1228" s="30" t="n">
        <v>3.85</v>
      </c>
      <c r="J1228" s="31" t="n">
        <f aca="false">ROUND(H1228*I1228,2)</f>
        <v>19.25</v>
      </c>
      <c r="L1228" s="32" t="n">
        <v>5</v>
      </c>
      <c r="M1228" s="33" t="n">
        <v>3.85</v>
      </c>
      <c r="N1228" s="34" t="n">
        <f aca="false">ROUND(L1228*M1228,2)</f>
        <v>19.25</v>
      </c>
      <c r="P1228" s="35" t="s">
        <v>802</v>
      </c>
    </row>
    <row r="1229" customFormat="false" ht="15" hidden="false" customHeight="false" outlineLevel="0" collapsed="false">
      <c r="A1229" s="24" t="s">
        <v>260</v>
      </c>
      <c r="B1229" s="25" t="n">
        <v>5</v>
      </c>
      <c r="C1229" s="25" t="n">
        <v>30</v>
      </c>
      <c r="D1229" s="26" t="n">
        <v>1.31928</v>
      </c>
      <c r="E1229" s="27" t="n">
        <v>1.33</v>
      </c>
      <c r="F1229" s="28" t="n">
        <f aca="false">ROUND(B1229*E1229,2)</f>
        <v>6.65</v>
      </c>
      <c r="H1229" s="29" t="n">
        <v>5</v>
      </c>
      <c r="I1229" s="30" t="n">
        <v>1.33</v>
      </c>
      <c r="J1229" s="31" t="n">
        <f aca="false">ROUND(H1229*I1229,2)</f>
        <v>6.65</v>
      </c>
      <c r="L1229" s="32" t="n">
        <v>5</v>
      </c>
      <c r="M1229" s="33" t="n">
        <v>1.33</v>
      </c>
      <c r="N1229" s="34" t="n">
        <f aca="false">ROUND(L1229*M1229,2)</f>
        <v>6.65</v>
      </c>
      <c r="P1229" s="36" t="s">
        <v>261</v>
      </c>
    </row>
    <row r="1230" customFormat="false" ht="15" hidden="false" customHeight="false" outlineLevel="0" collapsed="false">
      <c r="A1230" s="24" t="s">
        <v>262</v>
      </c>
      <c r="B1230" s="25" t="n">
        <v>190.077</v>
      </c>
      <c r="C1230" s="25" t="n">
        <v>30</v>
      </c>
      <c r="D1230" s="26" t="n">
        <v>0.111171</v>
      </c>
      <c r="E1230" s="27" t="n">
        <v>0.13788</v>
      </c>
      <c r="F1230" s="28" t="n">
        <f aca="false">ROUND(B1230*E1230,2)</f>
        <v>26.21</v>
      </c>
      <c r="H1230" s="29" t="n">
        <v>329.109</v>
      </c>
      <c r="I1230" s="30" t="n">
        <v>0.13788</v>
      </c>
      <c r="J1230" s="31" t="n">
        <f aca="false">ROUND(H1230*I1230,2)</f>
        <v>45.38</v>
      </c>
      <c r="L1230" s="53"/>
      <c r="M1230" s="53"/>
      <c r="N1230" s="53"/>
      <c r="P1230" s="35" t="s">
        <v>803</v>
      </c>
    </row>
    <row r="1231" customFormat="false" ht="15" hidden="false" customHeight="false" outlineLevel="0" collapsed="false">
      <c r="A1231" s="24" t="s">
        <v>264</v>
      </c>
      <c r="B1231" s="25" t="n">
        <v>146.507</v>
      </c>
      <c r="C1231" s="25" t="n">
        <v>30</v>
      </c>
      <c r="D1231" s="26" t="n">
        <v>0.111171</v>
      </c>
      <c r="E1231" s="27" t="n">
        <v>0.13788</v>
      </c>
      <c r="F1231" s="28" t="n">
        <f aca="false">ROUND(B1231*E1231,2)</f>
        <v>20.2</v>
      </c>
      <c r="H1231" s="29" t="n">
        <v>322.196</v>
      </c>
      <c r="I1231" s="30" t="n">
        <v>0.13788</v>
      </c>
      <c r="J1231" s="31" t="n">
        <f aca="false">ROUND(H1231*I1231,2)</f>
        <v>44.42</v>
      </c>
      <c r="L1231" s="53"/>
      <c r="M1231" s="53"/>
      <c r="N1231" s="53"/>
    </row>
    <row r="1232" customFormat="false" ht="15" hidden="false" customHeight="false" outlineLevel="0" collapsed="false">
      <c r="A1232" s="24" t="s">
        <v>265</v>
      </c>
      <c r="B1232" s="25" t="n">
        <v>353.055</v>
      </c>
      <c r="C1232" s="25" t="n">
        <v>30</v>
      </c>
      <c r="D1232" s="26" t="n">
        <v>0.111171</v>
      </c>
      <c r="E1232" s="27" t="n">
        <v>0.13788</v>
      </c>
      <c r="F1232" s="28" t="n">
        <f aca="false">ROUND(B1232*E1232,2)</f>
        <v>48.68</v>
      </c>
      <c r="H1232" s="29" t="n">
        <v>608.369</v>
      </c>
      <c r="I1232" s="30" t="n">
        <v>0.13788</v>
      </c>
      <c r="J1232" s="31" t="n">
        <f aca="false">ROUND(H1232*I1232,2)</f>
        <v>83.88</v>
      </c>
      <c r="L1232" s="32" t="n">
        <v>0.171</v>
      </c>
      <c r="M1232" s="33" t="n">
        <v>0.13788</v>
      </c>
      <c r="N1232" s="34" t="n">
        <f aca="false">ROUND(L1232*M1232,2)</f>
        <v>0.02</v>
      </c>
    </row>
    <row r="1233" customFormat="false" ht="15" hidden="false" customHeight="false" outlineLevel="0" collapsed="false">
      <c r="A1233" s="24" t="s">
        <v>266</v>
      </c>
      <c r="B1233" s="25" t="n">
        <v>1</v>
      </c>
      <c r="C1233" s="25" t="n">
        <v>30</v>
      </c>
      <c r="D1233" s="26" t="n">
        <v>0.7989</v>
      </c>
      <c r="E1233" s="27" t="n">
        <v>3</v>
      </c>
      <c r="F1233" s="28" t="n">
        <f aca="false">ROUND(B1233*E1233,2)</f>
        <v>3</v>
      </c>
      <c r="H1233" s="29" t="n">
        <v>1</v>
      </c>
      <c r="I1233" s="30" t="n">
        <v>3</v>
      </c>
      <c r="J1233" s="31" t="n">
        <f aca="false">ROUND(H1233*I1233,2)</f>
        <v>3</v>
      </c>
      <c r="L1233" s="32" t="n">
        <v>1</v>
      </c>
      <c r="M1233" s="33" t="n">
        <v>3</v>
      </c>
      <c r="N1233" s="34" t="n">
        <f aca="false">ROUND(L1233*M1233,2)</f>
        <v>3</v>
      </c>
    </row>
    <row r="1234" customFormat="false" ht="15" hidden="false" customHeight="false" outlineLevel="0" collapsed="false">
      <c r="A1234" s="24" t="s">
        <v>267</v>
      </c>
      <c r="B1234" s="25" t="n">
        <v>30</v>
      </c>
      <c r="C1234" s="25" t="n">
        <v>30</v>
      </c>
      <c r="D1234" s="26" t="n">
        <v>0.5736</v>
      </c>
      <c r="E1234" s="27" t="n">
        <v>0.01274</v>
      </c>
      <c r="F1234" s="28" t="n">
        <f aca="false">ROUND(B1234*E1234,2)</f>
        <v>0.38</v>
      </c>
      <c r="H1234" s="29" t="n">
        <v>30</v>
      </c>
      <c r="I1234" s="30" t="n">
        <v>0.01274</v>
      </c>
      <c r="J1234" s="31" t="n">
        <f aca="false">ROUND(H1234*I1234,2)</f>
        <v>0.38</v>
      </c>
      <c r="L1234" s="32" t="n">
        <v>30</v>
      </c>
      <c r="M1234" s="33" t="n">
        <v>0.00629</v>
      </c>
      <c r="N1234" s="34" t="n">
        <f aca="false">ROUND(L1234*M1234,2)</f>
        <v>0.19</v>
      </c>
    </row>
    <row r="1235" customFormat="false" ht="15" hidden="false" customHeight="false" outlineLevel="0" collapsed="false">
      <c r="A1235" s="24" t="s">
        <v>268</v>
      </c>
      <c r="B1235" s="25" t="n">
        <v>6.19</v>
      </c>
      <c r="C1235" s="25" t="n">
        <v>30</v>
      </c>
      <c r="D1235" s="26" t="n">
        <v>0.27312</v>
      </c>
      <c r="E1235" s="27" t="n">
        <v>1</v>
      </c>
      <c r="F1235" s="28" t="n">
        <f aca="false">ROUND(B1235*E1235,2)</f>
        <v>6.19</v>
      </c>
      <c r="H1235" s="29" t="n">
        <v>10.21</v>
      </c>
      <c r="I1235" s="30" t="n">
        <v>1</v>
      </c>
      <c r="J1235" s="31" t="n">
        <f aca="false">ROUND(H1235*I1235,2)</f>
        <v>10.21</v>
      </c>
      <c r="L1235" s="32" t="n">
        <v>1.33</v>
      </c>
      <c r="M1235" s="33" t="n">
        <v>1</v>
      </c>
      <c r="N1235" s="34" t="n">
        <f aca="false">ROUND(L1235*M1235,2)</f>
        <v>1.33</v>
      </c>
    </row>
    <row r="1236" customFormat="false" ht="15" hidden="false" customHeight="false" outlineLevel="0" collapsed="false">
      <c r="A1236" s="37" t="s">
        <v>269</v>
      </c>
      <c r="F1236" s="38" t="n">
        <f aca="false">ROUND((SUM(F1228:F1235)-F1235)*1.1+F1235,2)</f>
        <v>143</v>
      </c>
      <c r="J1236" s="39" t="n">
        <f aca="false">ROUND(SUM(J1228:J1235),2)</f>
        <v>213.17</v>
      </c>
      <c r="N1236" s="40" t="n">
        <f aca="false">ROUND(SUM(N1228:N1235),2)</f>
        <v>30.44</v>
      </c>
    </row>
    <row r="1237" customFormat="false" ht="15" hidden="false" customHeight="false" outlineLevel="0" collapsed="false">
      <c r="A1237" s="15" t="s">
        <v>270</v>
      </c>
      <c r="B1237" s="41" t="n">
        <f aca="false">IF((F1230+F1228+F1232+F1229+F1231)=0,"",((F1230+F1228+F1232+F1229+F1231)-(B1230*D1230+B1228*D1228+B1232*D1232+B1229*D1229+B1231*D1231))/(F1230+F1228+F1232+F1229+F1231))</f>
        <v>0.1593502994545</v>
      </c>
      <c r="D1237" s="42" t="str">
        <f aca="false">IF(B1237="","SIN PC",IF(B1237&gt;=Detalle!$G$1,"APROBAR",IF(B1237&gt;=0.2,"REVISAR","RECHAZAR")))</f>
        <v>RECHAZAR</v>
      </c>
      <c r="E1237" s="42"/>
      <c r="F1237" s="42"/>
    </row>
    <row r="1239" customFormat="false" ht="15" hidden="false" customHeight="false" outlineLevel="0" collapsed="false">
      <c r="A1239" s="11" t="s">
        <v>804</v>
      </c>
      <c r="B1239" s="11"/>
      <c r="C1239" s="11"/>
      <c r="D1239" s="11"/>
      <c r="E1239" s="11"/>
      <c r="F1239" s="11"/>
      <c r="H1239" s="11" t="s">
        <v>805</v>
      </c>
      <c r="I1239" s="11"/>
      <c r="J1239" s="11"/>
      <c r="K1239" s="11"/>
      <c r="L1239" s="11"/>
      <c r="M1239" s="11"/>
      <c r="N1239" s="11"/>
      <c r="P1239" s="14" t="s">
        <v>246</v>
      </c>
    </row>
    <row r="1240" customFormat="false" ht="15" hidden="false" customHeight="false" outlineLevel="0" collapsed="false">
      <c r="A1240" s="15" t="s">
        <v>247</v>
      </c>
      <c r="B1240" s="16" t="s">
        <v>248</v>
      </c>
      <c r="C1240" s="17"/>
      <c r="D1240" s="17"/>
      <c r="E1240" s="17"/>
      <c r="F1240" s="17"/>
      <c r="H1240" s="18" t="s">
        <v>806</v>
      </c>
      <c r="I1240" s="19"/>
      <c r="J1240" s="19"/>
      <c r="L1240" s="20" t="s">
        <v>807</v>
      </c>
      <c r="M1240" s="21"/>
      <c r="N1240" s="21"/>
      <c r="P1240" s="14" t="s">
        <v>808</v>
      </c>
    </row>
    <row r="1241" customFormat="false" ht="15" hidden="false" customHeight="false" outlineLevel="0" collapsed="false">
      <c r="B1241" s="3" t="s">
        <v>252</v>
      </c>
      <c r="C1241" s="3" t="s">
        <v>253</v>
      </c>
      <c r="D1241" s="3" t="s">
        <v>254</v>
      </c>
      <c r="E1241" s="3" t="s">
        <v>255</v>
      </c>
      <c r="F1241" s="3" t="s">
        <v>256</v>
      </c>
      <c r="H1241" s="22" t="s">
        <v>252</v>
      </c>
      <c r="I1241" s="22" t="s">
        <v>255</v>
      </c>
      <c r="J1241" s="22" t="s">
        <v>256</v>
      </c>
      <c r="L1241" s="23" t="s">
        <v>252</v>
      </c>
      <c r="M1241" s="23" t="s">
        <v>255</v>
      </c>
      <c r="N1241" s="23" t="s">
        <v>256</v>
      </c>
      <c r="P1241" s="14" t="s">
        <v>809</v>
      </c>
    </row>
    <row r="1242" customFormat="false" ht="15" hidden="false" customHeight="false" outlineLevel="0" collapsed="false">
      <c r="A1242" s="24" t="s">
        <v>258</v>
      </c>
      <c r="B1242" s="25" t="n">
        <v>9.9</v>
      </c>
      <c r="C1242" s="25" t="n">
        <v>30</v>
      </c>
      <c r="D1242" s="26" t="n">
        <v>3.68919</v>
      </c>
      <c r="E1242" s="27" t="n">
        <v>3.85</v>
      </c>
      <c r="F1242" s="28" t="n">
        <f aca="false">ROUND(B1242*E1242,2)</f>
        <v>38.12</v>
      </c>
      <c r="H1242" s="29" t="n">
        <v>9.9</v>
      </c>
      <c r="I1242" s="30" t="n">
        <v>3.85</v>
      </c>
      <c r="J1242" s="31" t="n">
        <f aca="false">ROUND(H1242*I1242,2)</f>
        <v>38.12</v>
      </c>
      <c r="L1242" s="32" t="n">
        <v>9.9</v>
      </c>
      <c r="M1242" s="33" t="n">
        <v>4.17</v>
      </c>
      <c r="N1242" s="34" t="n">
        <f aca="false">ROUND(L1242*M1242,2)</f>
        <v>41.28</v>
      </c>
      <c r="P1242" s="35" t="s">
        <v>810</v>
      </c>
    </row>
    <row r="1243" customFormat="false" ht="15" hidden="false" customHeight="false" outlineLevel="0" collapsed="false">
      <c r="A1243" s="24" t="s">
        <v>260</v>
      </c>
      <c r="B1243" s="25" t="n">
        <v>9.9</v>
      </c>
      <c r="C1243" s="25" t="n">
        <v>30</v>
      </c>
      <c r="D1243" s="26" t="n">
        <v>1.31928</v>
      </c>
      <c r="E1243" s="27" t="n">
        <v>1.33</v>
      </c>
      <c r="F1243" s="28" t="n">
        <f aca="false">ROUND(B1243*E1243,2)</f>
        <v>13.17</v>
      </c>
      <c r="H1243" s="29" t="n">
        <v>9.9</v>
      </c>
      <c r="I1243" s="30" t="n">
        <v>1.33</v>
      </c>
      <c r="J1243" s="31" t="n">
        <f aca="false">ROUND(H1243*I1243,2)</f>
        <v>13.17</v>
      </c>
      <c r="L1243" s="53"/>
      <c r="M1243" s="53"/>
      <c r="N1243" s="53"/>
      <c r="P1243" s="36" t="s">
        <v>261</v>
      </c>
    </row>
    <row r="1244" customFormat="false" ht="15" hidden="false" customHeight="false" outlineLevel="0" collapsed="false">
      <c r="A1244" s="24" t="s">
        <v>262</v>
      </c>
      <c r="B1244" s="25" t="n">
        <v>145.06</v>
      </c>
      <c r="C1244" s="25" t="n">
        <v>30</v>
      </c>
      <c r="D1244" s="26" t="n">
        <v>0.111171</v>
      </c>
      <c r="E1244" s="27" t="n">
        <v>0.13788</v>
      </c>
      <c r="F1244" s="28" t="n">
        <f aca="false">ROUND(B1244*E1244,2)</f>
        <v>20</v>
      </c>
      <c r="H1244" s="29" t="n">
        <v>197.868</v>
      </c>
      <c r="I1244" s="30" t="n">
        <v>0.13788</v>
      </c>
      <c r="J1244" s="31" t="n">
        <f aca="false">ROUND(H1244*I1244,2)</f>
        <v>27.28</v>
      </c>
      <c r="L1244" s="32" t="n">
        <v>305</v>
      </c>
      <c r="M1244" s="33" t="n">
        <v>0.13788</v>
      </c>
      <c r="N1244" s="34" t="n">
        <f aca="false">ROUND(L1244*M1244,2)</f>
        <v>42.05</v>
      </c>
      <c r="P1244" s="35" t="s">
        <v>811</v>
      </c>
    </row>
    <row r="1245" customFormat="false" ht="15" hidden="false" customHeight="false" outlineLevel="0" collapsed="false">
      <c r="A1245" s="24" t="s">
        <v>264</v>
      </c>
      <c r="B1245" s="25" t="n">
        <v>62.333</v>
      </c>
      <c r="C1245" s="25" t="n">
        <v>30</v>
      </c>
      <c r="D1245" s="26" t="n">
        <v>0.111171</v>
      </c>
      <c r="E1245" s="27" t="n">
        <v>0.13788</v>
      </c>
      <c r="F1245" s="28" t="n">
        <f aca="false">ROUND(B1245*E1245,2)</f>
        <v>8.59</v>
      </c>
      <c r="H1245" s="29" t="n">
        <v>91.815</v>
      </c>
      <c r="I1245" s="30" t="n">
        <v>0.13788</v>
      </c>
      <c r="J1245" s="31" t="n">
        <f aca="false">ROUND(H1245*I1245,2)</f>
        <v>12.66</v>
      </c>
      <c r="L1245" s="53"/>
      <c r="M1245" s="53"/>
      <c r="N1245" s="53"/>
    </row>
    <row r="1246" customFormat="false" ht="15" hidden="false" customHeight="false" outlineLevel="0" collapsed="false">
      <c r="A1246" s="24" t="s">
        <v>265</v>
      </c>
      <c r="B1246" s="25" t="n">
        <v>129.862</v>
      </c>
      <c r="C1246" s="25" t="n">
        <v>30</v>
      </c>
      <c r="D1246" s="26" t="n">
        <v>0.111171</v>
      </c>
      <c r="E1246" s="27" t="n">
        <v>0.13788</v>
      </c>
      <c r="F1246" s="28" t="n">
        <f aca="false">ROUND(B1246*E1246,2)</f>
        <v>17.91</v>
      </c>
      <c r="H1246" s="29" t="n">
        <v>162.875</v>
      </c>
      <c r="I1246" s="30" t="n">
        <v>0.13788</v>
      </c>
      <c r="J1246" s="31" t="n">
        <f aca="false">ROUND(H1246*I1246,2)</f>
        <v>22.46</v>
      </c>
      <c r="L1246" s="53"/>
      <c r="M1246" s="53"/>
      <c r="N1246" s="53"/>
    </row>
    <row r="1247" customFormat="false" ht="15" hidden="false" customHeight="false" outlineLevel="0" collapsed="false">
      <c r="A1247" s="24" t="s">
        <v>266</v>
      </c>
      <c r="B1247" s="25" t="n">
        <v>1</v>
      </c>
      <c r="C1247" s="25" t="n">
        <v>30</v>
      </c>
      <c r="D1247" s="26" t="n">
        <v>1.3414</v>
      </c>
      <c r="E1247" s="27" t="n">
        <v>3</v>
      </c>
      <c r="F1247" s="28" t="n">
        <f aca="false">ROUND(B1247*E1247,2)</f>
        <v>3</v>
      </c>
      <c r="H1247" s="29" t="n">
        <v>1</v>
      </c>
      <c r="I1247" s="30" t="n">
        <v>3</v>
      </c>
      <c r="J1247" s="31" t="n">
        <f aca="false">ROUND(H1247*I1247,2)</f>
        <v>3</v>
      </c>
      <c r="L1247" s="32" t="n">
        <v>1</v>
      </c>
      <c r="M1247" s="33" t="n">
        <v>3</v>
      </c>
      <c r="N1247" s="34" t="n">
        <f aca="false">ROUND(L1247*M1247,2)</f>
        <v>3</v>
      </c>
    </row>
    <row r="1248" customFormat="false" ht="15" hidden="false" customHeight="false" outlineLevel="0" collapsed="false">
      <c r="A1248" s="24" t="s">
        <v>267</v>
      </c>
      <c r="B1248" s="25" t="n">
        <v>30</v>
      </c>
      <c r="C1248" s="25" t="n">
        <v>30</v>
      </c>
      <c r="D1248" s="26" t="n">
        <v>0.5736</v>
      </c>
      <c r="E1248" s="27" t="n">
        <v>0.01274</v>
      </c>
      <c r="F1248" s="28" t="n">
        <f aca="false">ROUND(B1248*E1248,2)</f>
        <v>0.38</v>
      </c>
      <c r="H1248" s="29" t="n">
        <v>30</v>
      </c>
      <c r="I1248" s="30" t="n">
        <v>0.01274</v>
      </c>
      <c r="J1248" s="31" t="n">
        <f aca="false">ROUND(H1248*I1248,2)</f>
        <v>0.38</v>
      </c>
      <c r="L1248" s="32" t="n">
        <v>30</v>
      </c>
      <c r="M1248" s="33" t="n">
        <v>0.01274</v>
      </c>
      <c r="N1248" s="34" t="n">
        <f aca="false">ROUND(L1248*M1248,2)</f>
        <v>0.38</v>
      </c>
    </row>
    <row r="1249" customFormat="false" ht="15" hidden="false" customHeight="false" outlineLevel="0" collapsed="false">
      <c r="A1249" s="24" t="s">
        <v>268</v>
      </c>
      <c r="B1249" s="25" t="n">
        <v>5.01</v>
      </c>
      <c r="C1249" s="25" t="n">
        <v>30</v>
      </c>
      <c r="D1249" s="26" t="n">
        <v>0.02671</v>
      </c>
      <c r="E1249" s="27" t="n">
        <v>1</v>
      </c>
      <c r="F1249" s="28" t="n">
        <f aca="false">ROUND(B1249*E1249,2)</f>
        <v>5.01</v>
      </c>
      <c r="H1249" s="29" t="n">
        <v>5.82</v>
      </c>
      <c r="I1249" s="30" t="n">
        <v>1</v>
      </c>
      <c r="J1249" s="31" t="n">
        <f aca="false">ROUND(H1249*I1249,2)</f>
        <v>5.82</v>
      </c>
      <c r="L1249" s="32" t="n">
        <v>5</v>
      </c>
      <c r="M1249" s="33" t="n">
        <v>1</v>
      </c>
      <c r="N1249" s="34" t="n">
        <f aca="false">ROUND(L1249*M1249,2)</f>
        <v>5</v>
      </c>
    </row>
    <row r="1250" customFormat="false" ht="15" hidden="false" customHeight="false" outlineLevel="0" collapsed="false">
      <c r="A1250" s="37" t="s">
        <v>269</v>
      </c>
      <c r="F1250" s="38" t="n">
        <f aca="false">ROUND((SUM(F1242:F1249)-F1249)*1.1+F1249,2)</f>
        <v>116.3</v>
      </c>
      <c r="J1250" s="39" t="n">
        <f aca="false">ROUND(SUM(J1242:J1249),2)</f>
        <v>122.89</v>
      </c>
      <c r="N1250" s="40" t="n">
        <f aca="false">ROUND(SUM(N1242:N1249),2)</f>
        <v>91.71</v>
      </c>
    </row>
    <row r="1251" customFormat="false" ht="15" hidden="false" customHeight="false" outlineLevel="0" collapsed="false">
      <c r="A1251" s="15" t="s">
        <v>270</v>
      </c>
      <c r="B1251" s="41" t="n">
        <f aca="false">IF((F1244+F1242+F1246+F1243+F1245)=0,"",((F1244+F1242+F1246+F1243+F1245)-(B1244*D1244+B1242*D1242+B1246*D1246+B1243*D1243+B1245*D1245))/(F1244+F1242+F1246+F1243+F1245))</f>
        <v>0.109552831526741</v>
      </c>
      <c r="D1251" s="42" t="str">
        <f aca="false">IF(B1251="","SIN PC",IF(B1251&gt;=Detalle!$G$1,"APROBAR",IF(B1251&gt;=0.2,"REVISAR","RECHAZAR")))</f>
        <v>RECHAZAR</v>
      </c>
      <c r="E1251" s="42"/>
      <c r="F1251" s="42"/>
    </row>
    <row r="1253" customFormat="false" ht="15" hidden="false" customHeight="false" outlineLevel="0" collapsed="false">
      <c r="A1253" s="11" t="s">
        <v>812</v>
      </c>
      <c r="B1253" s="11"/>
      <c r="C1253" s="11"/>
      <c r="D1253" s="11"/>
      <c r="E1253" s="11"/>
      <c r="F1253" s="11"/>
      <c r="H1253" s="11" t="s">
        <v>813</v>
      </c>
      <c r="I1253" s="11"/>
      <c r="J1253" s="11"/>
      <c r="K1253" s="11"/>
      <c r="L1253" s="11"/>
      <c r="M1253" s="11"/>
      <c r="N1253" s="11"/>
      <c r="P1253" s="14" t="s">
        <v>246</v>
      </c>
    </row>
    <row r="1254" customFormat="false" ht="15" hidden="false" customHeight="false" outlineLevel="0" collapsed="false">
      <c r="A1254" s="15" t="s">
        <v>247</v>
      </c>
      <c r="B1254" s="16" t="s">
        <v>248</v>
      </c>
      <c r="C1254" s="17"/>
      <c r="D1254" s="17"/>
      <c r="E1254" s="17"/>
      <c r="F1254" s="17"/>
      <c r="H1254" s="18" t="s">
        <v>814</v>
      </c>
      <c r="I1254" s="19"/>
      <c r="J1254" s="19"/>
      <c r="L1254" s="20" t="s">
        <v>815</v>
      </c>
      <c r="M1254" s="21"/>
      <c r="N1254" s="21"/>
      <c r="P1254" s="14" t="s">
        <v>816</v>
      </c>
    </row>
    <row r="1255" customFormat="false" ht="15" hidden="false" customHeight="false" outlineLevel="0" collapsed="false">
      <c r="B1255" s="3" t="s">
        <v>252</v>
      </c>
      <c r="C1255" s="3" t="s">
        <v>253</v>
      </c>
      <c r="D1255" s="3" t="s">
        <v>254</v>
      </c>
      <c r="E1255" s="3" t="s">
        <v>255</v>
      </c>
      <c r="F1255" s="3" t="s">
        <v>256</v>
      </c>
      <c r="H1255" s="22" t="s">
        <v>252</v>
      </c>
      <c r="I1255" s="22" t="s">
        <v>255</v>
      </c>
      <c r="J1255" s="22" t="s">
        <v>256</v>
      </c>
      <c r="L1255" s="23" t="s">
        <v>252</v>
      </c>
      <c r="M1255" s="23" t="s">
        <v>255</v>
      </c>
      <c r="N1255" s="23" t="s">
        <v>256</v>
      </c>
      <c r="P1255" s="14" t="s">
        <v>817</v>
      </c>
    </row>
    <row r="1256" customFormat="false" ht="15" hidden="false" customHeight="false" outlineLevel="0" collapsed="false">
      <c r="A1256" s="24" t="s">
        <v>258</v>
      </c>
      <c r="B1256" s="25" t="n">
        <v>11</v>
      </c>
      <c r="C1256" s="25" t="n">
        <v>30</v>
      </c>
      <c r="D1256" s="26" t="n">
        <v>3.68919</v>
      </c>
      <c r="E1256" s="27" t="n">
        <v>4.17</v>
      </c>
      <c r="F1256" s="28" t="n">
        <f aca="false">ROUND(B1256*E1256,2)</f>
        <v>45.87</v>
      </c>
      <c r="H1256" s="29" t="n">
        <v>11</v>
      </c>
      <c r="I1256" s="30" t="n">
        <v>4.17</v>
      </c>
      <c r="J1256" s="31" t="n">
        <f aca="false">ROUND(H1256*I1256,2)</f>
        <v>45.87</v>
      </c>
      <c r="L1256" s="32" t="n">
        <v>11</v>
      </c>
      <c r="M1256" s="33" t="n">
        <v>4.17</v>
      </c>
      <c r="N1256" s="34" t="n">
        <f aca="false">ROUND(L1256*M1256,2)</f>
        <v>45.87</v>
      </c>
      <c r="P1256" s="35" t="s">
        <v>818</v>
      </c>
    </row>
    <row r="1257" customFormat="false" ht="15" hidden="false" customHeight="false" outlineLevel="0" collapsed="false">
      <c r="A1257" s="24" t="s">
        <v>260</v>
      </c>
      <c r="B1257" s="25" t="n">
        <v>11</v>
      </c>
      <c r="C1257" s="25" t="n">
        <v>30</v>
      </c>
      <c r="D1257" s="26" t="n">
        <v>1.31928</v>
      </c>
      <c r="E1257" s="27" t="n">
        <v>1.37</v>
      </c>
      <c r="F1257" s="28" t="n">
        <f aca="false">ROUND(B1257*E1257,2)</f>
        <v>15.07</v>
      </c>
      <c r="H1257" s="29" t="n">
        <v>11</v>
      </c>
      <c r="I1257" s="30" t="n">
        <v>1.37</v>
      </c>
      <c r="J1257" s="31" t="n">
        <f aca="false">ROUND(H1257*I1257,2)</f>
        <v>15.07</v>
      </c>
      <c r="L1257" s="32" t="n">
        <v>11</v>
      </c>
      <c r="M1257" s="33" t="n">
        <v>1.37</v>
      </c>
      <c r="N1257" s="34" t="n">
        <f aca="false">ROUND(L1257*M1257,2)</f>
        <v>15.07</v>
      </c>
      <c r="P1257" s="36" t="s">
        <v>261</v>
      </c>
    </row>
    <row r="1258" customFormat="false" ht="15" hidden="false" customHeight="false" outlineLevel="0" collapsed="false">
      <c r="A1258" s="24" t="s">
        <v>262</v>
      </c>
      <c r="B1258" s="25" t="n">
        <v>837.455</v>
      </c>
      <c r="C1258" s="25" t="n">
        <v>30</v>
      </c>
      <c r="D1258" s="26" t="n">
        <v>0.111171</v>
      </c>
      <c r="E1258" s="27" t="n">
        <v>0.129</v>
      </c>
      <c r="F1258" s="28" t="n">
        <f aca="false">ROUND(B1258*E1258,2)</f>
        <v>108.03</v>
      </c>
      <c r="H1258" s="29" t="n">
        <v>741.323</v>
      </c>
      <c r="I1258" s="30" t="n">
        <v>0.129</v>
      </c>
      <c r="J1258" s="31" t="n">
        <f aca="false">ROUND(H1258*I1258,2)</f>
        <v>95.63</v>
      </c>
      <c r="L1258" s="32" t="n">
        <v>617.707</v>
      </c>
      <c r="M1258" s="33" t="n">
        <v>0.14937</v>
      </c>
      <c r="N1258" s="34" t="n">
        <f aca="false">ROUND(L1258*M1258,2)</f>
        <v>92.27</v>
      </c>
      <c r="P1258" s="35" t="s">
        <v>819</v>
      </c>
    </row>
    <row r="1259" customFormat="false" ht="15" hidden="false" customHeight="false" outlineLevel="0" collapsed="false">
      <c r="A1259" s="24" t="s">
        <v>264</v>
      </c>
      <c r="B1259" s="25" t="n">
        <v>780.818</v>
      </c>
      <c r="C1259" s="25" t="n">
        <v>30</v>
      </c>
      <c r="D1259" s="26" t="n">
        <v>0.111171</v>
      </c>
      <c r="E1259" s="27" t="n">
        <v>0.129</v>
      </c>
      <c r="F1259" s="28" t="n">
        <f aca="false">ROUND(B1259*E1259,2)</f>
        <v>100.73</v>
      </c>
      <c r="H1259" s="29" t="n">
        <v>536.852</v>
      </c>
      <c r="I1259" s="30" t="n">
        <v>0.129</v>
      </c>
      <c r="J1259" s="31" t="n">
        <f aca="false">ROUND(H1259*I1259,2)</f>
        <v>69.25</v>
      </c>
      <c r="L1259" s="32" t="n">
        <v>506.77</v>
      </c>
      <c r="M1259" s="33" t="n">
        <v>0.14937</v>
      </c>
      <c r="N1259" s="34" t="n">
        <f aca="false">ROUND(L1259*M1259,2)</f>
        <v>75.7</v>
      </c>
    </row>
    <row r="1260" customFormat="false" ht="15" hidden="false" customHeight="false" outlineLevel="0" collapsed="false">
      <c r="A1260" s="24" t="s">
        <v>265</v>
      </c>
      <c r="B1260" s="25" t="n">
        <v>1511.51</v>
      </c>
      <c r="C1260" s="25" t="n">
        <v>30</v>
      </c>
      <c r="D1260" s="26" t="n">
        <v>0.111171</v>
      </c>
      <c r="E1260" s="27" t="n">
        <v>0.129</v>
      </c>
      <c r="F1260" s="28" t="n">
        <f aca="false">ROUND(B1260*E1260,2)</f>
        <v>194.98</v>
      </c>
      <c r="H1260" s="29" t="n">
        <v>1298.26</v>
      </c>
      <c r="I1260" s="30" t="n">
        <v>0.129</v>
      </c>
      <c r="J1260" s="31" t="n">
        <f aca="false">ROUND(H1260*I1260,2)</f>
        <v>167.48</v>
      </c>
      <c r="L1260" s="32" t="n">
        <v>1039.06</v>
      </c>
      <c r="M1260" s="33" t="n">
        <v>0.14937</v>
      </c>
      <c r="N1260" s="34" t="n">
        <f aca="false">ROUND(L1260*M1260,2)</f>
        <v>155.2</v>
      </c>
    </row>
    <row r="1261" customFormat="false" ht="15" hidden="false" customHeight="false" outlineLevel="0" collapsed="false">
      <c r="A1261" s="24" t="s">
        <v>266</v>
      </c>
      <c r="B1261" s="25" t="n">
        <v>1</v>
      </c>
      <c r="C1261" s="25" t="n">
        <v>30</v>
      </c>
      <c r="D1261" s="26" t="n">
        <v>1.3414</v>
      </c>
      <c r="E1261" s="27" t="n">
        <v>4</v>
      </c>
      <c r="F1261" s="28" t="n">
        <f aca="false">ROUND(B1261*E1261,2)</f>
        <v>4</v>
      </c>
      <c r="H1261" s="29" t="n">
        <v>1</v>
      </c>
      <c r="I1261" s="30" t="n">
        <v>1</v>
      </c>
      <c r="J1261" s="31" t="n">
        <f aca="false">ROUND(H1261*I1261,2)</f>
        <v>1</v>
      </c>
      <c r="L1261" s="32" t="n">
        <v>1</v>
      </c>
      <c r="M1261" s="33" t="n">
        <v>4</v>
      </c>
      <c r="N1261" s="34" t="n">
        <f aca="false">ROUND(L1261*M1261,2)</f>
        <v>4</v>
      </c>
    </row>
    <row r="1262" customFormat="false" ht="15" hidden="false" customHeight="false" outlineLevel="0" collapsed="false">
      <c r="A1262" s="24" t="s">
        <v>267</v>
      </c>
      <c r="B1262" s="25" t="n">
        <v>30</v>
      </c>
      <c r="C1262" s="25" t="n">
        <v>30</v>
      </c>
      <c r="D1262" s="26" t="n">
        <v>0.5736</v>
      </c>
      <c r="E1262" s="27" t="n">
        <v>0.01274</v>
      </c>
      <c r="F1262" s="28" t="n">
        <f aca="false">ROUND(B1262*E1262,2)</f>
        <v>0.38</v>
      </c>
      <c r="H1262" s="29" t="n">
        <v>30</v>
      </c>
      <c r="I1262" s="30" t="n">
        <v>0.01274</v>
      </c>
      <c r="J1262" s="31" t="n">
        <f aca="false">ROUND(H1262*I1262,2)</f>
        <v>0.38</v>
      </c>
      <c r="L1262" s="32" t="n">
        <v>30</v>
      </c>
      <c r="M1262" s="33" t="n">
        <v>0.00629</v>
      </c>
      <c r="N1262" s="34" t="n">
        <f aca="false">ROUND(L1262*M1262,2)</f>
        <v>0.19</v>
      </c>
    </row>
    <row r="1263" customFormat="false" ht="15" hidden="false" customHeight="false" outlineLevel="0" collapsed="false">
      <c r="A1263" s="24" t="s">
        <v>268</v>
      </c>
      <c r="B1263" s="25" t="n">
        <v>25.15</v>
      </c>
      <c r="C1263" s="25" t="n">
        <v>30</v>
      </c>
      <c r="D1263" s="26" t="n">
        <v>0.27312</v>
      </c>
      <c r="E1263" s="27" t="n">
        <v>1</v>
      </c>
      <c r="F1263" s="28" t="n">
        <f aca="false">ROUND(B1263*E1263,2)</f>
        <v>25.15</v>
      </c>
      <c r="H1263" s="29" t="n">
        <v>21.33</v>
      </c>
      <c r="I1263" s="30" t="n">
        <v>1</v>
      </c>
      <c r="J1263" s="31" t="n">
        <f aca="false">ROUND(H1263*I1263,2)</f>
        <v>21.33</v>
      </c>
      <c r="L1263" s="32" t="n">
        <v>19.64</v>
      </c>
      <c r="M1263" s="33" t="n">
        <v>1</v>
      </c>
      <c r="N1263" s="34" t="n">
        <f aca="false">ROUND(L1263*M1263,2)</f>
        <v>19.64</v>
      </c>
    </row>
    <row r="1264" customFormat="false" ht="15" hidden="false" customHeight="false" outlineLevel="0" collapsed="false">
      <c r="A1264" s="37" t="s">
        <v>269</v>
      </c>
      <c r="F1264" s="38" t="n">
        <f aca="false">ROUND((SUM(F1256:F1263)-F1263)*1.1+F1263,2)</f>
        <v>541.12</v>
      </c>
      <c r="J1264" s="39" t="n">
        <f aca="false">ROUND(SUM(J1256:J1263),2)</f>
        <v>416.01</v>
      </c>
      <c r="N1264" s="40" t="n">
        <f aca="false">ROUND(SUM(N1256:N1263),2)</f>
        <v>407.94</v>
      </c>
    </row>
    <row r="1265" customFormat="false" ht="15" hidden="false" customHeight="false" outlineLevel="0" collapsed="false">
      <c r="A1265" s="15" t="s">
        <v>270</v>
      </c>
      <c r="B1265" s="41" t="n">
        <f aca="false">IF((F1258+F1256+F1260+F1257+F1259)=0,"",((F1258+F1256+F1260+F1257+F1259)-(B1258*D1258+B1256*D1256+B1260*D1260+B1257*D1257+B1259*D1259))/(F1258+F1256+F1260+F1257+F1259))</f>
        <v>0.132662744484376</v>
      </c>
      <c r="D1265" s="42" t="str">
        <f aca="false">IF(B1265="","SIN PC",IF(B1265&gt;=Detalle!$G$1,"APROBAR",IF(B1265&gt;=0.2,"REVISAR","RECHAZAR")))</f>
        <v>RECHAZAR</v>
      </c>
      <c r="E1265" s="42"/>
      <c r="F1265" s="42"/>
    </row>
    <row r="1267" customFormat="false" ht="15" hidden="false" customHeight="false" outlineLevel="0" collapsed="false">
      <c r="A1267" s="11" t="s">
        <v>820</v>
      </c>
      <c r="B1267" s="11"/>
      <c r="C1267" s="11"/>
      <c r="D1267" s="11"/>
      <c r="E1267" s="11"/>
      <c r="F1267" s="11"/>
      <c r="H1267" s="11" t="s">
        <v>821</v>
      </c>
      <c r="I1267" s="11"/>
      <c r="J1267" s="11"/>
      <c r="K1267" s="11"/>
      <c r="L1267" s="11"/>
      <c r="M1267" s="11"/>
      <c r="N1267" s="11"/>
      <c r="P1267" s="14" t="s">
        <v>246</v>
      </c>
    </row>
    <row r="1268" customFormat="false" ht="15" hidden="false" customHeight="false" outlineLevel="0" collapsed="false">
      <c r="A1268" s="15" t="s">
        <v>247</v>
      </c>
      <c r="B1268" s="16" t="s">
        <v>248</v>
      </c>
      <c r="C1268" s="17"/>
      <c r="D1268" s="17"/>
      <c r="E1268" s="17"/>
      <c r="F1268" s="17"/>
      <c r="H1268" s="18" t="s">
        <v>822</v>
      </c>
      <c r="I1268" s="19"/>
      <c r="J1268" s="19"/>
      <c r="L1268" s="20" t="s">
        <v>823</v>
      </c>
      <c r="M1268" s="21"/>
      <c r="N1268" s="21"/>
      <c r="P1268" s="14" t="s">
        <v>824</v>
      </c>
    </row>
    <row r="1269" customFormat="false" ht="15" hidden="false" customHeight="false" outlineLevel="0" collapsed="false">
      <c r="B1269" s="3" t="s">
        <v>252</v>
      </c>
      <c r="C1269" s="3" t="s">
        <v>253</v>
      </c>
      <c r="D1269" s="3" t="s">
        <v>254</v>
      </c>
      <c r="E1269" s="3" t="s">
        <v>255</v>
      </c>
      <c r="F1269" s="3" t="s">
        <v>256</v>
      </c>
      <c r="H1269" s="22" t="s">
        <v>252</v>
      </c>
      <c r="I1269" s="22" t="s">
        <v>255</v>
      </c>
      <c r="J1269" s="22" t="s">
        <v>256</v>
      </c>
      <c r="L1269" s="23" t="s">
        <v>252</v>
      </c>
      <c r="M1269" s="23" t="s">
        <v>255</v>
      </c>
      <c r="N1269" s="23" t="s">
        <v>256</v>
      </c>
      <c r="P1269" s="14" t="s">
        <v>825</v>
      </c>
    </row>
    <row r="1270" customFormat="false" ht="15" hidden="false" customHeight="false" outlineLevel="0" collapsed="false">
      <c r="A1270" s="24" t="s">
        <v>258</v>
      </c>
      <c r="B1270" s="25" t="n">
        <v>3.45</v>
      </c>
      <c r="C1270" s="25" t="n">
        <v>30</v>
      </c>
      <c r="D1270" s="26" t="n">
        <v>3.68919</v>
      </c>
      <c r="E1270" s="27" t="n">
        <v>3.85</v>
      </c>
      <c r="F1270" s="28" t="n">
        <f aca="false">ROUND(B1270*E1270,2)</f>
        <v>13.28</v>
      </c>
      <c r="H1270" s="29" t="n">
        <v>3.45</v>
      </c>
      <c r="I1270" s="30" t="n">
        <v>3.85</v>
      </c>
      <c r="J1270" s="31" t="n">
        <f aca="false">ROUND(H1270*I1270,2)</f>
        <v>13.28</v>
      </c>
      <c r="L1270" s="32" t="n">
        <v>3.45</v>
      </c>
      <c r="M1270" s="33" t="n">
        <v>3.85</v>
      </c>
      <c r="N1270" s="34" t="n">
        <f aca="false">ROUND(L1270*M1270,2)</f>
        <v>13.28</v>
      </c>
      <c r="P1270" s="35" t="s">
        <v>826</v>
      </c>
    </row>
    <row r="1271" customFormat="false" ht="15" hidden="false" customHeight="false" outlineLevel="0" collapsed="false">
      <c r="A1271" s="24" t="s">
        <v>260</v>
      </c>
      <c r="B1271" s="25" t="n">
        <v>3.45</v>
      </c>
      <c r="C1271" s="25" t="n">
        <v>30</v>
      </c>
      <c r="D1271" s="26" t="n">
        <v>1.31928</v>
      </c>
      <c r="E1271" s="27" t="n">
        <v>1.33</v>
      </c>
      <c r="F1271" s="28" t="n">
        <f aca="false">ROUND(B1271*E1271,2)</f>
        <v>4.59</v>
      </c>
      <c r="H1271" s="29" t="n">
        <v>3.45</v>
      </c>
      <c r="I1271" s="30" t="n">
        <v>1.33</v>
      </c>
      <c r="J1271" s="31" t="n">
        <f aca="false">ROUND(H1271*I1271,2)</f>
        <v>4.59</v>
      </c>
      <c r="L1271" s="32" t="n">
        <v>3.45</v>
      </c>
      <c r="M1271" s="33" t="n">
        <v>1.33</v>
      </c>
      <c r="N1271" s="34" t="n">
        <f aca="false">ROUND(L1271*M1271,2)</f>
        <v>4.59</v>
      </c>
      <c r="P1271" s="36" t="s">
        <v>261</v>
      </c>
    </row>
    <row r="1272" customFormat="false" ht="15" hidden="false" customHeight="false" outlineLevel="0" collapsed="false">
      <c r="A1272" s="24" t="s">
        <v>262</v>
      </c>
      <c r="B1272" s="25" t="n">
        <v>108.642</v>
      </c>
      <c r="C1272" s="25" t="n">
        <v>30</v>
      </c>
      <c r="D1272" s="26" t="n">
        <v>0.120671</v>
      </c>
      <c r="E1272" s="27" t="n">
        <v>0.13788</v>
      </c>
      <c r="F1272" s="28" t="n">
        <f aca="false">ROUND(B1272*E1272,2)</f>
        <v>14.98</v>
      </c>
      <c r="H1272" s="29" t="n">
        <v>194.824</v>
      </c>
      <c r="I1272" s="30" t="n">
        <v>0.13788</v>
      </c>
      <c r="J1272" s="31" t="n">
        <f aca="false">ROUND(H1272*I1272,2)</f>
        <v>26.86</v>
      </c>
      <c r="L1272" s="32" t="n">
        <v>1250</v>
      </c>
      <c r="M1272" s="33" t="n">
        <v>0.13788</v>
      </c>
      <c r="N1272" s="34" t="n">
        <f aca="false">ROUND(L1272*M1272,2)</f>
        <v>172.35</v>
      </c>
      <c r="P1272" s="35" t="s">
        <v>827</v>
      </c>
    </row>
    <row r="1273" customFormat="false" ht="15" hidden="false" customHeight="false" outlineLevel="0" collapsed="false">
      <c r="A1273" s="24" t="s">
        <v>264</v>
      </c>
      <c r="B1273" s="25" t="n">
        <v>211.867</v>
      </c>
      <c r="C1273" s="25" t="n">
        <v>30</v>
      </c>
      <c r="D1273" s="26" t="n">
        <v>0.120671</v>
      </c>
      <c r="E1273" s="27" t="n">
        <v>0.13788</v>
      </c>
      <c r="F1273" s="28" t="n">
        <f aca="false">ROUND(B1273*E1273,2)</f>
        <v>29.21</v>
      </c>
      <c r="H1273" s="29" t="n">
        <v>192.971</v>
      </c>
      <c r="I1273" s="30" t="n">
        <v>0.13788</v>
      </c>
      <c r="J1273" s="31" t="n">
        <f aca="false">ROUND(H1273*I1273,2)</f>
        <v>26.61</v>
      </c>
      <c r="L1273" s="53"/>
      <c r="M1273" s="53"/>
      <c r="N1273" s="53"/>
    </row>
    <row r="1274" customFormat="false" ht="15" hidden="false" customHeight="false" outlineLevel="0" collapsed="false">
      <c r="A1274" s="24" t="s">
        <v>265</v>
      </c>
      <c r="B1274" s="25" t="n">
        <v>283.213</v>
      </c>
      <c r="C1274" s="25" t="n">
        <v>30</v>
      </c>
      <c r="D1274" s="26" t="n">
        <v>0.120671</v>
      </c>
      <c r="E1274" s="27" t="n">
        <v>0.13788</v>
      </c>
      <c r="F1274" s="28" t="n">
        <f aca="false">ROUND(B1274*E1274,2)</f>
        <v>39.05</v>
      </c>
      <c r="H1274" s="29" t="n">
        <v>134.629</v>
      </c>
      <c r="I1274" s="30" t="n">
        <v>0.13788</v>
      </c>
      <c r="J1274" s="31" t="n">
        <f aca="false">ROUND(H1274*I1274,2)</f>
        <v>18.56</v>
      </c>
      <c r="L1274" s="53"/>
      <c r="M1274" s="53"/>
      <c r="N1274" s="53"/>
    </row>
    <row r="1275" customFormat="false" ht="15" hidden="false" customHeight="false" outlineLevel="0" collapsed="false">
      <c r="A1275" s="24" t="s">
        <v>266</v>
      </c>
      <c r="B1275" s="25" t="n">
        <v>1</v>
      </c>
      <c r="C1275" s="25" t="n">
        <v>30</v>
      </c>
      <c r="D1275" s="26" t="n">
        <v>0.7989</v>
      </c>
      <c r="E1275" s="27" t="n">
        <v>3</v>
      </c>
      <c r="F1275" s="28" t="n">
        <f aca="false">ROUND(B1275*E1275,2)</f>
        <v>3</v>
      </c>
      <c r="H1275" s="29" t="n">
        <v>1</v>
      </c>
      <c r="I1275" s="30" t="n">
        <v>3</v>
      </c>
      <c r="J1275" s="31" t="n">
        <f aca="false">ROUND(H1275*I1275,2)</f>
        <v>3</v>
      </c>
      <c r="L1275" s="32" t="n">
        <v>1</v>
      </c>
      <c r="M1275" s="33" t="n">
        <v>3</v>
      </c>
      <c r="N1275" s="34" t="n">
        <f aca="false">ROUND(L1275*M1275,2)</f>
        <v>3</v>
      </c>
    </row>
    <row r="1276" customFormat="false" ht="15" hidden="false" customHeight="false" outlineLevel="0" collapsed="false">
      <c r="A1276" s="24" t="s">
        <v>267</v>
      </c>
      <c r="B1276" s="25" t="n">
        <v>30</v>
      </c>
      <c r="C1276" s="25" t="n">
        <v>30</v>
      </c>
      <c r="D1276" s="26" t="n">
        <v>0.5736</v>
      </c>
      <c r="E1276" s="27" t="n">
        <v>0.01274</v>
      </c>
      <c r="F1276" s="28" t="n">
        <f aca="false">ROUND(B1276*E1276,2)</f>
        <v>0.38</v>
      </c>
      <c r="H1276" s="29" t="n">
        <v>30</v>
      </c>
      <c r="I1276" s="30" t="n">
        <v>0.01274</v>
      </c>
      <c r="J1276" s="31" t="n">
        <f aca="false">ROUND(H1276*I1276,2)</f>
        <v>0.38</v>
      </c>
      <c r="L1276" s="32" t="n">
        <v>30</v>
      </c>
      <c r="M1276" s="33" t="n">
        <v>0.00629</v>
      </c>
      <c r="N1276" s="34" t="n">
        <f aca="false">ROUND(L1276*M1276,2)</f>
        <v>0.19</v>
      </c>
    </row>
    <row r="1277" customFormat="false" ht="15" hidden="false" customHeight="false" outlineLevel="0" collapsed="false">
      <c r="A1277" s="24" t="s">
        <v>268</v>
      </c>
      <c r="B1277" s="25" t="n">
        <v>5.53</v>
      </c>
      <c r="C1277" s="25" t="n">
        <v>30</v>
      </c>
      <c r="D1277" s="26" t="n">
        <v>0.27458</v>
      </c>
      <c r="E1277" s="27" t="n">
        <v>1</v>
      </c>
      <c r="F1277" s="28" t="n">
        <f aca="false">ROUND(B1277*E1277,2)</f>
        <v>5.53</v>
      </c>
      <c r="H1277" s="29" t="n">
        <v>4.92</v>
      </c>
      <c r="I1277" s="30" t="n">
        <v>1</v>
      </c>
      <c r="J1277" s="31" t="n">
        <f aca="false">ROUND(H1277*I1277,2)</f>
        <v>4.92</v>
      </c>
      <c r="L1277" s="32" t="n">
        <v>0.92</v>
      </c>
      <c r="M1277" s="33" t="n">
        <v>1</v>
      </c>
      <c r="N1277" s="34" t="n">
        <f aca="false">ROUND(L1277*M1277,2)</f>
        <v>0.92</v>
      </c>
    </row>
    <row r="1278" customFormat="false" ht="15" hidden="false" customHeight="false" outlineLevel="0" collapsed="false">
      <c r="A1278" s="37" t="s">
        <v>269</v>
      </c>
      <c r="F1278" s="38" t="n">
        <f aca="false">ROUND((SUM(F1270:F1277)-F1277)*1.1+F1277,2)</f>
        <v>120.47</v>
      </c>
      <c r="J1278" s="39" t="n">
        <f aca="false">ROUND(SUM(J1270:J1277),2)</f>
        <v>98.2</v>
      </c>
      <c r="N1278" s="40" t="n">
        <f aca="false">ROUND(SUM(N1270:N1277),2)</f>
        <v>194.33</v>
      </c>
    </row>
    <row r="1279" customFormat="false" ht="15" hidden="false" customHeight="false" outlineLevel="0" collapsed="false">
      <c r="A1279" s="15" t="s">
        <v>270</v>
      </c>
      <c r="B1279" s="41" t="n">
        <f aca="false">IF((F1272+F1270+F1274+F1271+F1273)=0,"",((F1272+F1270+F1274+F1271+F1273)-(B1272*D1272+B1270*D1270+B1274*D1274+B1271*D1271+B1273*D1273))/(F1272+F1270+F1274+F1271+F1273))</f>
        <v>0.108585115596875</v>
      </c>
      <c r="D1279" s="42" t="str">
        <f aca="false">IF(B1279="","SIN PC",IF(B1279&gt;=Detalle!$G$1,"APROBAR",IF(B1279&gt;=0.2,"REVISAR","RECHAZAR")))</f>
        <v>RECHAZAR</v>
      </c>
      <c r="E1279" s="42"/>
      <c r="F1279" s="42"/>
    </row>
    <row r="1281" customFormat="false" ht="15" hidden="false" customHeight="false" outlineLevel="0" collapsed="false">
      <c r="A1281" s="11" t="s">
        <v>828</v>
      </c>
      <c r="B1281" s="11"/>
      <c r="C1281" s="11"/>
      <c r="D1281" s="11"/>
      <c r="E1281" s="11"/>
      <c r="F1281" s="11"/>
      <c r="H1281" s="11" t="s">
        <v>829</v>
      </c>
      <c r="I1281" s="11"/>
      <c r="J1281" s="11"/>
      <c r="K1281" s="11"/>
      <c r="L1281" s="11"/>
      <c r="M1281" s="11"/>
      <c r="N1281" s="11"/>
      <c r="P1281" s="14" t="s">
        <v>246</v>
      </c>
    </row>
    <row r="1282" customFormat="false" ht="15" hidden="false" customHeight="false" outlineLevel="0" collapsed="false">
      <c r="A1282" s="15" t="s">
        <v>247</v>
      </c>
      <c r="B1282" s="16" t="s">
        <v>248</v>
      </c>
      <c r="C1282" s="17"/>
      <c r="D1282" s="17"/>
      <c r="E1282" s="17"/>
      <c r="F1282" s="17"/>
      <c r="H1282" s="18" t="s">
        <v>830</v>
      </c>
      <c r="I1282" s="19"/>
      <c r="J1282" s="19"/>
      <c r="L1282" s="20" t="s">
        <v>831</v>
      </c>
      <c r="M1282" s="21"/>
      <c r="N1282" s="21"/>
      <c r="P1282" s="14" t="s">
        <v>832</v>
      </c>
    </row>
    <row r="1283" customFormat="false" ht="15" hidden="false" customHeight="false" outlineLevel="0" collapsed="false">
      <c r="B1283" s="3" t="s">
        <v>252</v>
      </c>
      <c r="C1283" s="3" t="s">
        <v>253</v>
      </c>
      <c r="D1283" s="3" t="s">
        <v>254</v>
      </c>
      <c r="E1283" s="3" t="s">
        <v>255</v>
      </c>
      <c r="F1283" s="3" t="s">
        <v>256</v>
      </c>
      <c r="H1283" s="22" t="s">
        <v>252</v>
      </c>
      <c r="I1283" s="22" t="s">
        <v>255</v>
      </c>
      <c r="J1283" s="22" t="s">
        <v>256</v>
      </c>
      <c r="L1283" s="23" t="s">
        <v>252</v>
      </c>
      <c r="M1283" s="23" t="s">
        <v>255</v>
      </c>
      <c r="N1283" s="23" t="s">
        <v>256</v>
      </c>
      <c r="P1283" s="14" t="s">
        <v>833</v>
      </c>
    </row>
    <row r="1284" customFormat="false" ht="15" hidden="false" customHeight="false" outlineLevel="0" collapsed="false">
      <c r="A1284" s="24" t="s">
        <v>258</v>
      </c>
      <c r="B1284" s="25" t="n">
        <v>5.5</v>
      </c>
      <c r="C1284" s="25" t="n">
        <v>30</v>
      </c>
      <c r="D1284" s="26" t="n">
        <v>3.68919</v>
      </c>
      <c r="E1284" s="27" t="n">
        <v>3.85</v>
      </c>
      <c r="F1284" s="28" t="n">
        <f aca="false">ROUND(B1284*E1284,2)</f>
        <v>21.18</v>
      </c>
      <c r="H1284" s="29" t="n">
        <v>5.5</v>
      </c>
      <c r="I1284" s="30" t="n">
        <v>3.85</v>
      </c>
      <c r="J1284" s="31" t="n">
        <f aca="false">ROUND(H1284*I1284,2)</f>
        <v>21.18</v>
      </c>
      <c r="L1284" s="32" t="n">
        <v>5.5</v>
      </c>
      <c r="M1284" s="33" t="n">
        <v>3.85</v>
      </c>
      <c r="N1284" s="34" t="n">
        <f aca="false">ROUND(L1284*M1284,2)</f>
        <v>21.18</v>
      </c>
      <c r="P1284" s="35" t="s">
        <v>834</v>
      </c>
    </row>
    <row r="1285" customFormat="false" ht="15" hidden="false" customHeight="false" outlineLevel="0" collapsed="false">
      <c r="A1285" s="24" t="s">
        <v>260</v>
      </c>
      <c r="B1285" s="25" t="n">
        <v>5.5</v>
      </c>
      <c r="C1285" s="25" t="n">
        <v>30</v>
      </c>
      <c r="D1285" s="26" t="n">
        <v>1.31928</v>
      </c>
      <c r="E1285" s="27" t="n">
        <v>1.33</v>
      </c>
      <c r="F1285" s="28" t="n">
        <f aca="false">ROUND(B1285*E1285,2)</f>
        <v>7.32</v>
      </c>
      <c r="H1285" s="29" t="n">
        <v>5.5</v>
      </c>
      <c r="I1285" s="30" t="n">
        <v>1.33</v>
      </c>
      <c r="J1285" s="31" t="n">
        <f aca="false">ROUND(H1285*I1285,2)</f>
        <v>7.32</v>
      </c>
      <c r="L1285" s="32" t="n">
        <v>5.5</v>
      </c>
      <c r="M1285" s="33" t="n">
        <v>1.33</v>
      </c>
      <c r="N1285" s="34" t="n">
        <f aca="false">ROUND(L1285*M1285,2)</f>
        <v>7.32</v>
      </c>
      <c r="P1285" s="36" t="s">
        <v>261</v>
      </c>
    </row>
    <row r="1286" customFormat="false" ht="15" hidden="false" customHeight="false" outlineLevel="0" collapsed="false">
      <c r="A1286" s="24" t="s">
        <v>262</v>
      </c>
      <c r="B1286" s="25" t="n">
        <v>124.019</v>
      </c>
      <c r="C1286" s="25" t="n">
        <v>30</v>
      </c>
      <c r="D1286" s="26" t="n">
        <v>0.111171</v>
      </c>
      <c r="E1286" s="27" t="n">
        <v>0.129</v>
      </c>
      <c r="F1286" s="28" t="n">
        <f aca="false">ROUND(B1286*E1286,2)</f>
        <v>16</v>
      </c>
      <c r="H1286" s="29" t="n">
        <v>124.004</v>
      </c>
      <c r="I1286" s="30" t="n">
        <v>0.13788</v>
      </c>
      <c r="J1286" s="31" t="n">
        <f aca="false">ROUND(H1286*I1286,2)</f>
        <v>17.1</v>
      </c>
      <c r="L1286" s="32" t="n">
        <v>37.809</v>
      </c>
      <c r="M1286" s="33" t="n">
        <v>0.13788</v>
      </c>
      <c r="N1286" s="34" t="n">
        <f aca="false">ROUND(L1286*M1286,2)</f>
        <v>5.21</v>
      </c>
      <c r="P1286" s="35" t="s">
        <v>835</v>
      </c>
    </row>
    <row r="1287" customFormat="false" ht="15" hidden="false" customHeight="false" outlineLevel="0" collapsed="false">
      <c r="A1287" s="24" t="s">
        <v>264</v>
      </c>
      <c r="B1287" s="25" t="n">
        <v>90.667</v>
      </c>
      <c r="C1287" s="25" t="n">
        <v>30</v>
      </c>
      <c r="D1287" s="26" t="n">
        <v>0.111171</v>
      </c>
      <c r="E1287" s="27" t="n">
        <v>0.129</v>
      </c>
      <c r="F1287" s="28" t="n">
        <f aca="false">ROUND(B1287*E1287,2)</f>
        <v>11.7</v>
      </c>
      <c r="H1287" s="29" t="n">
        <v>117.61</v>
      </c>
      <c r="I1287" s="30" t="n">
        <v>0.13788</v>
      </c>
      <c r="J1287" s="31" t="n">
        <f aca="false">ROUND(H1287*I1287,2)</f>
        <v>16.22</v>
      </c>
      <c r="L1287" s="32" t="n">
        <v>40.053</v>
      </c>
      <c r="M1287" s="33" t="n">
        <v>0.13788</v>
      </c>
      <c r="N1287" s="34" t="n">
        <f aca="false">ROUND(L1287*M1287,2)</f>
        <v>5.52</v>
      </c>
    </row>
    <row r="1288" customFormat="false" ht="15" hidden="false" customHeight="false" outlineLevel="0" collapsed="false">
      <c r="A1288" s="24" t="s">
        <v>265</v>
      </c>
      <c r="B1288" s="25" t="n">
        <v>225.834</v>
      </c>
      <c r="C1288" s="25" t="n">
        <v>30</v>
      </c>
      <c r="D1288" s="26" t="n">
        <v>0.111171</v>
      </c>
      <c r="E1288" s="27" t="n">
        <v>0.129</v>
      </c>
      <c r="F1288" s="28" t="n">
        <f aca="false">ROUND(B1288*E1288,2)</f>
        <v>29.13</v>
      </c>
      <c r="H1288" s="29" t="n">
        <v>232.776</v>
      </c>
      <c r="I1288" s="30" t="n">
        <v>0.13788</v>
      </c>
      <c r="J1288" s="31" t="n">
        <f aca="false">ROUND(H1288*I1288,2)</f>
        <v>32.1</v>
      </c>
      <c r="L1288" s="32" t="n">
        <v>99.488</v>
      </c>
      <c r="M1288" s="33" t="n">
        <v>0.13788</v>
      </c>
      <c r="N1288" s="34" t="n">
        <f aca="false">ROUND(L1288*M1288,2)</f>
        <v>13.72</v>
      </c>
    </row>
    <row r="1289" customFormat="false" ht="15" hidden="false" customHeight="false" outlineLevel="0" collapsed="false">
      <c r="A1289" s="24" t="s">
        <v>266</v>
      </c>
      <c r="B1289" s="25" t="n">
        <v>1</v>
      </c>
      <c r="C1289" s="25" t="n">
        <v>30</v>
      </c>
      <c r="D1289" s="26" t="n">
        <v>0.7989</v>
      </c>
      <c r="E1289" s="27" t="n">
        <v>3</v>
      </c>
      <c r="F1289" s="28" t="n">
        <f aca="false">ROUND(B1289*E1289,2)</f>
        <v>3</v>
      </c>
      <c r="H1289" s="29" t="n">
        <v>1</v>
      </c>
      <c r="I1289" s="30" t="n">
        <v>3</v>
      </c>
      <c r="J1289" s="31" t="n">
        <f aca="false">ROUND(H1289*I1289,2)</f>
        <v>3</v>
      </c>
      <c r="L1289" s="32" t="n">
        <v>1</v>
      </c>
      <c r="M1289" s="33" t="n">
        <v>3</v>
      </c>
      <c r="N1289" s="34" t="n">
        <f aca="false">ROUND(L1289*M1289,2)</f>
        <v>3</v>
      </c>
    </row>
    <row r="1290" customFormat="false" ht="15" hidden="false" customHeight="false" outlineLevel="0" collapsed="false">
      <c r="A1290" s="24" t="s">
        <v>267</v>
      </c>
      <c r="B1290" s="25" t="n">
        <v>30</v>
      </c>
      <c r="C1290" s="25" t="n">
        <v>30</v>
      </c>
      <c r="D1290" s="26" t="n">
        <v>0.5736</v>
      </c>
      <c r="E1290" s="27" t="n">
        <v>0.01274</v>
      </c>
      <c r="F1290" s="28" t="n">
        <f aca="false">ROUND(B1290*E1290,2)</f>
        <v>0.38</v>
      </c>
      <c r="H1290" s="29" t="n">
        <v>30</v>
      </c>
      <c r="I1290" s="30" t="n">
        <v>0.01274</v>
      </c>
      <c r="J1290" s="31" t="n">
        <f aca="false">ROUND(H1290*I1290,2)</f>
        <v>0.38</v>
      </c>
      <c r="L1290" s="32" t="n">
        <v>30</v>
      </c>
      <c r="M1290" s="33" t="n">
        <v>0.00629</v>
      </c>
      <c r="N1290" s="34" t="n">
        <f aca="false">ROUND(L1290*M1290,2)</f>
        <v>0.19</v>
      </c>
    </row>
    <row r="1291" customFormat="false" ht="15" hidden="false" customHeight="false" outlineLevel="0" collapsed="false">
      <c r="A1291" s="24" t="s">
        <v>268</v>
      </c>
      <c r="B1291" s="25" t="n">
        <v>4.76</v>
      </c>
      <c r="C1291" s="25" t="n">
        <v>30</v>
      </c>
      <c r="D1291" s="26" t="n">
        <v>0.27312</v>
      </c>
      <c r="E1291" s="27" t="n">
        <v>1</v>
      </c>
      <c r="F1291" s="28" t="n">
        <f aca="false">ROUND(B1291*E1291,2)</f>
        <v>4.76</v>
      </c>
      <c r="H1291" s="29" t="n">
        <v>4.81</v>
      </c>
      <c r="I1291" s="30" t="n">
        <v>1</v>
      </c>
      <c r="J1291" s="31" t="n">
        <f aca="false">ROUND(H1291*I1291,2)</f>
        <v>4.81</v>
      </c>
      <c r="L1291" s="32" t="n">
        <v>2.72</v>
      </c>
      <c r="M1291" s="33" t="n">
        <v>1</v>
      </c>
      <c r="N1291" s="34" t="n">
        <f aca="false">ROUND(L1291*M1291,2)</f>
        <v>2.72</v>
      </c>
    </row>
    <row r="1292" customFormat="false" ht="15" hidden="false" customHeight="false" outlineLevel="0" collapsed="false">
      <c r="A1292" s="37" t="s">
        <v>269</v>
      </c>
      <c r="F1292" s="38" t="n">
        <f aca="false">ROUND((SUM(F1284:F1291)-F1291)*1.1+F1291,2)</f>
        <v>102.34</v>
      </c>
      <c r="J1292" s="39" t="n">
        <f aca="false">ROUND(SUM(J1284:J1291),2)</f>
        <v>102.11</v>
      </c>
      <c r="N1292" s="40" t="n">
        <f aca="false">ROUND(SUM(N1284:N1291),2)</f>
        <v>58.86</v>
      </c>
    </row>
    <row r="1293" customFormat="false" ht="15" hidden="false" customHeight="false" outlineLevel="0" collapsed="false">
      <c r="A1293" s="15" t="s">
        <v>270</v>
      </c>
      <c r="B1293" s="41" t="n">
        <f aca="false">IF((F1286+F1284+F1288+F1285+F1287)=0,"",((F1286+F1284+F1288+F1285+F1287)-(B1286*D1286+B1284*D1284+B1288*D1288+B1285*D1285+B1287*D1287))/(F1286+F1284+F1288+F1285+F1287))</f>
        <v>0.103250510723075</v>
      </c>
      <c r="D1293" s="42" t="str">
        <f aca="false">IF(B1293="","SIN PC",IF(B1293&gt;=Detalle!$G$1,"APROBAR",IF(B1293&gt;=0.2,"REVISAR","RECHAZAR")))</f>
        <v>RECHAZAR</v>
      </c>
      <c r="E1293" s="42"/>
      <c r="F1293" s="42"/>
    </row>
    <row r="1295" customFormat="false" ht="15" hidden="false" customHeight="false" outlineLevel="0" collapsed="false">
      <c r="A1295" s="11" t="s">
        <v>836</v>
      </c>
      <c r="B1295" s="11"/>
      <c r="C1295" s="11"/>
      <c r="D1295" s="11"/>
      <c r="E1295" s="11"/>
      <c r="F1295" s="11"/>
      <c r="H1295" s="11" t="s">
        <v>837</v>
      </c>
      <c r="I1295" s="11"/>
      <c r="J1295" s="11"/>
      <c r="K1295" s="11"/>
      <c r="L1295" s="11"/>
      <c r="M1295" s="11"/>
      <c r="N1295" s="11"/>
      <c r="P1295" s="14" t="s">
        <v>246</v>
      </c>
    </row>
    <row r="1296" customFormat="false" ht="15" hidden="false" customHeight="false" outlineLevel="0" collapsed="false">
      <c r="A1296" s="15" t="s">
        <v>247</v>
      </c>
      <c r="B1296" s="16" t="s">
        <v>248</v>
      </c>
      <c r="C1296" s="17"/>
      <c r="D1296" s="17"/>
      <c r="E1296" s="17"/>
      <c r="F1296" s="17"/>
      <c r="H1296" s="18" t="s">
        <v>838</v>
      </c>
      <c r="I1296" s="19"/>
      <c r="J1296" s="19"/>
      <c r="L1296" s="20" t="s">
        <v>839</v>
      </c>
      <c r="M1296" s="21"/>
      <c r="N1296" s="21"/>
      <c r="P1296" s="14" t="s">
        <v>840</v>
      </c>
    </row>
    <row r="1297" customFormat="false" ht="15" hidden="false" customHeight="false" outlineLevel="0" collapsed="false">
      <c r="B1297" s="3" t="s">
        <v>252</v>
      </c>
      <c r="C1297" s="3" t="s">
        <v>253</v>
      </c>
      <c r="D1297" s="3" t="s">
        <v>254</v>
      </c>
      <c r="E1297" s="3" t="s">
        <v>255</v>
      </c>
      <c r="F1297" s="3" t="s">
        <v>256</v>
      </c>
      <c r="H1297" s="22" t="s">
        <v>252</v>
      </c>
      <c r="I1297" s="22" t="s">
        <v>255</v>
      </c>
      <c r="J1297" s="22" t="s">
        <v>256</v>
      </c>
      <c r="L1297" s="23" t="s">
        <v>252</v>
      </c>
      <c r="M1297" s="23" t="s">
        <v>255</v>
      </c>
      <c r="N1297" s="23" t="s">
        <v>256</v>
      </c>
      <c r="P1297" s="14" t="s">
        <v>841</v>
      </c>
    </row>
    <row r="1298" customFormat="false" ht="15" hidden="false" customHeight="false" outlineLevel="0" collapsed="false">
      <c r="A1298" s="24" t="s">
        <v>258</v>
      </c>
      <c r="B1298" s="25" t="n">
        <v>10</v>
      </c>
      <c r="C1298" s="25" t="n">
        <v>30</v>
      </c>
      <c r="D1298" s="26" t="n">
        <v>3.68919</v>
      </c>
      <c r="E1298" s="27" t="n">
        <v>4.17</v>
      </c>
      <c r="F1298" s="28" t="n">
        <f aca="false">ROUND(B1298*E1298,2)</f>
        <v>41.7</v>
      </c>
      <c r="H1298" s="29" t="n">
        <v>10</v>
      </c>
      <c r="I1298" s="30" t="n">
        <v>4.17</v>
      </c>
      <c r="J1298" s="31" t="n">
        <f aca="false">ROUND(H1298*I1298,2)</f>
        <v>41.7</v>
      </c>
      <c r="L1298" s="32" t="n">
        <v>10</v>
      </c>
      <c r="M1298" s="33" t="n">
        <v>4.82</v>
      </c>
      <c r="N1298" s="34" t="n">
        <f aca="false">ROUND(L1298*M1298,2)</f>
        <v>48.2</v>
      </c>
      <c r="P1298" s="35" t="s">
        <v>842</v>
      </c>
    </row>
    <row r="1299" customFormat="false" ht="15" hidden="false" customHeight="false" outlineLevel="0" collapsed="false">
      <c r="A1299" s="24" t="s">
        <v>260</v>
      </c>
      <c r="B1299" s="25" t="n">
        <v>10</v>
      </c>
      <c r="C1299" s="25" t="n">
        <v>30</v>
      </c>
      <c r="D1299" s="26" t="n">
        <v>1.31928</v>
      </c>
      <c r="E1299" s="27" t="n">
        <v>1.37</v>
      </c>
      <c r="F1299" s="28" t="n">
        <f aca="false">ROUND(B1299*E1299,2)</f>
        <v>13.7</v>
      </c>
      <c r="H1299" s="29" t="n">
        <v>10</v>
      </c>
      <c r="I1299" s="30" t="n">
        <v>1.37</v>
      </c>
      <c r="J1299" s="31" t="n">
        <f aca="false">ROUND(H1299*I1299,2)</f>
        <v>13.7</v>
      </c>
      <c r="L1299" s="32" t="n">
        <v>10</v>
      </c>
      <c r="M1299" s="33" t="n">
        <v>2.3744</v>
      </c>
      <c r="N1299" s="34" t="n">
        <f aca="false">ROUND(L1299*M1299,2)</f>
        <v>23.74</v>
      </c>
      <c r="P1299" s="36" t="s">
        <v>261</v>
      </c>
    </row>
    <row r="1300" customFormat="false" ht="15" hidden="false" customHeight="false" outlineLevel="0" collapsed="false">
      <c r="A1300" s="24" t="s">
        <v>262</v>
      </c>
      <c r="B1300" s="25" t="n">
        <v>69.66</v>
      </c>
      <c r="C1300" s="25" t="n">
        <v>30</v>
      </c>
      <c r="D1300" s="26" t="n">
        <v>0.111171</v>
      </c>
      <c r="E1300" s="27" t="n">
        <v>0.14937</v>
      </c>
      <c r="F1300" s="28" t="n">
        <f aca="false">ROUND(B1300*E1300,2)</f>
        <v>10.41</v>
      </c>
      <c r="H1300" s="29" t="n">
        <v>162.325</v>
      </c>
      <c r="I1300" s="30" t="n">
        <v>0.14937</v>
      </c>
      <c r="J1300" s="31" t="n">
        <f aca="false">ROUND(H1300*I1300,2)</f>
        <v>24.25</v>
      </c>
      <c r="L1300" s="32" t="n">
        <v>140.276</v>
      </c>
      <c r="M1300" s="33" t="n">
        <v>0.1724</v>
      </c>
      <c r="N1300" s="34" t="n">
        <f aca="false">ROUND(L1300*M1300,2)</f>
        <v>24.18</v>
      </c>
      <c r="P1300" s="35" t="s">
        <v>843</v>
      </c>
    </row>
    <row r="1301" customFormat="false" ht="15" hidden="false" customHeight="false" outlineLevel="0" collapsed="false">
      <c r="A1301" s="24" t="s">
        <v>264</v>
      </c>
      <c r="B1301" s="25" t="n">
        <v>77.549</v>
      </c>
      <c r="C1301" s="25" t="n">
        <v>30</v>
      </c>
      <c r="D1301" s="26" t="n">
        <v>0.111171</v>
      </c>
      <c r="E1301" s="27" t="n">
        <v>0.14937</v>
      </c>
      <c r="F1301" s="28" t="n">
        <f aca="false">ROUND(B1301*E1301,2)</f>
        <v>11.58</v>
      </c>
      <c r="H1301" s="29" t="n">
        <v>166.724</v>
      </c>
      <c r="I1301" s="30" t="n">
        <v>0.14937</v>
      </c>
      <c r="J1301" s="31" t="n">
        <f aca="false">ROUND(H1301*I1301,2)</f>
        <v>24.9</v>
      </c>
      <c r="L1301" s="32" t="n">
        <v>114.937</v>
      </c>
      <c r="M1301" s="33" t="n">
        <v>0.1724</v>
      </c>
      <c r="N1301" s="34" t="n">
        <f aca="false">ROUND(L1301*M1301,2)</f>
        <v>19.82</v>
      </c>
    </row>
    <row r="1302" customFormat="false" ht="15" hidden="false" customHeight="false" outlineLevel="0" collapsed="false">
      <c r="A1302" s="24" t="s">
        <v>265</v>
      </c>
      <c r="B1302" s="25" t="n">
        <v>180.102</v>
      </c>
      <c r="C1302" s="25" t="n">
        <v>30</v>
      </c>
      <c r="D1302" s="26" t="n">
        <v>0.111171</v>
      </c>
      <c r="E1302" s="27" t="n">
        <v>0.14937</v>
      </c>
      <c r="F1302" s="28" t="n">
        <f aca="false">ROUND(B1302*E1302,2)</f>
        <v>26.9</v>
      </c>
      <c r="H1302" s="29" t="n">
        <v>286.938</v>
      </c>
      <c r="I1302" s="30" t="n">
        <v>0.14937</v>
      </c>
      <c r="J1302" s="31" t="n">
        <f aca="false">ROUND(H1302*I1302,2)</f>
        <v>42.86</v>
      </c>
      <c r="L1302" s="32" t="n">
        <v>234.658</v>
      </c>
      <c r="M1302" s="33" t="n">
        <v>0.1724</v>
      </c>
      <c r="N1302" s="34" t="n">
        <f aca="false">ROUND(L1302*M1302,2)</f>
        <v>40.46</v>
      </c>
    </row>
    <row r="1303" customFormat="false" ht="15" hidden="false" customHeight="false" outlineLevel="0" collapsed="false">
      <c r="A1303" s="24" t="s">
        <v>266</v>
      </c>
      <c r="B1303" s="25" t="n">
        <v>1</v>
      </c>
      <c r="C1303" s="25" t="n">
        <v>30</v>
      </c>
      <c r="D1303" s="26" t="n">
        <v>0.7989</v>
      </c>
      <c r="E1303" s="27" t="n">
        <v>4</v>
      </c>
      <c r="F1303" s="28" t="n">
        <f aca="false">ROUND(B1303*E1303,2)</f>
        <v>4</v>
      </c>
      <c r="H1303" s="29" t="n">
        <v>1</v>
      </c>
      <c r="I1303" s="30" t="n">
        <v>4</v>
      </c>
      <c r="J1303" s="31" t="n">
        <f aca="false">ROUND(H1303*I1303,2)</f>
        <v>4</v>
      </c>
      <c r="L1303" s="32" t="n">
        <v>1</v>
      </c>
      <c r="M1303" s="33" t="n">
        <v>6</v>
      </c>
      <c r="N1303" s="34" t="n">
        <f aca="false">ROUND(L1303*M1303,2)</f>
        <v>6</v>
      </c>
    </row>
    <row r="1304" customFormat="false" ht="15" hidden="false" customHeight="false" outlineLevel="0" collapsed="false">
      <c r="A1304" s="24" t="s">
        <v>267</v>
      </c>
      <c r="B1304" s="25" t="n">
        <v>30</v>
      </c>
      <c r="C1304" s="25" t="n">
        <v>30</v>
      </c>
      <c r="D1304" s="26" t="n">
        <v>0.5736</v>
      </c>
      <c r="E1304" s="27" t="n">
        <v>0.01274</v>
      </c>
      <c r="F1304" s="28" t="n">
        <f aca="false">ROUND(B1304*E1304,2)</f>
        <v>0.38</v>
      </c>
      <c r="H1304" s="29" t="n">
        <v>30</v>
      </c>
      <c r="I1304" s="30" t="n">
        <v>0.01274</v>
      </c>
      <c r="J1304" s="31" t="n">
        <f aca="false">ROUND(H1304*I1304,2)</f>
        <v>0.38</v>
      </c>
      <c r="L1304" s="32" t="n">
        <v>30</v>
      </c>
      <c r="M1304" s="33" t="n">
        <v>0.00629</v>
      </c>
      <c r="N1304" s="34" t="n">
        <f aca="false">ROUND(L1304*M1304,2)</f>
        <v>0.19</v>
      </c>
    </row>
    <row r="1305" customFormat="false" ht="15" hidden="false" customHeight="false" outlineLevel="0" collapsed="false">
      <c r="A1305" s="24" t="s">
        <v>268</v>
      </c>
      <c r="B1305" s="25" t="n">
        <v>5.34</v>
      </c>
      <c r="C1305" s="25" t="n">
        <v>30</v>
      </c>
      <c r="D1305" s="26" t="n">
        <v>0.02671</v>
      </c>
      <c r="E1305" s="27" t="n">
        <v>1</v>
      </c>
      <c r="F1305" s="28" t="n">
        <f aca="false">ROUND(B1305*E1305,2)</f>
        <v>5.34</v>
      </c>
      <c r="H1305" s="29" t="n">
        <v>7.54</v>
      </c>
      <c r="I1305" s="30" t="n">
        <v>1</v>
      </c>
      <c r="J1305" s="31" t="n">
        <f aca="false">ROUND(H1305*I1305,2)</f>
        <v>7.54</v>
      </c>
      <c r="L1305" s="32" t="n">
        <v>8</v>
      </c>
      <c r="M1305" s="33" t="n">
        <v>1</v>
      </c>
      <c r="N1305" s="34" t="n">
        <f aca="false">ROUND(L1305*M1305,2)</f>
        <v>8</v>
      </c>
    </row>
    <row r="1306" customFormat="false" ht="15" hidden="false" customHeight="false" outlineLevel="0" collapsed="false">
      <c r="A1306" s="37" t="s">
        <v>269</v>
      </c>
      <c r="F1306" s="38" t="n">
        <f aca="false">ROUND((SUM(F1298:F1305)-F1305)*1.1+F1305,2)</f>
        <v>124.88</v>
      </c>
      <c r="J1306" s="39" t="n">
        <f aca="false">ROUND(SUM(J1298:J1305),2)</f>
        <v>159.33</v>
      </c>
      <c r="N1306" s="40" t="n">
        <f aca="false">ROUND(SUM(N1298:N1305),2)</f>
        <v>170.59</v>
      </c>
    </row>
    <row r="1307" customFormat="false" ht="15" hidden="false" customHeight="false" outlineLevel="0" collapsed="false">
      <c r="A1307" s="15" t="s">
        <v>270</v>
      </c>
      <c r="B1307" s="41" t="n">
        <f aca="false">IF((F1300+F1298+F1302+F1299+F1301)=0,"",((F1300+F1298+F1302+F1299+F1301)-(B1300*D1300+B1298*D1298+B1302*D1302+B1299*D1299+B1301*D1301))/(F1300+F1298+F1302+F1299+F1301))</f>
        <v>0.170848679825486</v>
      </c>
      <c r="D1307" s="42" t="str">
        <f aca="false">IF(B1307="","SIN PC",IF(B1307&gt;=Detalle!$G$1,"APROBAR",IF(B1307&gt;=0.2,"REVISAR","RECHAZAR")))</f>
        <v>RECHAZAR</v>
      </c>
      <c r="E1307" s="42"/>
      <c r="F1307" s="42"/>
    </row>
    <row r="1309" customFormat="false" ht="15" hidden="false" customHeight="false" outlineLevel="0" collapsed="false">
      <c r="A1309" s="11" t="s">
        <v>844</v>
      </c>
      <c r="B1309" s="11"/>
      <c r="C1309" s="11"/>
      <c r="D1309" s="11"/>
      <c r="E1309" s="11"/>
      <c r="F1309" s="11"/>
      <c r="H1309" s="11" t="s">
        <v>845</v>
      </c>
      <c r="I1309" s="11"/>
      <c r="J1309" s="11"/>
      <c r="K1309" s="11"/>
      <c r="L1309" s="11"/>
      <c r="M1309" s="11"/>
      <c r="N1309" s="11"/>
      <c r="P1309" s="14" t="s">
        <v>246</v>
      </c>
    </row>
    <row r="1310" customFormat="false" ht="15" hidden="false" customHeight="false" outlineLevel="0" collapsed="false">
      <c r="A1310" s="15" t="s">
        <v>247</v>
      </c>
      <c r="B1310" s="16" t="s">
        <v>248</v>
      </c>
      <c r="C1310" s="17"/>
      <c r="D1310" s="17"/>
      <c r="E1310" s="17"/>
      <c r="F1310" s="17"/>
      <c r="H1310" s="18" t="s">
        <v>846</v>
      </c>
      <c r="I1310" s="19"/>
      <c r="J1310" s="19"/>
      <c r="L1310" s="20" t="s">
        <v>847</v>
      </c>
      <c r="M1310" s="21"/>
      <c r="N1310" s="21"/>
      <c r="P1310" s="14" t="s">
        <v>848</v>
      </c>
    </row>
    <row r="1311" customFormat="false" ht="15" hidden="false" customHeight="false" outlineLevel="0" collapsed="false">
      <c r="B1311" s="3" t="s">
        <v>252</v>
      </c>
      <c r="C1311" s="3" t="s">
        <v>253</v>
      </c>
      <c r="D1311" s="3" t="s">
        <v>254</v>
      </c>
      <c r="E1311" s="3" t="s">
        <v>255</v>
      </c>
      <c r="F1311" s="3" t="s">
        <v>256</v>
      </c>
      <c r="H1311" s="22" t="s">
        <v>252</v>
      </c>
      <c r="I1311" s="22" t="s">
        <v>255</v>
      </c>
      <c r="J1311" s="22" t="s">
        <v>256</v>
      </c>
      <c r="L1311" s="23" t="s">
        <v>252</v>
      </c>
      <c r="M1311" s="23" t="s">
        <v>255</v>
      </c>
      <c r="N1311" s="23" t="s">
        <v>256</v>
      </c>
      <c r="P1311" s="14" t="s">
        <v>849</v>
      </c>
    </row>
    <row r="1312" customFormat="false" ht="15" hidden="false" customHeight="false" outlineLevel="0" collapsed="false">
      <c r="A1312" s="24" t="s">
        <v>258</v>
      </c>
      <c r="B1312" s="25" t="n">
        <v>10.392</v>
      </c>
      <c r="C1312" s="25" t="n">
        <v>30</v>
      </c>
      <c r="D1312" s="26" t="n">
        <v>3.68919</v>
      </c>
      <c r="E1312" s="27" t="n">
        <v>4.17</v>
      </c>
      <c r="F1312" s="28" t="n">
        <f aca="false">ROUND(B1312*E1312,2)</f>
        <v>43.33</v>
      </c>
      <c r="H1312" s="29" t="n">
        <v>10.392</v>
      </c>
      <c r="I1312" s="30" t="n">
        <v>4.17</v>
      </c>
      <c r="J1312" s="31" t="n">
        <f aca="false">ROUND(H1312*I1312,2)</f>
        <v>43.33</v>
      </c>
      <c r="L1312" s="32" t="n">
        <v>10.392</v>
      </c>
      <c r="M1312" s="33" t="n">
        <v>4.17</v>
      </c>
      <c r="N1312" s="34" t="n">
        <f aca="false">ROUND(L1312*M1312,2)</f>
        <v>43.33</v>
      </c>
      <c r="P1312" s="35" t="s">
        <v>850</v>
      </c>
    </row>
    <row r="1313" customFormat="false" ht="15" hidden="false" customHeight="false" outlineLevel="0" collapsed="false">
      <c r="A1313" s="24" t="s">
        <v>260</v>
      </c>
      <c r="B1313" s="25" t="n">
        <v>10.392</v>
      </c>
      <c r="C1313" s="25" t="n">
        <v>30</v>
      </c>
      <c r="D1313" s="26" t="n">
        <v>1.31928</v>
      </c>
      <c r="E1313" s="27" t="n">
        <v>1.37</v>
      </c>
      <c r="F1313" s="28" t="n">
        <f aca="false">ROUND(B1313*E1313,2)</f>
        <v>14.24</v>
      </c>
      <c r="H1313" s="29" t="n">
        <v>10.392</v>
      </c>
      <c r="I1313" s="30" t="n">
        <v>1.37</v>
      </c>
      <c r="J1313" s="31" t="n">
        <f aca="false">ROUND(H1313*I1313,2)</f>
        <v>14.24</v>
      </c>
      <c r="L1313" s="32" t="n">
        <v>10.392</v>
      </c>
      <c r="M1313" s="33" t="n">
        <v>1.37</v>
      </c>
      <c r="N1313" s="34" t="n">
        <f aca="false">ROUND(L1313*M1313,2)</f>
        <v>14.24</v>
      </c>
      <c r="P1313" s="36" t="s">
        <v>261</v>
      </c>
    </row>
    <row r="1314" customFormat="false" ht="15" hidden="false" customHeight="false" outlineLevel="0" collapsed="false">
      <c r="A1314" s="24" t="s">
        <v>262</v>
      </c>
      <c r="B1314" s="25" t="n">
        <v>71.746</v>
      </c>
      <c r="C1314" s="25" t="n">
        <v>30</v>
      </c>
      <c r="D1314" s="26" t="n">
        <v>0.111171</v>
      </c>
      <c r="E1314" s="27" t="n">
        <v>0.14937</v>
      </c>
      <c r="F1314" s="28" t="n">
        <f aca="false">ROUND(B1314*E1314,2)</f>
        <v>10.72</v>
      </c>
      <c r="H1314" s="29" t="n">
        <v>213.802</v>
      </c>
      <c r="I1314" s="30" t="n">
        <v>0.14937</v>
      </c>
      <c r="J1314" s="31" t="n">
        <f aca="false">ROUND(H1314*I1314,2)</f>
        <v>31.94</v>
      </c>
      <c r="L1314" s="32" t="n">
        <v>77.051</v>
      </c>
      <c r="M1314" s="33" t="n">
        <v>0.14937</v>
      </c>
      <c r="N1314" s="34" t="n">
        <f aca="false">ROUND(L1314*M1314,2)</f>
        <v>11.51</v>
      </c>
      <c r="P1314" s="35" t="s">
        <v>851</v>
      </c>
    </row>
    <row r="1315" customFormat="false" ht="15" hidden="false" customHeight="false" outlineLevel="0" collapsed="false">
      <c r="A1315" s="24" t="s">
        <v>264</v>
      </c>
      <c r="B1315" s="25" t="n">
        <v>115.72</v>
      </c>
      <c r="C1315" s="25" t="n">
        <v>30</v>
      </c>
      <c r="D1315" s="26" t="n">
        <v>0.111171</v>
      </c>
      <c r="E1315" s="27" t="n">
        <v>0.14937</v>
      </c>
      <c r="F1315" s="28" t="n">
        <f aca="false">ROUND(B1315*E1315,2)</f>
        <v>17.29</v>
      </c>
      <c r="H1315" s="29" t="n">
        <v>189.608</v>
      </c>
      <c r="I1315" s="30" t="n">
        <v>0.14937</v>
      </c>
      <c r="J1315" s="31" t="n">
        <f aca="false">ROUND(H1315*I1315,2)</f>
        <v>28.32</v>
      </c>
      <c r="L1315" s="32" t="n">
        <v>136.372</v>
      </c>
      <c r="M1315" s="33" t="n">
        <v>0.14937</v>
      </c>
      <c r="N1315" s="34" t="n">
        <f aca="false">ROUND(L1315*M1315,2)</f>
        <v>20.37</v>
      </c>
    </row>
    <row r="1316" customFormat="false" ht="15" hidden="false" customHeight="false" outlineLevel="0" collapsed="false">
      <c r="A1316" s="24" t="s">
        <v>265</v>
      </c>
      <c r="B1316" s="25" t="n">
        <v>60.21</v>
      </c>
      <c r="C1316" s="25" t="n">
        <v>30</v>
      </c>
      <c r="D1316" s="26" t="n">
        <v>0.111171</v>
      </c>
      <c r="E1316" s="27" t="n">
        <v>0.14937</v>
      </c>
      <c r="F1316" s="28" t="n">
        <f aca="false">ROUND(B1316*E1316,2)</f>
        <v>8.99</v>
      </c>
      <c r="H1316" s="29" t="n">
        <v>44.88</v>
      </c>
      <c r="I1316" s="30" t="n">
        <v>0.14937</v>
      </c>
      <c r="J1316" s="31" t="n">
        <f aca="false">ROUND(H1316*I1316,2)</f>
        <v>6.7</v>
      </c>
      <c r="L1316" s="32" t="n">
        <v>55.37</v>
      </c>
      <c r="M1316" s="33" t="n">
        <v>0.14937</v>
      </c>
      <c r="N1316" s="34" t="n">
        <f aca="false">ROUND(L1316*M1316,2)</f>
        <v>8.27</v>
      </c>
    </row>
    <row r="1317" customFormat="false" ht="15" hidden="false" customHeight="false" outlineLevel="0" collapsed="false">
      <c r="A1317" s="24" t="s">
        <v>266</v>
      </c>
      <c r="B1317" s="25" t="n">
        <v>1</v>
      </c>
      <c r="C1317" s="25" t="n">
        <v>30</v>
      </c>
      <c r="D1317" s="26" t="n">
        <v>1.3414</v>
      </c>
      <c r="E1317" s="27" t="n">
        <v>4</v>
      </c>
      <c r="F1317" s="28" t="n">
        <f aca="false">ROUND(B1317*E1317,2)</f>
        <v>4</v>
      </c>
      <c r="H1317" s="29" t="n">
        <v>1</v>
      </c>
      <c r="I1317" s="30" t="n">
        <v>4</v>
      </c>
      <c r="J1317" s="31" t="n">
        <f aca="false">ROUND(H1317*I1317,2)</f>
        <v>4</v>
      </c>
      <c r="L1317" s="32" t="n">
        <v>1</v>
      </c>
      <c r="M1317" s="33" t="n">
        <v>4</v>
      </c>
      <c r="N1317" s="34" t="n">
        <f aca="false">ROUND(L1317*M1317,2)</f>
        <v>4</v>
      </c>
    </row>
    <row r="1318" customFormat="false" ht="15" hidden="false" customHeight="false" outlineLevel="0" collapsed="false">
      <c r="A1318" s="24" t="s">
        <v>267</v>
      </c>
      <c r="B1318" s="25" t="n">
        <v>30</v>
      </c>
      <c r="C1318" s="25" t="n">
        <v>30</v>
      </c>
      <c r="D1318" s="26" t="n">
        <v>0.5736</v>
      </c>
      <c r="E1318" s="27" t="n">
        <v>0.01274</v>
      </c>
      <c r="F1318" s="28" t="n">
        <f aca="false">ROUND(B1318*E1318,2)</f>
        <v>0.38</v>
      </c>
      <c r="H1318" s="29" t="n">
        <v>30</v>
      </c>
      <c r="I1318" s="30" t="n">
        <v>0.01274</v>
      </c>
      <c r="J1318" s="31" t="n">
        <f aca="false">ROUND(H1318*I1318,2)</f>
        <v>0.38</v>
      </c>
      <c r="L1318" s="32" t="n">
        <v>30</v>
      </c>
      <c r="M1318" s="33" t="n">
        <v>0.00629</v>
      </c>
      <c r="N1318" s="34" t="n">
        <f aca="false">ROUND(L1318*M1318,2)</f>
        <v>0.19</v>
      </c>
    </row>
    <row r="1319" customFormat="false" ht="15" hidden="false" customHeight="false" outlineLevel="0" collapsed="false">
      <c r="A1319" s="24" t="s">
        <v>268</v>
      </c>
      <c r="B1319" s="25" t="n">
        <v>4.84</v>
      </c>
      <c r="C1319" s="25" t="n">
        <v>30</v>
      </c>
      <c r="D1319" s="26" t="n">
        <v>0.02671</v>
      </c>
      <c r="E1319" s="27" t="n">
        <v>1</v>
      </c>
      <c r="F1319" s="28" t="n">
        <f aca="false">ROUND(B1319*E1319,2)</f>
        <v>4.84</v>
      </c>
      <c r="H1319" s="29" t="n">
        <v>6.37</v>
      </c>
      <c r="I1319" s="30" t="n">
        <v>1</v>
      </c>
      <c r="J1319" s="31" t="n">
        <f aca="false">ROUND(H1319*I1319,2)</f>
        <v>6.37</v>
      </c>
      <c r="L1319" s="32" t="n">
        <v>5</v>
      </c>
      <c r="M1319" s="33" t="n">
        <v>1</v>
      </c>
      <c r="N1319" s="34" t="n">
        <f aca="false">ROUND(L1319*M1319,2)</f>
        <v>5</v>
      </c>
    </row>
    <row r="1320" customFormat="false" ht="15" hidden="false" customHeight="false" outlineLevel="0" collapsed="false">
      <c r="A1320" s="37" t="s">
        <v>269</v>
      </c>
      <c r="F1320" s="38" t="n">
        <f aca="false">ROUND((SUM(F1312:F1319)-F1319)*1.1+F1319,2)</f>
        <v>113.69</v>
      </c>
      <c r="J1320" s="39" t="n">
        <f aca="false">ROUND(SUM(J1312:J1319),2)</f>
        <v>135.28</v>
      </c>
      <c r="N1320" s="40" t="n">
        <f aca="false">ROUND(SUM(N1312:N1319),2)</f>
        <v>106.91</v>
      </c>
    </row>
    <row r="1321" customFormat="false" ht="15" hidden="false" customHeight="false" outlineLevel="0" collapsed="false">
      <c r="A1321" s="15" t="s">
        <v>270</v>
      </c>
      <c r="B1321" s="41" t="n">
        <f aca="false">IF((F1314+F1312+F1316+F1313+F1315)=0,"",((F1314+F1312+F1316+F1313+F1315)-(B1314*D1314+B1312*D1312+B1316*D1316+B1313*D1313+B1315*D1315))/(F1314+F1312+F1316+F1313+F1315))</f>
        <v>0.158481454626203</v>
      </c>
      <c r="D1321" s="42" t="str">
        <f aca="false">IF(B1321="","SIN PC",IF(B1321&gt;=Detalle!$G$1,"APROBAR",IF(B1321&gt;=0.2,"REVISAR","RECHAZAR")))</f>
        <v>RECHAZAR</v>
      </c>
      <c r="E1321" s="42"/>
      <c r="F1321" s="42"/>
    </row>
    <row r="1323" customFormat="false" ht="15" hidden="false" customHeight="false" outlineLevel="0" collapsed="false">
      <c r="A1323" s="11" t="s">
        <v>852</v>
      </c>
      <c r="B1323" s="11"/>
      <c r="C1323" s="11"/>
      <c r="D1323" s="11"/>
      <c r="E1323" s="11"/>
      <c r="F1323" s="11"/>
      <c r="H1323" s="11" t="s">
        <v>853</v>
      </c>
      <c r="I1323" s="11"/>
      <c r="J1323" s="11"/>
      <c r="K1323" s="11"/>
      <c r="L1323" s="11"/>
      <c r="M1323" s="11"/>
      <c r="N1323" s="11"/>
      <c r="P1323" s="14" t="s">
        <v>246</v>
      </c>
    </row>
    <row r="1324" customFormat="false" ht="15" hidden="false" customHeight="false" outlineLevel="0" collapsed="false">
      <c r="A1324" s="15" t="s">
        <v>247</v>
      </c>
      <c r="B1324" s="16" t="s">
        <v>248</v>
      </c>
      <c r="C1324" s="17"/>
      <c r="D1324" s="17"/>
      <c r="E1324" s="17"/>
      <c r="F1324" s="17"/>
      <c r="H1324" s="18" t="s">
        <v>854</v>
      </c>
      <c r="I1324" s="19"/>
      <c r="J1324" s="19"/>
      <c r="L1324" s="20" t="s">
        <v>855</v>
      </c>
      <c r="M1324" s="21"/>
      <c r="N1324" s="21"/>
      <c r="P1324" s="14" t="s">
        <v>856</v>
      </c>
    </row>
    <row r="1325" customFormat="false" ht="15" hidden="false" customHeight="false" outlineLevel="0" collapsed="false">
      <c r="B1325" s="3" t="s">
        <v>252</v>
      </c>
      <c r="C1325" s="3" t="s">
        <v>253</v>
      </c>
      <c r="D1325" s="3" t="s">
        <v>254</v>
      </c>
      <c r="E1325" s="3" t="s">
        <v>255</v>
      </c>
      <c r="F1325" s="3" t="s">
        <v>256</v>
      </c>
      <c r="H1325" s="22" t="s">
        <v>252</v>
      </c>
      <c r="I1325" s="22" t="s">
        <v>255</v>
      </c>
      <c r="J1325" s="22" t="s">
        <v>256</v>
      </c>
      <c r="L1325" s="23" t="s">
        <v>252</v>
      </c>
      <c r="M1325" s="23" t="s">
        <v>255</v>
      </c>
      <c r="N1325" s="23" t="s">
        <v>256</v>
      </c>
      <c r="P1325" s="14" t="s">
        <v>857</v>
      </c>
    </row>
    <row r="1326" customFormat="false" ht="15" hidden="false" customHeight="false" outlineLevel="0" collapsed="false">
      <c r="A1326" s="24" t="s">
        <v>258</v>
      </c>
      <c r="B1326" s="25" t="n">
        <v>9.9</v>
      </c>
      <c r="C1326" s="25" t="n">
        <v>30</v>
      </c>
      <c r="D1326" s="26" t="n">
        <v>3.68919</v>
      </c>
      <c r="E1326" s="27" t="n">
        <v>3.85</v>
      </c>
      <c r="F1326" s="28" t="n">
        <f aca="false">ROUND(B1326*E1326,2)</f>
        <v>38.12</v>
      </c>
      <c r="H1326" s="29" t="n">
        <v>9.9</v>
      </c>
      <c r="I1326" s="30" t="n">
        <v>3.85</v>
      </c>
      <c r="J1326" s="31" t="n">
        <f aca="false">ROUND(H1326*I1326,2)</f>
        <v>38.12</v>
      </c>
      <c r="L1326" s="32" t="n">
        <v>9.9</v>
      </c>
      <c r="M1326" s="33" t="n">
        <v>3.85</v>
      </c>
      <c r="N1326" s="34" t="n">
        <f aca="false">ROUND(L1326*M1326,2)</f>
        <v>38.12</v>
      </c>
      <c r="P1326" s="35" t="s">
        <v>858</v>
      </c>
    </row>
    <row r="1327" customFormat="false" ht="15" hidden="false" customHeight="false" outlineLevel="0" collapsed="false">
      <c r="A1327" s="24" t="s">
        <v>260</v>
      </c>
      <c r="B1327" s="25" t="n">
        <v>9.9</v>
      </c>
      <c r="C1327" s="25" t="n">
        <v>30</v>
      </c>
      <c r="D1327" s="26" t="n">
        <v>1.31928</v>
      </c>
      <c r="E1327" s="27" t="n">
        <v>1.33</v>
      </c>
      <c r="F1327" s="28" t="n">
        <f aca="false">ROUND(B1327*E1327,2)</f>
        <v>13.17</v>
      </c>
      <c r="H1327" s="29" t="n">
        <v>9.9</v>
      </c>
      <c r="I1327" s="30" t="n">
        <v>1.33</v>
      </c>
      <c r="J1327" s="31" t="n">
        <f aca="false">ROUND(H1327*I1327,2)</f>
        <v>13.17</v>
      </c>
      <c r="L1327" s="32" t="n">
        <v>9.9</v>
      </c>
      <c r="M1327" s="33" t="n">
        <v>1.33</v>
      </c>
      <c r="N1327" s="34" t="n">
        <f aca="false">ROUND(L1327*M1327,2)</f>
        <v>13.17</v>
      </c>
      <c r="P1327" s="36" t="s">
        <v>261</v>
      </c>
    </row>
    <row r="1328" customFormat="false" ht="15" hidden="false" customHeight="false" outlineLevel="0" collapsed="false">
      <c r="A1328" s="24" t="s">
        <v>262</v>
      </c>
      <c r="B1328" s="25" t="n">
        <v>54.432</v>
      </c>
      <c r="C1328" s="25" t="n">
        <v>30</v>
      </c>
      <c r="D1328" s="26" t="n">
        <v>0.111171</v>
      </c>
      <c r="E1328" s="27" t="n">
        <v>0.13788</v>
      </c>
      <c r="F1328" s="28" t="n">
        <f aca="false">ROUND(B1328*E1328,2)</f>
        <v>7.51</v>
      </c>
      <c r="H1328" s="29" t="n">
        <v>64.228</v>
      </c>
      <c r="I1328" s="30" t="n">
        <v>0.13788</v>
      </c>
      <c r="J1328" s="31" t="n">
        <f aca="false">ROUND(H1328*I1328,2)</f>
        <v>8.86</v>
      </c>
      <c r="L1328" s="32" t="n">
        <v>47.516</v>
      </c>
      <c r="M1328" s="33" t="n">
        <v>0.13788</v>
      </c>
      <c r="N1328" s="34" t="n">
        <f aca="false">ROUND(L1328*M1328,2)</f>
        <v>6.55</v>
      </c>
      <c r="P1328" s="35" t="s">
        <v>859</v>
      </c>
    </row>
    <row r="1329" customFormat="false" ht="15" hidden="false" customHeight="false" outlineLevel="0" collapsed="false">
      <c r="A1329" s="24" t="s">
        <v>264</v>
      </c>
      <c r="B1329" s="25" t="n">
        <v>65.256</v>
      </c>
      <c r="C1329" s="25" t="n">
        <v>30</v>
      </c>
      <c r="D1329" s="26" t="n">
        <v>0.111171</v>
      </c>
      <c r="E1329" s="27" t="n">
        <v>0.13788</v>
      </c>
      <c r="F1329" s="28" t="n">
        <f aca="false">ROUND(B1329*E1329,2)</f>
        <v>9</v>
      </c>
      <c r="H1329" s="29" t="n">
        <v>72.528</v>
      </c>
      <c r="I1329" s="30" t="n">
        <v>0.13788</v>
      </c>
      <c r="J1329" s="31" t="n">
        <f aca="false">ROUND(H1329*I1329,2)</f>
        <v>10</v>
      </c>
      <c r="L1329" s="32" t="n">
        <v>70.601</v>
      </c>
      <c r="M1329" s="33" t="n">
        <v>0.13788</v>
      </c>
      <c r="N1329" s="34" t="n">
        <f aca="false">ROUND(L1329*M1329,2)</f>
        <v>9.73</v>
      </c>
    </row>
    <row r="1330" customFormat="false" ht="15" hidden="false" customHeight="false" outlineLevel="0" collapsed="false">
      <c r="A1330" s="24" t="s">
        <v>265</v>
      </c>
      <c r="B1330" s="25" t="n">
        <v>59.372</v>
      </c>
      <c r="C1330" s="25" t="n">
        <v>30</v>
      </c>
      <c r="D1330" s="26" t="n">
        <v>0.111171</v>
      </c>
      <c r="E1330" s="27" t="n">
        <v>0.13788</v>
      </c>
      <c r="F1330" s="28" t="n">
        <f aca="false">ROUND(B1330*E1330,2)</f>
        <v>8.19</v>
      </c>
      <c r="H1330" s="29" t="n">
        <v>51.703</v>
      </c>
      <c r="I1330" s="30" t="n">
        <v>0.13788</v>
      </c>
      <c r="J1330" s="31" t="n">
        <f aca="false">ROUND(H1330*I1330,2)</f>
        <v>7.13</v>
      </c>
      <c r="L1330" s="32" t="n">
        <v>59.669</v>
      </c>
      <c r="M1330" s="33" t="n">
        <v>0.13788</v>
      </c>
      <c r="N1330" s="34" t="n">
        <f aca="false">ROUND(L1330*M1330,2)</f>
        <v>8.23</v>
      </c>
    </row>
    <row r="1331" customFormat="false" ht="15" hidden="false" customHeight="false" outlineLevel="0" collapsed="false">
      <c r="A1331" s="24" t="s">
        <v>266</v>
      </c>
      <c r="B1331" s="25" t="n">
        <v>1</v>
      </c>
      <c r="C1331" s="25" t="n">
        <v>30</v>
      </c>
      <c r="D1331" s="26" t="n">
        <v>1.3414</v>
      </c>
      <c r="E1331" s="27" t="n">
        <v>3</v>
      </c>
      <c r="F1331" s="28" t="n">
        <f aca="false">ROUND(B1331*E1331,2)</f>
        <v>3</v>
      </c>
      <c r="H1331" s="29" t="n">
        <v>1</v>
      </c>
      <c r="I1331" s="30" t="n">
        <v>3</v>
      </c>
      <c r="J1331" s="31" t="n">
        <f aca="false">ROUND(H1331*I1331,2)</f>
        <v>3</v>
      </c>
      <c r="L1331" s="32" t="n">
        <v>1</v>
      </c>
      <c r="M1331" s="33" t="n">
        <v>3</v>
      </c>
      <c r="N1331" s="34" t="n">
        <f aca="false">ROUND(L1331*M1331,2)</f>
        <v>3</v>
      </c>
    </row>
    <row r="1332" customFormat="false" ht="15" hidden="false" customHeight="false" outlineLevel="0" collapsed="false">
      <c r="A1332" s="24" t="s">
        <v>267</v>
      </c>
      <c r="B1332" s="25" t="n">
        <v>30</v>
      </c>
      <c r="C1332" s="25" t="n">
        <v>30</v>
      </c>
      <c r="D1332" s="26" t="n">
        <v>0.5736</v>
      </c>
      <c r="E1332" s="27" t="n">
        <v>0.01274</v>
      </c>
      <c r="F1332" s="28" t="n">
        <f aca="false">ROUND(B1332*E1332,2)</f>
        <v>0.38</v>
      </c>
      <c r="H1332" s="29" t="n">
        <v>30</v>
      </c>
      <c r="I1332" s="30" t="n">
        <v>0.01274</v>
      </c>
      <c r="J1332" s="31" t="n">
        <f aca="false">ROUND(H1332*I1332,2)</f>
        <v>0.38</v>
      </c>
      <c r="L1332" s="32" t="n">
        <v>30</v>
      </c>
      <c r="M1332" s="33" t="n">
        <v>0.00629</v>
      </c>
      <c r="N1332" s="34" t="n">
        <f aca="false">ROUND(L1332*M1332,2)</f>
        <v>0.19</v>
      </c>
    </row>
    <row r="1333" customFormat="false" ht="15" hidden="false" customHeight="false" outlineLevel="0" collapsed="false">
      <c r="A1333" s="24" t="s">
        <v>268</v>
      </c>
      <c r="B1333" s="25" t="n">
        <v>3.89</v>
      </c>
      <c r="C1333" s="25" t="n">
        <v>30</v>
      </c>
      <c r="D1333" s="26" t="n">
        <v>0.02671</v>
      </c>
      <c r="E1333" s="27" t="n">
        <v>1</v>
      </c>
      <c r="F1333" s="28" t="n">
        <f aca="false">ROUND(B1333*E1333,2)</f>
        <v>3.89</v>
      </c>
      <c r="H1333" s="29" t="n">
        <v>3.96</v>
      </c>
      <c r="I1333" s="30" t="n">
        <v>1</v>
      </c>
      <c r="J1333" s="31" t="n">
        <f aca="false">ROUND(H1333*I1333,2)</f>
        <v>3.96</v>
      </c>
      <c r="L1333" s="32" t="n">
        <v>3.88</v>
      </c>
      <c r="M1333" s="33" t="n">
        <v>1</v>
      </c>
      <c r="N1333" s="34" t="n">
        <f aca="false">ROUND(L1333*M1333,2)</f>
        <v>3.88</v>
      </c>
    </row>
    <row r="1334" customFormat="false" ht="15" hidden="false" customHeight="false" outlineLevel="0" collapsed="false">
      <c r="A1334" s="37" t="s">
        <v>269</v>
      </c>
      <c r="F1334" s="38" t="n">
        <f aca="false">ROUND((SUM(F1326:F1333)-F1333)*1.1+F1333,2)</f>
        <v>91.2</v>
      </c>
      <c r="J1334" s="39" t="n">
        <f aca="false">ROUND(SUM(J1326:J1333),2)</f>
        <v>84.62</v>
      </c>
      <c r="N1334" s="40" t="n">
        <f aca="false">ROUND(SUM(N1326:N1333),2)</f>
        <v>82.87</v>
      </c>
    </row>
    <row r="1335" customFormat="false" ht="15" hidden="false" customHeight="false" outlineLevel="0" collapsed="false">
      <c r="A1335" s="15" t="s">
        <v>270</v>
      </c>
      <c r="B1335" s="41" t="n">
        <f aca="false">IF((F1328+F1326+F1330+F1327+F1329)=0,"",((F1328+F1326+F1330+F1327+F1329)-(B1328*D1328+B1326*D1326+B1330*D1330+B1327*D1327+B1329*D1329))/(F1328+F1326+F1330+F1327+F1329))</f>
        <v>0.085535830240821</v>
      </c>
      <c r="D1335" s="42" t="str">
        <f aca="false">IF(B1335="","SIN PC",IF(B1335&gt;=Detalle!$G$1,"APROBAR",IF(B1335&gt;=0.2,"REVISAR","RECHAZAR")))</f>
        <v>RECHAZAR</v>
      </c>
      <c r="E1335" s="42"/>
      <c r="F1335" s="42"/>
    </row>
    <row r="1337" customFormat="false" ht="15" hidden="false" customHeight="false" outlineLevel="0" collapsed="false">
      <c r="A1337" s="11" t="s">
        <v>860</v>
      </c>
      <c r="B1337" s="11"/>
      <c r="C1337" s="11"/>
      <c r="D1337" s="11"/>
      <c r="E1337" s="11"/>
      <c r="F1337" s="11"/>
      <c r="H1337" s="11" t="s">
        <v>861</v>
      </c>
      <c r="I1337" s="11"/>
      <c r="J1337" s="11"/>
      <c r="K1337" s="11"/>
      <c r="L1337" s="11"/>
      <c r="M1337" s="11"/>
      <c r="N1337" s="11"/>
      <c r="P1337" s="14" t="s">
        <v>246</v>
      </c>
    </row>
    <row r="1338" customFormat="false" ht="15" hidden="false" customHeight="false" outlineLevel="0" collapsed="false">
      <c r="A1338" s="15" t="s">
        <v>247</v>
      </c>
      <c r="B1338" s="16" t="s">
        <v>248</v>
      </c>
      <c r="C1338" s="17"/>
      <c r="D1338" s="17"/>
      <c r="E1338" s="17"/>
      <c r="F1338" s="17"/>
      <c r="H1338" s="18" t="s">
        <v>862</v>
      </c>
      <c r="I1338" s="19"/>
      <c r="J1338" s="19"/>
      <c r="L1338" s="20" t="s">
        <v>863</v>
      </c>
      <c r="M1338" s="21"/>
      <c r="N1338" s="21"/>
      <c r="P1338" s="14" t="s">
        <v>864</v>
      </c>
    </row>
    <row r="1339" customFormat="false" ht="15" hidden="false" customHeight="false" outlineLevel="0" collapsed="false">
      <c r="B1339" s="3" t="s">
        <v>252</v>
      </c>
      <c r="C1339" s="3" t="s">
        <v>253</v>
      </c>
      <c r="D1339" s="3" t="s">
        <v>254</v>
      </c>
      <c r="E1339" s="3" t="s">
        <v>255</v>
      </c>
      <c r="F1339" s="3" t="s">
        <v>256</v>
      </c>
      <c r="H1339" s="22" t="s">
        <v>252</v>
      </c>
      <c r="I1339" s="22" t="s">
        <v>255</v>
      </c>
      <c r="J1339" s="22" t="s">
        <v>256</v>
      </c>
      <c r="L1339" s="23" t="s">
        <v>252</v>
      </c>
      <c r="M1339" s="23" t="s">
        <v>255</v>
      </c>
      <c r="N1339" s="23" t="s">
        <v>256</v>
      </c>
      <c r="P1339" s="14" t="s">
        <v>865</v>
      </c>
    </row>
    <row r="1340" customFormat="false" ht="15" hidden="false" customHeight="false" outlineLevel="0" collapsed="false">
      <c r="A1340" s="24" t="s">
        <v>258</v>
      </c>
      <c r="B1340" s="25" t="n">
        <v>10.392</v>
      </c>
      <c r="C1340" s="25" t="n">
        <v>30</v>
      </c>
      <c r="D1340" s="26" t="n">
        <v>3.68919</v>
      </c>
      <c r="E1340" s="27" t="n">
        <v>3.85</v>
      </c>
      <c r="F1340" s="28" t="n">
        <f aca="false">ROUND(B1340*E1340,2)</f>
        <v>40.01</v>
      </c>
      <c r="H1340" s="29" t="n">
        <v>10.392</v>
      </c>
      <c r="I1340" s="30" t="n">
        <v>3.85</v>
      </c>
      <c r="J1340" s="31" t="n">
        <f aca="false">ROUND(H1340*I1340,2)</f>
        <v>40.01</v>
      </c>
      <c r="L1340" s="32" t="n">
        <v>10.392</v>
      </c>
      <c r="M1340" s="33" t="n">
        <v>3.85</v>
      </c>
      <c r="N1340" s="34" t="n">
        <f aca="false">ROUND(L1340*M1340,2)</f>
        <v>40.01</v>
      </c>
      <c r="P1340" s="35" t="s">
        <v>866</v>
      </c>
    </row>
    <row r="1341" customFormat="false" ht="15" hidden="false" customHeight="false" outlineLevel="0" collapsed="false">
      <c r="A1341" s="24" t="s">
        <v>260</v>
      </c>
      <c r="B1341" s="25" t="n">
        <v>10.392</v>
      </c>
      <c r="C1341" s="25" t="n">
        <v>30</v>
      </c>
      <c r="D1341" s="26" t="n">
        <v>1.31928</v>
      </c>
      <c r="E1341" s="27" t="n">
        <v>1.33</v>
      </c>
      <c r="F1341" s="28" t="n">
        <f aca="false">ROUND(B1341*E1341,2)</f>
        <v>13.82</v>
      </c>
      <c r="H1341" s="29" t="n">
        <v>10.392</v>
      </c>
      <c r="I1341" s="30" t="n">
        <v>1.33</v>
      </c>
      <c r="J1341" s="31" t="n">
        <f aca="false">ROUND(H1341*I1341,2)</f>
        <v>13.82</v>
      </c>
      <c r="L1341" s="32" t="n">
        <v>10.392</v>
      </c>
      <c r="M1341" s="33" t="n">
        <v>1.33</v>
      </c>
      <c r="N1341" s="34" t="n">
        <f aca="false">ROUND(L1341*M1341,2)</f>
        <v>13.82</v>
      </c>
      <c r="P1341" s="36" t="s">
        <v>261</v>
      </c>
    </row>
    <row r="1342" customFormat="false" ht="15" hidden="false" customHeight="false" outlineLevel="0" collapsed="false">
      <c r="A1342" s="24" t="s">
        <v>262</v>
      </c>
      <c r="B1342" s="25" t="n">
        <v>79.094</v>
      </c>
      <c r="C1342" s="25" t="n">
        <v>30</v>
      </c>
      <c r="D1342" s="26" t="n">
        <v>0.111171</v>
      </c>
      <c r="E1342" s="27" t="n">
        <v>0.13788</v>
      </c>
      <c r="F1342" s="28" t="n">
        <f aca="false">ROUND(B1342*E1342,2)</f>
        <v>10.91</v>
      </c>
      <c r="H1342" s="29" t="n">
        <v>103.876</v>
      </c>
      <c r="I1342" s="30" t="n">
        <v>0.13788</v>
      </c>
      <c r="J1342" s="31" t="n">
        <f aca="false">ROUND(H1342*I1342,2)</f>
        <v>14.32</v>
      </c>
      <c r="L1342" s="32" t="n">
        <v>65.746</v>
      </c>
      <c r="M1342" s="33" t="n">
        <v>0.13788</v>
      </c>
      <c r="N1342" s="34" t="n">
        <f aca="false">ROUND(L1342*M1342,2)</f>
        <v>9.07</v>
      </c>
      <c r="P1342" s="35" t="s">
        <v>867</v>
      </c>
    </row>
    <row r="1343" customFormat="false" ht="15" hidden="false" customHeight="false" outlineLevel="0" collapsed="false">
      <c r="A1343" s="24" t="s">
        <v>264</v>
      </c>
      <c r="B1343" s="25" t="n">
        <v>86.546</v>
      </c>
      <c r="C1343" s="25" t="n">
        <v>30</v>
      </c>
      <c r="D1343" s="26" t="n">
        <v>0.111171</v>
      </c>
      <c r="E1343" s="27" t="n">
        <v>0.13788</v>
      </c>
      <c r="F1343" s="28" t="n">
        <f aca="false">ROUND(B1343*E1343,2)</f>
        <v>11.93</v>
      </c>
      <c r="H1343" s="29" t="n">
        <v>99.261</v>
      </c>
      <c r="I1343" s="30" t="n">
        <v>0.13788</v>
      </c>
      <c r="J1343" s="31" t="n">
        <f aca="false">ROUND(H1343*I1343,2)</f>
        <v>13.69</v>
      </c>
      <c r="L1343" s="32" t="n">
        <v>75.474</v>
      </c>
      <c r="M1343" s="33" t="n">
        <v>0.13788</v>
      </c>
      <c r="N1343" s="34" t="n">
        <f aca="false">ROUND(L1343*M1343,2)</f>
        <v>10.41</v>
      </c>
    </row>
    <row r="1344" customFormat="false" ht="15" hidden="false" customHeight="false" outlineLevel="0" collapsed="false">
      <c r="A1344" s="24" t="s">
        <v>265</v>
      </c>
      <c r="B1344" s="25" t="n">
        <v>69.462</v>
      </c>
      <c r="C1344" s="25" t="n">
        <v>30</v>
      </c>
      <c r="D1344" s="26" t="n">
        <v>0.111171</v>
      </c>
      <c r="E1344" s="27" t="n">
        <v>0.13788</v>
      </c>
      <c r="F1344" s="28" t="n">
        <f aca="false">ROUND(B1344*E1344,2)</f>
        <v>9.58</v>
      </c>
      <c r="H1344" s="29" t="n">
        <v>52.48</v>
      </c>
      <c r="I1344" s="30" t="n">
        <v>0.13788</v>
      </c>
      <c r="J1344" s="31" t="n">
        <f aca="false">ROUND(H1344*I1344,2)</f>
        <v>7.24</v>
      </c>
      <c r="L1344" s="32" t="n">
        <v>62.344</v>
      </c>
      <c r="M1344" s="33" t="n">
        <v>0.13788</v>
      </c>
      <c r="N1344" s="34" t="n">
        <f aca="false">ROUND(L1344*M1344,2)</f>
        <v>8.6</v>
      </c>
    </row>
    <row r="1345" customFormat="false" ht="15" hidden="false" customHeight="false" outlineLevel="0" collapsed="false">
      <c r="A1345" s="24" t="s">
        <v>266</v>
      </c>
      <c r="B1345" s="25" t="n">
        <v>1</v>
      </c>
      <c r="C1345" s="25" t="n">
        <v>30</v>
      </c>
      <c r="D1345" s="26" t="n">
        <v>1.3414</v>
      </c>
      <c r="E1345" s="27" t="n">
        <v>3</v>
      </c>
      <c r="F1345" s="28" t="n">
        <f aca="false">ROUND(B1345*E1345,2)</f>
        <v>3</v>
      </c>
      <c r="H1345" s="29" t="n">
        <v>1</v>
      </c>
      <c r="I1345" s="30" t="n">
        <v>3</v>
      </c>
      <c r="J1345" s="31" t="n">
        <f aca="false">ROUND(H1345*I1345,2)</f>
        <v>3</v>
      </c>
      <c r="L1345" s="32" t="n">
        <v>1</v>
      </c>
      <c r="M1345" s="33" t="n">
        <v>3</v>
      </c>
      <c r="N1345" s="34" t="n">
        <f aca="false">ROUND(L1345*M1345,2)</f>
        <v>3</v>
      </c>
    </row>
    <row r="1346" customFormat="false" ht="15" hidden="false" customHeight="false" outlineLevel="0" collapsed="false">
      <c r="A1346" s="24" t="s">
        <v>267</v>
      </c>
      <c r="B1346" s="25" t="n">
        <v>30</v>
      </c>
      <c r="C1346" s="25" t="n">
        <v>30</v>
      </c>
      <c r="D1346" s="26" t="n">
        <v>0.5736</v>
      </c>
      <c r="E1346" s="27" t="n">
        <v>0.01274</v>
      </c>
      <c r="F1346" s="28" t="n">
        <f aca="false">ROUND(B1346*E1346,2)</f>
        <v>0.38</v>
      </c>
      <c r="H1346" s="29" t="n">
        <v>30</v>
      </c>
      <c r="I1346" s="30" t="n">
        <v>0.01274</v>
      </c>
      <c r="J1346" s="31" t="n">
        <f aca="false">ROUND(H1346*I1346,2)</f>
        <v>0.38</v>
      </c>
      <c r="L1346" s="32" t="n">
        <v>30</v>
      </c>
      <c r="M1346" s="33" t="n">
        <v>0.00629</v>
      </c>
      <c r="N1346" s="34" t="n">
        <f aca="false">ROUND(L1346*M1346,2)</f>
        <v>0.19</v>
      </c>
    </row>
    <row r="1347" customFormat="false" ht="15" hidden="false" customHeight="false" outlineLevel="0" collapsed="false">
      <c r="A1347" s="24" t="s">
        <v>268</v>
      </c>
      <c r="B1347" s="25" t="n">
        <v>4.42</v>
      </c>
      <c r="C1347" s="25" t="n">
        <v>30</v>
      </c>
      <c r="D1347" s="26" t="n">
        <v>0.02671</v>
      </c>
      <c r="E1347" s="27" t="n">
        <v>1</v>
      </c>
      <c r="F1347" s="28" t="n">
        <f aca="false">ROUND(B1347*E1347,2)</f>
        <v>4.42</v>
      </c>
      <c r="H1347" s="29" t="n">
        <v>4.56</v>
      </c>
      <c r="I1347" s="30" t="n">
        <v>1</v>
      </c>
      <c r="J1347" s="31" t="n">
        <f aca="false">ROUND(H1347*I1347,2)</f>
        <v>4.56</v>
      </c>
      <c r="L1347" s="32" t="n">
        <v>4.2</v>
      </c>
      <c r="M1347" s="33" t="n">
        <v>1</v>
      </c>
      <c r="N1347" s="34" t="n">
        <f aca="false">ROUND(L1347*M1347,2)</f>
        <v>4.2</v>
      </c>
    </row>
    <row r="1348" customFormat="false" ht="15" hidden="false" customHeight="false" outlineLevel="0" collapsed="false">
      <c r="A1348" s="37" t="s">
        <v>269</v>
      </c>
      <c r="F1348" s="38" t="n">
        <f aca="false">ROUND((SUM(F1340:F1347)-F1347)*1.1+F1347,2)</f>
        <v>103.01</v>
      </c>
      <c r="J1348" s="39" t="n">
        <f aca="false">ROUND(SUM(J1340:J1347),2)</f>
        <v>97.02</v>
      </c>
      <c r="N1348" s="40" t="n">
        <f aca="false">ROUND(SUM(N1340:N1347),2)</f>
        <v>89.3</v>
      </c>
    </row>
    <row r="1349" customFormat="false" ht="15" hidden="false" customHeight="false" outlineLevel="0" collapsed="false">
      <c r="A1349" s="15" t="s">
        <v>270</v>
      </c>
      <c r="B1349" s="41" t="n">
        <f aca="false">IF((F1342+F1340+F1344+F1341+F1343)=0,"",((F1342+F1340+F1344+F1341+F1343)-(B1342*D1342+B1340*D1340+B1344*D1344+B1341*D1341+B1343*D1343))/(F1342+F1340+F1344+F1341+F1343))</f>
        <v>0.0935125254260869</v>
      </c>
      <c r="D1349" s="42" t="str">
        <f aca="false">IF(B1349="","SIN PC",IF(B1349&gt;=Detalle!$G$1,"APROBAR",IF(B1349&gt;=0.2,"REVISAR","RECHAZAR")))</f>
        <v>RECHAZAR</v>
      </c>
      <c r="E1349" s="42"/>
      <c r="F1349" s="42"/>
    </row>
    <row r="1351" customFormat="false" ht="15" hidden="false" customHeight="false" outlineLevel="0" collapsed="false">
      <c r="A1351" s="11" t="s">
        <v>868</v>
      </c>
      <c r="B1351" s="11"/>
      <c r="C1351" s="11"/>
      <c r="D1351" s="11"/>
      <c r="E1351" s="11"/>
      <c r="F1351" s="11"/>
      <c r="H1351" s="11" t="s">
        <v>869</v>
      </c>
      <c r="I1351" s="11"/>
      <c r="J1351" s="11"/>
      <c r="K1351" s="11"/>
      <c r="L1351" s="11"/>
      <c r="M1351" s="11"/>
      <c r="N1351" s="11"/>
      <c r="P1351" s="14" t="s">
        <v>246</v>
      </c>
    </row>
    <row r="1352" customFormat="false" ht="15" hidden="false" customHeight="false" outlineLevel="0" collapsed="false">
      <c r="A1352" s="15" t="s">
        <v>247</v>
      </c>
      <c r="B1352" s="16" t="s">
        <v>248</v>
      </c>
      <c r="C1352" s="17"/>
      <c r="D1352" s="17"/>
      <c r="E1352" s="17"/>
      <c r="F1352" s="17"/>
      <c r="H1352" s="18" t="s">
        <v>870</v>
      </c>
      <c r="I1352" s="19"/>
      <c r="J1352" s="19"/>
      <c r="L1352" s="20" t="s">
        <v>871</v>
      </c>
      <c r="M1352" s="21"/>
      <c r="N1352" s="21"/>
      <c r="P1352" s="14" t="s">
        <v>872</v>
      </c>
    </row>
    <row r="1353" customFormat="false" ht="15" hidden="false" customHeight="false" outlineLevel="0" collapsed="false">
      <c r="B1353" s="3" t="s">
        <v>252</v>
      </c>
      <c r="C1353" s="3" t="s">
        <v>253</v>
      </c>
      <c r="D1353" s="3" t="s">
        <v>254</v>
      </c>
      <c r="E1353" s="3" t="s">
        <v>255</v>
      </c>
      <c r="F1353" s="3" t="s">
        <v>256</v>
      </c>
      <c r="H1353" s="22" t="s">
        <v>252</v>
      </c>
      <c r="I1353" s="22" t="s">
        <v>255</v>
      </c>
      <c r="J1353" s="22" t="s">
        <v>256</v>
      </c>
      <c r="L1353" s="23" t="s">
        <v>252</v>
      </c>
      <c r="M1353" s="23" t="s">
        <v>255</v>
      </c>
      <c r="N1353" s="23" t="s">
        <v>256</v>
      </c>
      <c r="P1353" s="14" t="s">
        <v>873</v>
      </c>
    </row>
    <row r="1354" customFormat="false" ht="15" hidden="false" customHeight="false" outlineLevel="0" collapsed="false">
      <c r="A1354" s="24" t="s">
        <v>258</v>
      </c>
      <c r="B1354" s="25" t="n">
        <v>4</v>
      </c>
      <c r="C1354" s="25" t="n">
        <v>30</v>
      </c>
      <c r="D1354" s="26" t="n">
        <v>3.68919</v>
      </c>
      <c r="E1354" s="27" t="n">
        <v>3.85</v>
      </c>
      <c r="F1354" s="28" t="n">
        <f aca="false">ROUND(B1354*E1354,2)</f>
        <v>15.4</v>
      </c>
      <c r="H1354" s="29" t="n">
        <v>4</v>
      </c>
      <c r="I1354" s="30" t="n">
        <v>3.85</v>
      </c>
      <c r="J1354" s="31" t="n">
        <f aca="false">ROUND(H1354*I1354,2)</f>
        <v>15.4</v>
      </c>
      <c r="L1354" s="32" t="n">
        <v>4</v>
      </c>
      <c r="M1354" s="33" t="n">
        <v>3.85</v>
      </c>
      <c r="N1354" s="34" t="n">
        <f aca="false">ROUND(L1354*M1354,2)</f>
        <v>15.4</v>
      </c>
      <c r="P1354" s="35" t="s">
        <v>874</v>
      </c>
    </row>
    <row r="1355" customFormat="false" ht="15" hidden="false" customHeight="false" outlineLevel="0" collapsed="false">
      <c r="A1355" s="24" t="s">
        <v>260</v>
      </c>
      <c r="B1355" s="25" t="n">
        <v>4</v>
      </c>
      <c r="C1355" s="25" t="n">
        <v>30</v>
      </c>
      <c r="D1355" s="26" t="n">
        <v>1.31928</v>
      </c>
      <c r="E1355" s="27" t="n">
        <v>1.33</v>
      </c>
      <c r="F1355" s="28" t="n">
        <f aca="false">ROUND(B1355*E1355,2)</f>
        <v>5.32</v>
      </c>
      <c r="H1355" s="29" t="n">
        <v>4</v>
      </c>
      <c r="I1355" s="30" t="n">
        <v>1.33</v>
      </c>
      <c r="J1355" s="31" t="n">
        <f aca="false">ROUND(H1355*I1355,2)</f>
        <v>5.32</v>
      </c>
      <c r="L1355" s="32" t="n">
        <v>4</v>
      </c>
      <c r="M1355" s="33" t="n">
        <v>1.33</v>
      </c>
      <c r="N1355" s="34" t="n">
        <f aca="false">ROUND(L1355*M1355,2)</f>
        <v>5.32</v>
      </c>
      <c r="P1355" s="36" t="s">
        <v>261</v>
      </c>
    </row>
    <row r="1356" customFormat="false" ht="15" hidden="false" customHeight="false" outlineLevel="0" collapsed="false">
      <c r="A1356" s="24" t="s">
        <v>262</v>
      </c>
      <c r="B1356" s="25" t="n">
        <v>62.414</v>
      </c>
      <c r="C1356" s="25" t="n">
        <v>30</v>
      </c>
      <c r="D1356" s="26" t="n">
        <v>0.111171</v>
      </c>
      <c r="E1356" s="27" t="n">
        <v>0.13788</v>
      </c>
      <c r="F1356" s="28" t="n">
        <f aca="false">ROUND(B1356*E1356,2)</f>
        <v>8.61</v>
      </c>
      <c r="H1356" s="29" t="n">
        <v>80.85</v>
      </c>
      <c r="I1356" s="30" t="n">
        <v>0.13788</v>
      </c>
      <c r="J1356" s="31" t="n">
        <f aca="false">ROUND(H1356*I1356,2)</f>
        <v>11.15</v>
      </c>
      <c r="L1356" s="32" t="n">
        <v>59.974</v>
      </c>
      <c r="M1356" s="33" t="n">
        <v>0.13788</v>
      </c>
      <c r="N1356" s="34" t="n">
        <f aca="false">ROUND(L1356*M1356,2)</f>
        <v>8.27</v>
      </c>
      <c r="P1356" s="35" t="s">
        <v>875</v>
      </c>
    </row>
    <row r="1357" customFormat="false" ht="15" hidden="false" customHeight="false" outlineLevel="0" collapsed="false">
      <c r="A1357" s="24" t="s">
        <v>264</v>
      </c>
      <c r="B1357" s="25" t="n">
        <v>49.451</v>
      </c>
      <c r="C1357" s="25" t="n">
        <v>30</v>
      </c>
      <c r="D1357" s="26" t="n">
        <v>0.111171</v>
      </c>
      <c r="E1357" s="27" t="n">
        <v>0.13788</v>
      </c>
      <c r="F1357" s="28" t="n">
        <f aca="false">ROUND(B1357*E1357,2)</f>
        <v>6.82</v>
      </c>
      <c r="H1357" s="29" t="n">
        <v>66.351</v>
      </c>
      <c r="I1357" s="30" t="n">
        <v>0.13788</v>
      </c>
      <c r="J1357" s="31" t="n">
        <f aca="false">ROUND(H1357*I1357,2)</f>
        <v>9.15</v>
      </c>
      <c r="L1357" s="32" t="n">
        <v>42.199</v>
      </c>
      <c r="M1357" s="33" t="n">
        <v>0.13788</v>
      </c>
      <c r="N1357" s="34" t="n">
        <f aca="false">ROUND(L1357*M1357,2)</f>
        <v>5.82</v>
      </c>
    </row>
    <row r="1358" customFormat="false" ht="15" hidden="false" customHeight="false" outlineLevel="0" collapsed="false">
      <c r="A1358" s="24" t="s">
        <v>265</v>
      </c>
      <c r="B1358" s="25" t="n">
        <v>72.068</v>
      </c>
      <c r="C1358" s="25" t="n">
        <v>30</v>
      </c>
      <c r="D1358" s="26" t="n">
        <v>0.111171</v>
      </c>
      <c r="E1358" s="27" t="n">
        <v>0.13788</v>
      </c>
      <c r="F1358" s="28" t="n">
        <f aca="false">ROUND(B1358*E1358,2)</f>
        <v>9.94</v>
      </c>
      <c r="H1358" s="29" t="n">
        <v>99.416</v>
      </c>
      <c r="I1358" s="30" t="n">
        <v>0.13788</v>
      </c>
      <c r="J1358" s="31" t="n">
        <f aca="false">ROUND(H1358*I1358,2)</f>
        <v>13.71</v>
      </c>
      <c r="L1358" s="32" t="n">
        <v>74.276</v>
      </c>
      <c r="M1358" s="33" t="n">
        <v>0.13788</v>
      </c>
      <c r="N1358" s="34" t="n">
        <f aca="false">ROUND(L1358*M1358,2)</f>
        <v>10.24</v>
      </c>
    </row>
    <row r="1359" customFormat="false" ht="15" hidden="false" customHeight="false" outlineLevel="0" collapsed="false">
      <c r="A1359" s="24" t="s">
        <v>266</v>
      </c>
      <c r="B1359" s="25" t="n">
        <v>1</v>
      </c>
      <c r="C1359" s="25" t="n">
        <v>30</v>
      </c>
      <c r="D1359" s="26" t="n">
        <v>0.7989</v>
      </c>
      <c r="E1359" s="27" t="n">
        <v>3</v>
      </c>
      <c r="F1359" s="28" t="n">
        <f aca="false">ROUND(B1359*E1359,2)</f>
        <v>3</v>
      </c>
      <c r="H1359" s="29" t="n">
        <v>1</v>
      </c>
      <c r="I1359" s="30" t="n">
        <v>3</v>
      </c>
      <c r="J1359" s="31" t="n">
        <f aca="false">ROUND(H1359*I1359,2)</f>
        <v>3</v>
      </c>
      <c r="L1359" s="32" t="n">
        <v>1</v>
      </c>
      <c r="M1359" s="33" t="n">
        <v>3</v>
      </c>
      <c r="N1359" s="34" t="n">
        <f aca="false">ROUND(L1359*M1359,2)</f>
        <v>3</v>
      </c>
    </row>
    <row r="1360" customFormat="false" ht="15" hidden="false" customHeight="false" outlineLevel="0" collapsed="false">
      <c r="A1360" s="24" t="s">
        <v>267</v>
      </c>
      <c r="B1360" s="25" t="n">
        <v>30</v>
      </c>
      <c r="C1360" s="25" t="n">
        <v>30</v>
      </c>
      <c r="D1360" s="26" t="n">
        <v>0.5736</v>
      </c>
      <c r="E1360" s="27" t="n">
        <v>0.01274</v>
      </c>
      <c r="F1360" s="28" t="n">
        <f aca="false">ROUND(B1360*E1360,2)</f>
        <v>0.38</v>
      </c>
      <c r="H1360" s="29" t="n">
        <v>30</v>
      </c>
      <c r="I1360" s="30" t="n">
        <v>0.01274</v>
      </c>
      <c r="J1360" s="31" t="n">
        <f aca="false">ROUND(H1360*I1360,2)</f>
        <v>0.38</v>
      </c>
      <c r="L1360" s="32" t="n">
        <v>30</v>
      </c>
      <c r="M1360" s="33" t="n">
        <v>0.00629</v>
      </c>
      <c r="N1360" s="34" t="n">
        <f aca="false">ROUND(L1360*M1360,2)</f>
        <v>0.19</v>
      </c>
    </row>
    <row r="1361" customFormat="false" ht="15" hidden="false" customHeight="false" outlineLevel="0" collapsed="false">
      <c r="A1361" s="24" t="s">
        <v>268</v>
      </c>
      <c r="B1361" s="25" t="n">
        <v>2.36</v>
      </c>
      <c r="C1361" s="25" t="n">
        <v>30</v>
      </c>
      <c r="D1361" s="26" t="n">
        <v>0.27312</v>
      </c>
      <c r="E1361" s="27" t="n">
        <v>1</v>
      </c>
      <c r="F1361" s="28" t="n">
        <f aca="false">ROUND(B1361*E1361,2)</f>
        <v>2.36</v>
      </c>
      <c r="H1361" s="29" t="n">
        <v>2.81</v>
      </c>
      <c r="I1361" s="30" t="n">
        <v>1</v>
      </c>
      <c r="J1361" s="31" t="n">
        <f aca="false">ROUND(H1361*I1361,2)</f>
        <v>2.81</v>
      </c>
      <c r="L1361" s="32" t="n">
        <v>2.31</v>
      </c>
      <c r="M1361" s="33" t="n">
        <v>1</v>
      </c>
      <c r="N1361" s="34" t="n">
        <f aca="false">ROUND(L1361*M1361,2)</f>
        <v>2.31</v>
      </c>
    </row>
    <row r="1362" customFormat="false" ht="15" hidden="false" customHeight="false" outlineLevel="0" collapsed="false">
      <c r="A1362" s="37" t="s">
        <v>269</v>
      </c>
      <c r="F1362" s="38" t="n">
        <f aca="false">ROUND((SUM(F1354:F1361)-F1361)*1.1+F1361,2)</f>
        <v>56.78</v>
      </c>
      <c r="J1362" s="39" t="n">
        <f aca="false">ROUND(SUM(J1354:J1361),2)</f>
        <v>60.92</v>
      </c>
      <c r="N1362" s="40" t="n">
        <f aca="false">ROUND(SUM(N1354:N1361),2)</f>
        <v>50.55</v>
      </c>
    </row>
    <row r="1363" customFormat="false" ht="15" hidden="false" customHeight="false" outlineLevel="0" collapsed="false">
      <c r="A1363" s="15" t="s">
        <v>270</v>
      </c>
      <c r="B1363" s="41" t="n">
        <f aca="false">IF((F1356+F1354+F1358+F1355+F1357)=0,"",((F1356+F1354+F1358+F1355+F1357)-(B1356*D1356+B1354*D1354+B1358*D1358+B1355*D1355+B1357*D1357))/(F1356+F1354+F1358+F1355+F1357))</f>
        <v>0.121677250097635</v>
      </c>
      <c r="D1363" s="42" t="str">
        <f aca="false">IF(B1363="","SIN PC",IF(B1363&gt;=Detalle!$G$1,"APROBAR",IF(B1363&gt;=0.2,"REVISAR","RECHAZAR")))</f>
        <v>RECHAZAR</v>
      </c>
      <c r="E1363" s="42"/>
      <c r="F1363" s="42"/>
    </row>
    <row r="1365" customFormat="false" ht="15" hidden="false" customHeight="false" outlineLevel="0" collapsed="false">
      <c r="A1365" s="11" t="s">
        <v>876</v>
      </c>
      <c r="B1365" s="11"/>
      <c r="C1365" s="11"/>
      <c r="D1365" s="11"/>
      <c r="E1365" s="11"/>
      <c r="F1365" s="11"/>
      <c r="H1365" s="11" t="s">
        <v>387</v>
      </c>
      <c r="I1365" s="11"/>
      <c r="J1365" s="11"/>
      <c r="K1365" s="11"/>
      <c r="L1365" s="11"/>
      <c r="M1365" s="11"/>
      <c r="N1365" s="11"/>
      <c r="P1365" s="14" t="s">
        <v>246</v>
      </c>
    </row>
    <row r="1366" customFormat="false" ht="15" hidden="false" customHeight="false" outlineLevel="0" collapsed="false">
      <c r="A1366" s="15" t="s">
        <v>247</v>
      </c>
      <c r="B1366" s="16" t="s">
        <v>248</v>
      </c>
      <c r="C1366" s="17"/>
      <c r="D1366" s="17"/>
      <c r="E1366" s="17"/>
      <c r="F1366" s="17"/>
      <c r="H1366" s="18" t="s">
        <v>388</v>
      </c>
      <c r="I1366" s="19"/>
      <c r="J1366" s="19"/>
      <c r="L1366" s="20" t="s">
        <v>389</v>
      </c>
      <c r="M1366" s="21"/>
      <c r="N1366" s="21"/>
      <c r="P1366" s="14" t="s">
        <v>390</v>
      </c>
    </row>
    <row r="1367" customFormat="false" ht="15" hidden="false" customHeight="false" outlineLevel="0" collapsed="false">
      <c r="B1367" s="3" t="s">
        <v>252</v>
      </c>
      <c r="C1367" s="3" t="s">
        <v>253</v>
      </c>
      <c r="D1367" s="3" t="s">
        <v>254</v>
      </c>
      <c r="E1367" s="3" t="s">
        <v>255</v>
      </c>
      <c r="F1367" s="3" t="s">
        <v>256</v>
      </c>
      <c r="H1367" s="22" t="s">
        <v>252</v>
      </c>
      <c r="I1367" s="22" t="s">
        <v>255</v>
      </c>
      <c r="J1367" s="22" t="s">
        <v>256</v>
      </c>
      <c r="L1367" s="23" t="s">
        <v>252</v>
      </c>
      <c r="M1367" s="23" t="s">
        <v>255</v>
      </c>
      <c r="N1367" s="23" t="s">
        <v>256</v>
      </c>
      <c r="P1367" s="14" t="s">
        <v>391</v>
      </c>
    </row>
    <row r="1368" customFormat="false" ht="15" hidden="false" customHeight="false" outlineLevel="0" collapsed="false">
      <c r="A1368" s="24" t="s">
        <v>258</v>
      </c>
      <c r="B1368" s="25" t="n">
        <v>13.2</v>
      </c>
      <c r="C1368" s="25" t="n">
        <v>30</v>
      </c>
      <c r="D1368" s="26" t="n">
        <v>3.68919</v>
      </c>
      <c r="E1368" s="27" t="n">
        <v>3.85</v>
      </c>
      <c r="F1368" s="28" t="n">
        <f aca="false">ROUND(B1368*E1368,2)</f>
        <v>50.82</v>
      </c>
      <c r="H1368" s="29" t="n">
        <v>13.2</v>
      </c>
      <c r="I1368" s="30" t="n">
        <v>3.85</v>
      </c>
      <c r="J1368" s="31" t="n">
        <f aca="false">ROUND(H1368*I1368,2)</f>
        <v>50.82</v>
      </c>
      <c r="L1368" s="32" t="n">
        <v>13.2</v>
      </c>
      <c r="M1368" s="33" t="n">
        <v>3.85</v>
      </c>
      <c r="N1368" s="34" t="n">
        <f aca="false">ROUND(L1368*M1368,2)</f>
        <v>50.82</v>
      </c>
      <c r="P1368" s="35" t="s">
        <v>392</v>
      </c>
    </row>
    <row r="1369" customFormat="false" ht="15" hidden="false" customHeight="false" outlineLevel="0" collapsed="false">
      <c r="A1369" s="24" t="s">
        <v>260</v>
      </c>
      <c r="B1369" s="25" t="n">
        <v>13.2</v>
      </c>
      <c r="C1369" s="25" t="n">
        <v>30</v>
      </c>
      <c r="D1369" s="26" t="n">
        <v>1.31928</v>
      </c>
      <c r="E1369" s="27" t="n">
        <v>1.33</v>
      </c>
      <c r="F1369" s="28" t="n">
        <f aca="false">ROUND(B1369*E1369,2)</f>
        <v>17.56</v>
      </c>
      <c r="H1369" s="29" t="n">
        <v>13.2</v>
      </c>
      <c r="I1369" s="30" t="n">
        <v>1.33</v>
      </c>
      <c r="J1369" s="31" t="n">
        <f aca="false">ROUND(H1369*I1369,2)</f>
        <v>17.56</v>
      </c>
      <c r="L1369" s="32" t="n">
        <v>13.2</v>
      </c>
      <c r="M1369" s="33" t="n">
        <v>1.33</v>
      </c>
      <c r="N1369" s="34" t="n">
        <f aca="false">ROUND(L1369*M1369,2)</f>
        <v>17.56</v>
      </c>
      <c r="P1369" s="36" t="s">
        <v>261</v>
      </c>
    </row>
    <row r="1370" customFormat="false" ht="15" hidden="false" customHeight="false" outlineLevel="0" collapsed="false">
      <c r="A1370" s="24" t="s">
        <v>262</v>
      </c>
      <c r="B1370" s="25" t="n">
        <v>258.488</v>
      </c>
      <c r="C1370" s="25" t="n">
        <v>30</v>
      </c>
      <c r="D1370" s="26" t="n">
        <v>0.111171</v>
      </c>
      <c r="E1370" s="27" t="n">
        <v>0.13788</v>
      </c>
      <c r="F1370" s="28" t="n">
        <f aca="false">ROUND(B1370*E1370,2)</f>
        <v>35.64</v>
      </c>
      <c r="H1370" s="29" t="n">
        <v>442.536</v>
      </c>
      <c r="I1370" s="30" t="n">
        <v>0.129</v>
      </c>
      <c r="J1370" s="31" t="n">
        <f aca="false">ROUND(H1370*I1370,2)</f>
        <v>57.09</v>
      </c>
      <c r="L1370" s="32" t="n">
        <v>256.232</v>
      </c>
      <c r="M1370" s="33" t="n">
        <v>0.13788</v>
      </c>
      <c r="N1370" s="34" t="n">
        <f aca="false">ROUND(L1370*M1370,2)</f>
        <v>35.33</v>
      </c>
      <c r="P1370" s="35" t="s">
        <v>393</v>
      </c>
    </row>
    <row r="1371" customFormat="false" ht="15" hidden="false" customHeight="false" outlineLevel="0" collapsed="false">
      <c r="A1371" s="24" t="s">
        <v>264</v>
      </c>
      <c r="B1371" s="25" t="n">
        <v>305.423</v>
      </c>
      <c r="C1371" s="25" t="n">
        <v>30</v>
      </c>
      <c r="D1371" s="26" t="n">
        <v>0.111171</v>
      </c>
      <c r="E1371" s="27" t="n">
        <v>0.13788</v>
      </c>
      <c r="F1371" s="28" t="n">
        <f aca="false">ROUND(B1371*E1371,2)</f>
        <v>42.11</v>
      </c>
      <c r="H1371" s="29" t="n">
        <v>441.527</v>
      </c>
      <c r="I1371" s="30" t="n">
        <v>0.129</v>
      </c>
      <c r="J1371" s="31" t="n">
        <f aca="false">ROUND(H1371*I1371,2)</f>
        <v>56.96</v>
      </c>
      <c r="L1371" s="32" t="n">
        <v>333.72</v>
      </c>
      <c r="M1371" s="33" t="n">
        <v>0.13788</v>
      </c>
      <c r="N1371" s="34" t="n">
        <f aca="false">ROUND(L1371*M1371,2)</f>
        <v>46.01</v>
      </c>
    </row>
    <row r="1372" customFormat="false" ht="15" hidden="false" customHeight="false" outlineLevel="0" collapsed="false">
      <c r="A1372" s="24" t="s">
        <v>265</v>
      </c>
      <c r="B1372" s="25" t="n">
        <v>326.737</v>
      </c>
      <c r="C1372" s="25" t="n">
        <v>30</v>
      </c>
      <c r="D1372" s="26" t="n">
        <v>0.111171</v>
      </c>
      <c r="E1372" s="27" t="n">
        <v>0.13788</v>
      </c>
      <c r="F1372" s="28" t="n">
        <f aca="false">ROUND(B1372*E1372,2)</f>
        <v>45.05</v>
      </c>
      <c r="H1372" s="29" t="n">
        <v>295.773</v>
      </c>
      <c r="I1372" s="30" t="n">
        <v>0.129</v>
      </c>
      <c r="J1372" s="31" t="n">
        <f aca="false">ROUND(H1372*I1372,2)</f>
        <v>38.15</v>
      </c>
      <c r="L1372" s="32" t="n">
        <v>202.335</v>
      </c>
      <c r="M1372" s="33" t="n">
        <v>0.13788</v>
      </c>
      <c r="N1372" s="34" t="n">
        <f aca="false">ROUND(L1372*M1372,2)</f>
        <v>27.9</v>
      </c>
    </row>
    <row r="1373" customFormat="false" ht="15" hidden="false" customHeight="false" outlineLevel="0" collapsed="false">
      <c r="A1373" s="24" t="s">
        <v>266</v>
      </c>
      <c r="B1373" s="25" t="n">
        <v>1</v>
      </c>
      <c r="C1373" s="25" t="n">
        <v>30</v>
      </c>
      <c r="D1373" s="26" t="n">
        <v>1.3414</v>
      </c>
      <c r="E1373" s="27" t="n">
        <v>3</v>
      </c>
      <c r="F1373" s="28" t="n">
        <f aca="false">ROUND(B1373*E1373,2)</f>
        <v>3</v>
      </c>
      <c r="H1373" s="29" t="n">
        <v>1</v>
      </c>
      <c r="I1373" s="30" t="n">
        <v>3</v>
      </c>
      <c r="J1373" s="31" t="n">
        <f aca="false">ROUND(H1373*I1373,2)</f>
        <v>3</v>
      </c>
      <c r="L1373" s="32" t="n">
        <v>1</v>
      </c>
      <c r="M1373" s="33" t="n">
        <v>3</v>
      </c>
      <c r="N1373" s="34" t="n">
        <f aca="false">ROUND(L1373*M1373,2)</f>
        <v>3</v>
      </c>
    </row>
    <row r="1374" customFormat="false" ht="15" hidden="false" customHeight="false" outlineLevel="0" collapsed="false">
      <c r="A1374" s="24" t="s">
        <v>267</v>
      </c>
      <c r="B1374" s="25" t="n">
        <v>30</v>
      </c>
      <c r="C1374" s="25" t="n">
        <v>30</v>
      </c>
      <c r="D1374" s="26" t="n">
        <v>0.5736</v>
      </c>
      <c r="E1374" s="27" t="n">
        <v>0.01274</v>
      </c>
      <c r="F1374" s="28" t="n">
        <f aca="false">ROUND(B1374*E1374,2)</f>
        <v>0.38</v>
      </c>
      <c r="H1374" s="29" t="n">
        <v>30</v>
      </c>
      <c r="I1374" s="30" t="n">
        <v>0.01274</v>
      </c>
      <c r="J1374" s="31" t="n">
        <f aca="false">ROUND(H1374*I1374,2)</f>
        <v>0.38</v>
      </c>
      <c r="L1374" s="32" t="n">
        <v>30</v>
      </c>
      <c r="M1374" s="33" t="n">
        <v>0.00629</v>
      </c>
      <c r="N1374" s="34" t="n">
        <f aca="false">ROUND(L1374*M1374,2)</f>
        <v>0.19</v>
      </c>
    </row>
    <row r="1375" customFormat="false" ht="15" hidden="false" customHeight="false" outlineLevel="0" collapsed="false">
      <c r="A1375" s="24" t="s">
        <v>268</v>
      </c>
      <c r="B1375" s="25" t="n">
        <v>9.78</v>
      </c>
      <c r="C1375" s="25" t="n">
        <v>30</v>
      </c>
      <c r="D1375" s="26" t="n">
        <v>0.27312</v>
      </c>
      <c r="E1375" s="27" t="n">
        <v>1</v>
      </c>
      <c r="F1375" s="28" t="n">
        <f aca="false">ROUND(B1375*E1375,2)</f>
        <v>9.78</v>
      </c>
      <c r="H1375" s="29" t="n">
        <v>12.04</v>
      </c>
      <c r="I1375" s="30" t="n">
        <v>1</v>
      </c>
      <c r="J1375" s="31" t="n">
        <f aca="false">ROUND(H1375*I1375,2)</f>
        <v>12.04</v>
      </c>
      <c r="L1375" s="32" t="n">
        <v>9.09</v>
      </c>
      <c r="M1375" s="33" t="n">
        <v>1</v>
      </c>
      <c r="N1375" s="34" t="n">
        <f aca="false">ROUND(L1375*M1375,2)</f>
        <v>9.09</v>
      </c>
    </row>
    <row r="1376" customFormat="false" ht="15" hidden="false" customHeight="false" outlineLevel="0" collapsed="false">
      <c r="A1376" s="37" t="s">
        <v>269</v>
      </c>
      <c r="F1376" s="38" t="n">
        <f aca="false">ROUND((SUM(F1368:F1375)-F1375)*1.1+F1375,2)</f>
        <v>223.8</v>
      </c>
      <c r="J1376" s="39" t="n">
        <f aca="false">ROUND(SUM(J1368:J1375),2)</f>
        <v>236</v>
      </c>
      <c r="N1376" s="40" t="n">
        <f aca="false">ROUND(SUM(N1368:N1375),2)</f>
        <v>189.9</v>
      </c>
    </row>
    <row r="1377" customFormat="false" ht="15" hidden="false" customHeight="false" outlineLevel="0" collapsed="false">
      <c r="A1377" s="15" t="s">
        <v>270</v>
      </c>
      <c r="B1377" s="41" t="n">
        <f aca="false">IF((F1370+F1368+F1372+F1369+F1371)=0,"",((F1370+F1368+F1372+F1369+F1371)-(B1370*D1370+B1368*D1368+B1372*D1372+B1369*D1369+B1371*D1371))/(F1370+F1368+F1372+F1369+F1371))</f>
        <v>0.136279773993096</v>
      </c>
      <c r="D1377" s="42" t="str">
        <f aca="false">IF(B1377="","SIN PC",IF(B1377&gt;=Detalle!$G$1,"APROBAR",IF(B1377&gt;=0.2,"REVISAR","RECHAZAR")))</f>
        <v>RECHAZAR</v>
      </c>
      <c r="E1377" s="42"/>
      <c r="F1377" s="42"/>
    </row>
    <row r="1379" customFormat="false" ht="15" hidden="false" customHeight="false" outlineLevel="0" collapsed="false">
      <c r="A1379" s="11" t="s">
        <v>877</v>
      </c>
      <c r="B1379" s="11"/>
      <c r="C1379" s="11"/>
      <c r="D1379" s="11"/>
      <c r="E1379" s="11"/>
      <c r="F1379" s="11"/>
      <c r="H1379" s="11" t="s">
        <v>878</v>
      </c>
      <c r="I1379" s="11"/>
      <c r="J1379" s="11"/>
      <c r="K1379" s="11"/>
      <c r="L1379" s="11"/>
      <c r="M1379" s="11"/>
      <c r="N1379" s="11"/>
      <c r="P1379" s="14" t="s">
        <v>246</v>
      </c>
    </row>
    <row r="1380" customFormat="false" ht="15" hidden="false" customHeight="false" outlineLevel="0" collapsed="false">
      <c r="A1380" s="15" t="s">
        <v>247</v>
      </c>
      <c r="B1380" s="16" t="s">
        <v>248</v>
      </c>
      <c r="C1380" s="17"/>
      <c r="D1380" s="17"/>
      <c r="E1380" s="17"/>
      <c r="F1380" s="17"/>
      <c r="H1380" s="18" t="s">
        <v>879</v>
      </c>
      <c r="I1380" s="19"/>
      <c r="J1380" s="19"/>
      <c r="L1380" s="20" t="s">
        <v>880</v>
      </c>
      <c r="M1380" s="21"/>
      <c r="N1380" s="21"/>
      <c r="P1380" s="14" t="s">
        <v>881</v>
      </c>
    </row>
    <row r="1381" customFormat="false" ht="15" hidden="false" customHeight="false" outlineLevel="0" collapsed="false">
      <c r="B1381" s="3" t="s">
        <v>252</v>
      </c>
      <c r="C1381" s="3" t="s">
        <v>253</v>
      </c>
      <c r="D1381" s="3" t="s">
        <v>254</v>
      </c>
      <c r="E1381" s="3" t="s">
        <v>255</v>
      </c>
      <c r="F1381" s="3" t="s">
        <v>256</v>
      </c>
      <c r="H1381" s="22" t="s">
        <v>252</v>
      </c>
      <c r="I1381" s="22" t="s">
        <v>255</v>
      </c>
      <c r="J1381" s="22" t="s">
        <v>256</v>
      </c>
      <c r="L1381" s="23" t="s">
        <v>252</v>
      </c>
      <c r="M1381" s="23" t="s">
        <v>255</v>
      </c>
      <c r="N1381" s="23" t="s">
        <v>256</v>
      </c>
      <c r="P1381" s="14" t="s">
        <v>882</v>
      </c>
    </row>
    <row r="1382" customFormat="false" ht="15" hidden="false" customHeight="false" outlineLevel="0" collapsed="false">
      <c r="A1382" s="24" t="s">
        <v>258</v>
      </c>
      <c r="B1382" s="25" t="n">
        <v>10</v>
      </c>
      <c r="C1382" s="25" t="n">
        <v>30</v>
      </c>
      <c r="D1382" s="26" t="n">
        <v>3.68919</v>
      </c>
      <c r="E1382" s="27" t="n">
        <v>3.85</v>
      </c>
      <c r="F1382" s="28" t="n">
        <f aca="false">ROUND(B1382*E1382,2)</f>
        <v>38.5</v>
      </c>
      <c r="H1382" s="29" t="n">
        <v>10</v>
      </c>
      <c r="I1382" s="30" t="n">
        <v>3.85</v>
      </c>
      <c r="J1382" s="31" t="n">
        <f aca="false">ROUND(H1382*I1382,2)</f>
        <v>38.5</v>
      </c>
      <c r="L1382" s="32" t="n">
        <v>10</v>
      </c>
      <c r="M1382" s="33" t="n">
        <v>3.85</v>
      </c>
      <c r="N1382" s="34" t="n">
        <f aca="false">ROUND(L1382*M1382,2)</f>
        <v>38.5</v>
      </c>
      <c r="P1382" s="35" t="s">
        <v>883</v>
      </c>
    </row>
    <row r="1383" customFormat="false" ht="15" hidden="false" customHeight="false" outlineLevel="0" collapsed="false">
      <c r="A1383" s="24" t="s">
        <v>260</v>
      </c>
      <c r="B1383" s="25" t="n">
        <v>10</v>
      </c>
      <c r="C1383" s="25" t="n">
        <v>30</v>
      </c>
      <c r="D1383" s="26" t="n">
        <v>1.31928</v>
      </c>
      <c r="E1383" s="27" t="n">
        <v>1.33</v>
      </c>
      <c r="F1383" s="28" t="n">
        <f aca="false">ROUND(B1383*E1383,2)</f>
        <v>13.3</v>
      </c>
      <c r="H1383" s="29" t="n">
        <v>10</v>
      </c>
      <c r="I1383" s="30" t="n">
        <v>1.33</v>
      </c>
      <c r="J1383" s="31" t="n">
        <f aca="false">ROUND(H1383*I1383,2)</f>
        <v>13.3</v>
      </c>
      <c r="L1383" s="32" t="n">
        <v>10</v>
      </c>
      <c r="M1383" s="33" t="n">
        <v>1.33</v>
      </c>
      <c r="N1383" s="34" t="n">
        <f aca="false">ROUND(L1383*M1383,2)</f>
        <v>13.3</v>
      </c>
      <c r="P1383" s="36" t="s">
        <v>261</v>
      </c>
    </row>
    <row r="1384" customFormat="false" ht="15" hidden="false" customHeight="false" outlineLevel="0" collapsed="false">
      <c r="A1384" s="24" t="s">
        <v>262</v>
      </c>
      <c r="B1384" s="25" t="n">
        <v>256.517</v>
      </c>
      <c r="C1384" s="25" t="n">
        <v>30</v>
      </c>
      <c r="D1384" s="26" t="n">
        <v>0.111171</v>
      </c>
      <c r="E1384" s="27" t="n">
        <v>0.13788</v>
      </c>
      <c r="F1384" s="28" t="n">
        <f aca="false">ROUND(B1384*E1384,2)</f>
        <v>35.37</v>
      </c>
      <c r="H1384" s="29" t="n">
        <v>322.159</v>
      </c>
      <c r="I1384" s="30" t="n">
        <v>0.13788</v>
      </c>
      <c r="J1384" s="31" t="n">
        <f aca="false">ROUND(H1384*I1384,2)</f>
        <v>44.42</v>
      </c>
      <c r="L1384" s="32" t="n">
        <v>262.054</v>
      </c>
      <c r="M1384" s="33" t="n">
        <v>0.13788</v>
      </c>
      <c r="N1384" s="34" t="n">
        <f aca="false">ROUND(L1384*M1384,2)</f>
        <v>36.13</v>
      </c>
      <c r="P1384" s="35" t="s">
        <v>884</v>
      </c>
    </row>
    <row r="1385" customFormat="false" ht="15" hidden="false" customHeight="false" outlineLevel="0" collapsed="false">
      <c r="A1385" s="24" t="s">
        <v>264</v>
      </c>
      <c r="B1385" s="25" t="n">
        <v>284.83</v>
      </c>
      <c r="C1385" s="25" t="n">
        <v>30</v>
      </c>
      <c r="D1385" s="26" t="n">
        <v>0.111171</v>
      </c>
      <c r="E1385" s="27" t="n">
        <v>0.13788</v>
      </c>
      <c r="F1385" s="28" t="n">
        <f aca="false">ROUND(B1385*E1385,2)</f>
        <v>39.27</v>
      </c>
      <c r="H1385" s="29" t="n">
        <v>285.568</v>
      </c>
      <c r="I1385" s="30" t="n">
        <v>0.13788</v>
      </c>
      <c r="J1385" s="31" t="n">
        <f aca="false">ROUND(H1385*I1385,2)</f>
        <v>39.37</v>
      </c>
      <c r="L1385" s="32" t="n">
        <v>260.83</v>
      </c>
      <c r="M1385" s="33" t="n">
        <v>0.13788</v>
      </c>
      <c r="N1385" s="34" t="n">
        <f aca="false">ROUND(L1385*M1385,2)</f>
        <v>35.96</v>
      </c>
    </row>
    <row r="1386" customFormat="false" ht="15" hidden="false" customHeight="false" outlineLevel="0" collapsed="false">
      <c r="A1386" s="24" t="s">
        <v>265</v>
      </c>
      <c r="B1386" s="25" t="n">
        <v>416.53</v>
      </c>
      <c r="C1386" s="25" t="n">
        <v>30</v>
      </c>
      <c r="D1386" s="26" t="n">
        <v>0.111171</v>
      </c>
      <c r="E1386" s="27" t="n">
        <v>0.13788</v>
      </c>
      <c r="F1386" s="28" t="n">
        <f aca="false">ROUND(B1386*E1386,2)</f>
        <v>57.43</v>
      </c>
      <c r="H1386" s="29" t="n">
        <v>420.518</v>
      </c>
      <c r="I1386" s="30" t="n">
        <v>0.13788</v>
      </c>
      <c r="J1386" s="31" t="n">
        <f aca="false">ROUND(H1386*I1386,2)</f>
        <v>57.98</v>
      </c>
      <c r="L1386" s="32" t="n">
        <v>409.775</v>
      </c>
      <c r="M1386" s="33" t="n">
        <v>0.13788</v>
      </c>
      <c r="N1386" s="34" t="n">
        <f aca="false">ROUND(L1386*M1386,2)</f>
        <v>56.5</v>
      </c>
    </row>
    <row r="1387" customFormat="false" ht="15" hidden="false" customHeight="false" outlineLevel="0" collapsed="false">
      <c r="A1387" s="24" t="s">
        <v>266</v>
      </c>
      <c r="B1387" s="25" t="n">
        <v>1</v>
      </c>
      <c r="C1387" s="25" t="n">
        <v>30</v>
      </c>
      <c r="D1387" s="26" t="n">
        <v>1.3414</v>
      </c>
      <c r="E1387" s="27" t="n">
        <v>3</v>
      </c>
      <c r="F1387" s="28" t="n">
        <f aca="false">ROUND(B1387*E1387,2)</f>
        <v>3</v>
      </c>
      <c r="H1387" s="29" t="n">
        <v>1</v>
      </c>
      <c r="I1387" s="30" t="n">
        <v>3</v>
      </c>
      <c r="J1387" s="31" t="n">
        <f aca="false">ROUND(H1387*I1387,2)</f>
        <v>3</v>
      </c>
      <c r="L1387" s="32" t="n">
        <v>1</v>
      </c>
      <c r="M1387" s="33" t="n">
        <v>3</v>
      </c>
      <c r="N1387" s="34" t="n">
        <f aca="false">ROUND(L1387*M1387,2)</f>
        <v>3</v>
      </c>
    </row>
    <row r="1388" customFormat="false" ht="15" hidden="false" customHeight="false" outlineLevel="0" collapsed="false">
      <c r="A1388" s="24" t="s">
        <v>267</v>
      </c>
      <c r="B1388" s="25" t="n">
        <v>30</v>
      </c>
      <c r="C1388" s="25" t="n">
        <v>30</v>
      </c>
      <c r="D1388" s="26" t="n">
        <v>0.5736</v>
      </c>
      <c r="E1388" s="27" t="n">
        <v>0.01274</v>
      </c>
      <c r="F1388" s="28" t="n">
        <f aca="false">ROUND(B1388*E1388,2)</f>
        <v>0.38</v>
      </c>
      <c r="H1388" s="29" t="n">
        <v>30</v>
      </c>
      <c r="I1388" s="30" t="n">
        <v>0.01274</v>
      </c>
      <c r="J1388" s="31" t="n">
        <f aca="false">ROUND(H1388*I1388,2)</f>
        <v>0.38</v>
      </c>
      <c r="L1388" s="32" t="n">
        <v>30</v>
      </c>
      <c r="M1388" s="33" t="n">
        <v>0.00629</v>
      </c>
      <c r="N1388" s="34" t="n">
        <f aca="false">ROUND(L1388*M1388,2)</f>
        <v>0.19</v>
      </c>
    </row>
    <row r="1389" customFormat="false" ht="15" hidden="false" customHeight="false" outlineLevel="0" collapsed="false">
      <c r="A1389" s="24" t="s">
        <v>268</v>
      </c>
      <c r="B1389" s="25" t="n">
        <v>9.41</v>
      </c>
      <c r="C1389" s="25" t="n">
        <v>30</v>
      </c>
      <c r="D1389" s="26" t="n">
        <v>0.27312</v>
      </c>
      <c r="E1389" s="27" t="n">
        <v>1</v>
      </c>
      <c r="F1389" s="28" t="n">
        <f aca="false">ROUND(B1389*E1389,2)</f>
        <v>9.41</v>
      </c>
      <c r="H1389" s="29" t="n">
        <v>9.9</v>
      </c>
      <c r="I1389" s="30" t="n">
        <v>1</v>
      </c>
      <c r="J1389" s="31" t="n">
        <f aca="false">ROUND(H1389*I1389,2)</f>
        <v>9.9</v>
      </c>
      <c r="L1389" s="32" t="n">
        <v>9.23</v>
      </c>
      <c r="M1389" s="33" t="n">
        <v>1</v>
      </c>
      <c r="N1389" s="34" t="n">
        <f aca="false">ROUND(L1389*M1389,2)</f>
        <v>9.23</v>
      </c>
    </row>
    <row r="1390" customFormat="false" ht="15" hidden="false" customHeight="false" outlineLevel="0" collapsed="false">
      <c r="A1390" s="37" t="s">
        <v>269</v>
      </c>
      <c r="F1390" s="38" t="n">
        <f aca="false">ROUND((SUM(F1382:F1389)-F1389)*1.1+F1389,2)</f>
        <v>215.39</v>
      </c>
      <c r="J1390" s="39" t="n">
        <f aca="false">ROUND(SUM(J1382:J1389),2)</f>
        <v>206.85</v>
      </c>
      <c r="N1390" s="40" t="n">
        <f aca="false">ROUND(SUM(N1382:N1389),2)</f>
        <v>192.81</v>
      </c>
    </row>
    <row r="1391" customFormat="false" ht="15" hidden="false" customHeight="false" outlineLevel="0" collapsed="false">
      <c r="A1391" s="15" t="s">
        <v>270</v>
      </c>
      <c r="B1391" s="41" t="n">
        <f aca="false">IF((F1384+F1382+F1386+F1383+F1385)=0,"",((F1384+F1382+F1386+F1383+F1385)-(B1384*D1384+B1382*D1382+B1386*D1386+B1383*D1383+B1385*D1385))/(F1384+F1382+F1386+F1383+F1385))</f>
        <v>0.148458998384728</v>
      </c>
      <c r="D1391" s="42" t="str">
        <f aca="false">IF(B1391="","SIN PC",IF(B1391&gt;=Detalle!$G$1,"APROBAR",IF(B1391&gt;=0.2,"REVISAR","RECHAZAR")))</f>
        <v>RECHAZAR</v>
      </c>
      <c r="E1391" s="42"/>
      <c r="F1391" s="42"/>
    </row>
    <row r="1393" customFormat="false" ht="15" hidden="false" customHeight="false" outlineLevel="0" collapsed="false">
      <c r="A1393" s="11" t="s">
        <v>885</v>
      </c>
      <c r="B1393" s="11"/>
      <c r="C1393" s="11"/>
      <c r="D1393" s="11"/>
      <c r="E1393" s="11"/>
      <c r="F1393" s="11"/>
      <c r="H1393" s="11" t="s">
        <v>886</v>
      </c>
      <c r="I1393" s="11"/>
      <c r="J1393" s="11"/>
      <c r="K1393" s="11"/>
      <c r="L1393" s="11"/>
      <c r="M1393" s="11"/>
      <c r="N1393" s="11"/>
      <c r="P1393" s="14" t="s">
        <v>246</v>
      </c>
    </row>
    <row r="1394" customFormat="false" ht="15" hidden="false" customHeight="false" outlineLevel="0" collapsed="false">
      <c r="A1394" s="15" t="s">
        <v>247</v>
      </c>
      <c r="B1394" s="16" t="s">
        <v>248</v>
      </c>
      <c r="C1394" s="17"/>
      <c r="D1394" s="17"/>
      <c r="E1394" s="17"/>
      <c r="F1394" s="17"/>
      <c r="H1394" s="18" t="s">
        <v>887</v>
      </c>
      <c r="I1394" s="19"/>
      <c r="J1394" s="19"/>
      <c r="L1394" s="20" t="s">
        <v>888</v>
      </c>
      <c r="M1394" s="21"/>
      <c r="N1394" s="21"/>
      <c r="P1394" s="14" t="s">
        <v>889</v>
      </c>
    </row>
    <row r="1395" customFormat="false" ht="15" hidden="false" customHeight="false" outlineLevel="0" collapsed="false">
      <c r="B1395" s="3" t="s">
        <v>252</v>
      </c>
      <c r="C1395" s="3" t="s">
        <v>253</v>
      </c>
      <c r="D1395" s="3" t="s">
        <v>254</v>
      </c>
      <c r="E1395" s="3" t="s">
        <v>255</v>
      </c>
      <c r="F1395" s="3" t="s">
        <v>256</v>
      </c>
      <c r="H1395" s="22" t="s">
        <v>252</v>
      </c>
      <c r="I1395" s="22" t="s">
        <v>255</v>
      </c>
      <c r="J1395" s="22" t="s">
        <v>256</v>
      </c>
      <c r="L1395" s="23" t="s">
        <v>252</v>
      </c>
      <c r="M1395" s="23" t="s">
        <v>255</v>
      </c>
      <c r="N1395" s="23" t="s">
        <v>256</v>
      </c>
      <c r="P1395" s="14" t="s">
        <v>890</v>
      </c>
    </row>
    <row r="1396" customFormat="false" ht="15" hidden="false" customHeight="false" outlineLevel="0" collapsed="false">
      <c r="A1396" s="24" t="s">
        <v>258</v>
      </c>
      <c r="B1396" s="25" t="n">
        <v>10.1</v>
      </c>
      <c r="C1396" s="25" t="n">
        <v>30</v>
      </c>
      <c r="D1396" s="26" t="n">
        <v>3.68919</v>
      </c>
      <c r="E1396" s="27" t="n">
        <v>3.85</v>
      </c>
      <c r="F1396" s="28" t="n">
        <f aca="false">ROUND(B1396*E1396,2)</f>
        <v>38.89</v>
      </c>
      <c r="H1396" s="29" t="n">
        <v>10.1</v>
      </c>
      <c r="I1396" s="30" t="n">
        <v>3.85</v>
      </c>
      <c r="J1396" s="31" t="n">
        <f aca="false">ROUND(H1396*I1396,2)</f>
        <v>38.89</v>
      </c>
      <c r="L1396" s="32" t="n">
        <v>10.1</v>
      </c>
      <c r="M1396" s="33" t="n">
        <v>3.85</v>
      </c>
      <c r="N1396" s="34" t="n">
        <f aca="false">ROUND(L1396*M1396,2)</f>
        <v>38.89</v>
      </c>
      <c r="P1396" s="35" t="s">
        <v>891</v>
      </c>
    </row>
    <row r="1397" customFormat="false" ht="15" hidden="false" customHeight="false" outlineLevel="0" collapsed="false">
      <c r="A1397" s="24" t="s">
        <v>260</v>
      </c>
      <c r="B1397" s="25" t="n">
        <v>10.1</v>
      </c>
      <c r="C1397" s="25" t="n">
        <v>30</v>
      </c>
      <c r="D1397" s="26" t="n">
        <v>1.31928</v>
      </c>
      <c r="E1397" s="27" t="n">
        <v>1.33</v>
      </c>
      <c r="F1397" s="28" t="n">
        <f aca="false">ROUND(B1397*E1397,2)</f>
        <v>13.43</v>
      </c>
      <c r="H1397" s="29" t="n">
        <v>10.1</v>
      </c>
      <c r="I1397" s="30" t="n">
        <v>1.33</v>
      </c>
      <c r="J1397" s="31" t="n">
        <f aca="false">ROUND(H1397*I1397,2)</f>
        <v>13.43</v>
      </c>
      <c r="L1397" s="32" t="n">
        <v>10.1</v>
      </c>
      <c r="M1397" s="33" t="n">
        <v>1.33</v>
      </c>
      <c r="N1397" s="34" t="n">
        <f aca="false">ROUND(L1397*M1397,2)</f>
        <v>13.43</v>
      </c>
      <c r="P1397" s="36" t="s">
        <v>261</v>
      </c>
    </row>
    <row r="1398" customFormat="false" ht="15" hidden="false" customHeight="false" outlineLevel="0" collapsed="false">
      <c r="A1398" s="24" t="s">
        <v>262</v>
      </c>
      <c r="B1398" s="25" t="n">
        <v>221.956</v>
      </c>
      <c r="C1398" s="25" t="n">
        <v>30</v>
      </c>
      <c r="D1398" s="26" t="n">
        <v>0.111171</v>
      </c>
      <c r="E1398" s="27" t="n">
        <v>0.13788</v>
      </c>
      <c r="F1398" s="28" t="n">
        <f aca="false">ROUND(B1398*E1398,2)</f>
        <v>30.6</v>
      </c>
      <c r="H1398" s="29" t="n">
        <v>439.327</v>
      </c>
      <c r="I1398" s="30" t="n">
        <v>0.13788</v>
      </c>
      <c r="J1398" s="31" t="n">
        <f aca="false">ROUND(H1398*I1398,2)</f>
        <v>60.57</v>
      </c>
      <c r="L1398" s="32" t="n">
        <v>63.472</v>
      </c>
      <c r="M1398" s="33" t="n">
        <v>0.13788</v>
      </c>
      <c r="N1398" s="34" t="n">
        <f aca="false">ROUND(L1398*M1398,2)</f>
        <v>8.75</v>
      </c>
      <c r="P1398" s="35" t="s">
        <v>892</v>
      </c>
    </row>
    <row r="1399" customFormat="false" ht="15" hidden="false" customHeight="false" outlineLevel="0" collapsed="false">
      <c r="A1399" s="24" t="s">
        <v>264</v>
      </c>
      <c r="B1399" s="25" t="n">
        <v>183.083</v>
      </c>
      <c r="C1399" s="25" t="n">
        <v>30</v>
      </c>
      <c r="D1399" s="26" t="n">
        <v>0.111171</v>
      </c>
      <c r="E1399" s="27" t="n">
        <v>0.13788</v>
      </c>
      <c r="F1399" s="28" t="n">
        <f aca="false">ROUND(B1399*E1399,2)</f>
        <v>25.24</v>
      </c>
      <c r="H1399" s="29" t="n">
        <v>382.809</v>
      </c>
      <c r="I1399" s="30" t="n">
        <v>0.13788</v>
      </c>
      <c r="J1399" s="31" t="n">
        <f aca="false">ROUND(H1399*I1399,2)</f>
        <v>52.78</v>
      </c>
      <c r="L1399" s="32" t="n">
        <v>54.665</v>
      </c>
      <c r="M1399" s="33" t="n">
        <v>0.13788</v>
      </c>
      <c r="N1399" s="34" t="n">
        <f aca="false">ROUND(L1399*M1399,2)</f>
        <v>7.54</v>
      </c>
    </row>
    <row r="1400" customFormat="false" ht="15" hidden="false" customHeight="false" outlineLevel="0" collapsed="false">
      <c r="A1400" s="24" t="s">
        <v>265</v>
      </c>
      <c r="B1400" s="25" t="n">
        <v>224.158</v>
      </c>
      <c r="C1400" s="25" t="n">
        <v>30</v>
      </c>
      <c r="D1400" s="26" t="n">
        <v>0.111171</v>
      </c>
      <c r="E1400" s="27" t="n">
        <v>0.13788</v>
      </c>
      <c r="F1400" s="28" t="n">
        <f aca="false">ROUND(B1400*E1400,2)</f>
        <v>30.91</v>
      </c>
      <c r="H1400" s="29" t="n">
        <v>240.436</v>
      </c>
      <c r="I1400" s="30" t="n">
        <v>0.13788</v>
      </c>
      <c r="J1400" s="31" t="n">
        <f aca="false">ROUND(H1400*I1400,2)</f>
        <v>33.15</v>
      </c>
      <c r="L1400" s="32" t="n">
        <v>79.679</v>
      </c>
      <c r="M1400" s="33" t="n">
        <v>0.13788</v>
      </c>
      <c r="N1400" s="34" t="n">
        <f aca="false">ROUND(L1400*M1400,2)</f>
        <v>10.99</v>
      </c>
    </row>
    <row r="1401" customFormat="false" ht="15" hidden="false" customHeight="false" outlineLevel="0" collapsed="false">
      <c r="A1401" s="24" t="s">
        <v>266</v>
      </c>
      <c r="B1401" s="25" t="n">
        <v>1</v>
      </c>
      <c r="C1401" s="25" t="n">
        <v>30</v>
      </c>
      <c r="D1401" s="26" t="n">
        <v>1.3414</v>
      </c>
      <c r="E1401" s="27" t="n">
        <v>3</v>
      </c>
      <c r="F1401" s="28" t="n">
        <f aca="false">ROUND(B1401*E1401,2)</f>
        <v>3</v>
      </c>
      <c r="H1401" s="29" t="n">
        <v>1</v>
      </c>
      <c r="I1401" s="30" t="n">
        <v>3</v>
      </c>
      <c r="J1401" s="31" t="n">
        <f aca="false">ROUND(H1401*I1401,2)</f>
        <v>3</v>
      </c>
      <c r="L1401" s="32" t="n">
        <v>1</v>
      </c>
      <c r="M1401" s="33" t="n">
        <v>3</v>
      </c>
      <c r="N1401" s="34" t="n">
        <f aca="false">ROUND(L1401*M1401,2)</f>
        <v>3</v>
      </c>
    </row>
    <row r="1402" customFormat="false" ht="15" hidden="false" customHeight="false" outlineLevel="0" collapsed="false">
      <c r="A1402" s="24" t="s">
        <v>267</v>
      </c>
      <c r="B1402" s="25" t="n">
        <v>30</v>
      </c>
      <c r="C1402" s="25" t="n">
        <v>30</v>
      </c>
      <c r="D1402" s="26" t="n">
        <v>0.5736</v>
      </c>
      <c r="E1402" s="27" t="n">
        <v>0.01274</v>
      </c>
      <c r="F1402" s="28" t="n">
        <f aca="false">ROUND(B1402*E1402,2)</f>
        <v>0.38</v>
      </c>
      <c r="H1402" s="29" t="n">
        <v>30</v>
      </c>
      <c r="I1402" s="30" t="n">
        <v>0.01274</v>
      </c>
      <c r="J1402" s="31" t="n">
        <f aca="false">ROUND(H1402*I1402,2)</f>
        <v>0.38</v>
      </c>
      <c r="L1402" s="32" t="n">
        <v>30</v>
      </c>
      <c r="M1402" s="33" t="n">
        <v>0.00629</v>
      </c>
      <c r="N1402" s="34" t="n">
        <f aca="false">ROUND(L1402*M1402,2)</f>
        <v>0.19</v>
      </c>
    </row>
    <row r="1403" customFormat="false" ht="15" hidden="false" customHeight="false" outlineLevel="0" collapsed="false">
      <c r="A1403" s="24" t="s">
        <v>268</v>
      </c>
      <c r="B1403" s="25" t="n">
        <v>7.12</v>
      </c>
      <c r="C1403" s="25" t="n">
        <v>30</v>
      </c>
      <c r="D1403" s="26" t="n">
        <v>0.27312</v>
      </c>
      <c r="E1403" s="27" t="n">
        <v>1</v>
      </c>
      <c r="F1403" s="28" t="n">
        <f aca="false">ROUND(B1403*E1403,2)</f>
        <v>7.12</v>
      </c>
      <c r="H1403" s="29" t="n">
        <v>10.17</v>
      </c>
      <c r="I1403" s="30" t="n">
        <v>1</v>
      </c>
      <c r="J1403" s="31" t="n">
        <f aca="false">ROUND(H1403*I1403,2)</f>
        <v>10.17</v>
      </c>
      <c r="L1403" s="32" t="n">
        <v>4.08</v>
      </c>
      <c r="M1403" s="33" t="n">
        <v>1</v>
      </c>
      <c r="N1403" s="34" t="n">
        <f aca="false">ROUND(L1403*M1403,2)</f>
        <v>4.08</v>
      </c>
    </row>
    <row r="1404" customFormat="false" ht="15" hidden="false" customHeight="false" outlineLevel="0" collapsed="false">
      <c r="A1404" s="37" t="s">
        <v>269</v>
      </c>
      <c r="F1404" s="38" t="n">
        <f aca="false">ROUND((SUM(F1396:F1403)-F1403)*1.1+F1403,2)</f>
        <v>163.82</v>
      </c>
      <c r="J1404" s="39" t="n">
        <f aca="false">ROUND(SUM(J1396:J1403),2)</f>
        <v>212.37</v>
      </c>
      <c r="N1404" s="40" t="n">
        <f aca="false">ROUND(SUM(N1396:N1403),2)</f>
        <v>86.87</v>
      </c>
    </row>
    <row r="1405" customFormat="false" ht="15" hidden="false" customHeight="false" outlineLevel="0" collapsed="false">
      <c r="A1405" s="15" t="s">
        <v>270</v>
      </c>
      <c r="B1405" s="41" t="n">
        <f aca="false">IF((F1398+F1396+F1400+F1397+F1399)=0,"",((F1398+F1396+F1400+F1397+F1399)-(B1398*D1398+B1396*D1396+B1400*D1400+B1397*D1397+B1399*D1399))/(F1398+F1396+F1400+F1397+F1399))</f>
        <v>0.133285347760121</v>
      </c>
      <c r="D1405" s="42" t="str">
        <f aca="false">IF(B1405="","SIN PC",IF(B1405&gt;=Detalle!$G$1,"APROBAR",IF(B1405&gt;=0.2,"REVISAR","RECHAZAR")))</f>
        <v>RECHAZAR</v>
      </c>
      <c r="E1405" s="42"/>
      <c r="F1405" s="42"/>
    </row>
    <row r="1407" customFormat="false" ht="15" hidden="false" customHeight="false" outlineLevel="0" collapsed="false">
      <c r="A1407" s="11" t="s">
        <v>893</v>
      </c>
      <c r="B1407" s="11"/>
      <c r="C1407" s="11"/>
      <c r="D1407" s="11"/>
      <c r="E1407" s="11"/>
      <c r="F1407" s="11"/>
      <c r="H1407" s="11" t="s">
        <v>894</v>
      </c>
      <c r="I1407" s="11"/>
      <c r="J1407" s="11"/>
      <c r="K1407" s="11"/>
      <c r="L1407" s="11"/>
      <c r="M1407" s="11"/>
      <c r="N1407" s="11"/>
      <c r="P1407" s="14" t="s">
        <v>246</v>
      </c>
    </row>
    <row r="1408" customFormat="false" ht="15" hidden="false" customHeight="false" outlineLevel="0" collapsed="false">
      <c r="A1408" s="15" t="s">
        <v>247</v>
      </c>
      <c r="B1408" s="16" t="s">
        <v>248</v>
      </c>
      <c r="C1408" s="17"/>
      <c r="D1408" s="17"/>
      <c r="E1408" s="17"/>
      <c r="F1408" s="17"/>
      <c r="H1408" s="18" t="s">
        <v>895</v>
      </c>
      <c r="I1408" s="19"/>
      <c r="J1408" s="19"/>
      <c r="L1408" s="20" t="s">
        <v>896</v>
      </c>
      <c r="M1408" s="21"/>
      <c r="N1408" s="21"/>
    </row>
    <row r="1409" customFormat="false" ht="15" hidden="false" customHeight="false" outlineLevel="0" collapsed="false">
      <c r="B1409" s="3" t="s">
        <v>252</v>
      </c>
      <c r="C1409" s="3" t="s">
        <v>253</v>
      </c>
      <c r="D1409" s="3" t="s">
        <v>254</v>
      </c>
      <c r="E1409" s="3" t="s">
        <v>255</v>
      </c>
      <c r="F1409" s="3" t="s">
        <v>256</v>
      </c>
      <c r="H1409" s="22" t="s">
        <v>252</v>
      </c>
      <c r="I1409" s="22" t="s">
        <v>255</v>
      </c>
      <c r="J1409" s="22" t="s">
        <v>256</v>
      </c>
      <c r="L1409" s="23" t="s">
        <v>252</v>
      </c>
      <c r="M1409" s="23" t="s">
        <v>255</v>
      </c>
      <c r="N1409" s="23" t="s">
        <v>256</v>
      </c>
    </row>
    <row r="1410" customFormat="false" ht="15" hidden="false" customHeight="false" outlineLevel="0" collapsed="false">
      <c r="A1410" s="24" t="s">
        <v>258</v>
      </c>
      <c r="B1410" s="25" t="n">
        <v>5.75</v>
      </c>
      <c r="C1410" s="25" t="n">
        <v>30</v>
      </c>
      <c r="D1410" s="26" t="n">
        <v>3.68919</v>
      </c>
      <c r="E1410" s="27" t="n">
        <v>3.85</v>
      </c>
      <c r="F1410" s="28" t="n">
        <f aca="false">ROUND(B1410*E1410,2)</f>
        <v>22.14</v>
      </c>
      <c r="H1410" s="29" t="n">
        <v>5.75</v>
      </c>
      <c r="I1410" s="30" t="n">
        <v>3.85</v>
      </c>
      <c r="J1410" s="31" t="n">
        <f aca="false">ROUND(H1410*I1410,2)</f>
        <v>22.14</v>
      </c>
      <c r="L1410" s="32" t="n">
        <v>5.75</v>
      </c>
      <c r="M1410" s="33" t="n">
        <v>3.85</v>
      </c>
      <c r="N1410" s="34" t="n">
        <f aca="false">ROUND(L1410*M1410,2)</f>
        <v>22.14</v>
      </c>
    </row>
    <row r="1411" customFormat="false" ht="15" hidden="false" customHeight="false" outlineLevel="0" collapsed="false">
      <c r="A1411" s="24" t="s">
        <v>260</v>
      </c>
      <c r="B1411" s="25" t="n">
        <v>5.75</v>
      </c>
      <c r="C1411" s="25" t="n">
        <v>30</v>
      </c>
      <c r="D1411" s="26" t="n">
        <v>1.31928</v>
      </c>
      <c r="E1411" s="27" t="n">
        <v>1.33</v>
      </c>
      <c r="F1411" s="28" t="n">
        <f aca="false">ROUND(B1411*E1411,2)</f>
        <v>7.65</v>
      </c>
      <c r="H1411" s="29" t="n">
        <v>5.75</v>
      </c>
      <c r="I1411" s="30" t="n">
        <v>1.33</v>
      </c>
      <c r="J1411" s="31" t="n">
        <f aca="false">ROUND(H1411*I1411,2)</f>
        <v>7.65</v>
      </c>
      <c r="L1411" s="32" t="n">
        <v>5.75</v>
      </c>
      <c r="M1411" s="33" t="n">
        <v>1.33</v>
      </c>
      <c r="N1411" s="34" t="n">
        <f aca="false">ROUND(L1411*M1411,2)</f>
        <v>7.65</v>
      </c>
      <c r="P1411" s="43" t="s">
        <v>261</v>
      </c>
    </row>
    <row r="1412" customFormat="false" ht="15" hidden="false" customHeight="false" outlineLevel="0" collapsed="false">
      <c r="A1412" s="24" t="s">
        <v>262</v>
      </c>
      <c r="B1412" s="25" t="n">
        <v>178.843</v>
      </c>
      <c r="C1412" s="25" t="n">
        <v>30</v>
      </c>
      <c r="D1412" s="26" t="n">
        <v>0.111171</v>
      </c>
      <c r="E1412" s="27" t="n">
        <v>0.13788</v>
      </c>
      <c r="F1412" s="28" t="n">
        <f aca="false">ROUND(B1412*E1412,2)</f>
        <v>24.66</v>
      </c>
      <c r="H1412" s="29" t="n">
        <v>206.077</v>
      </c>
      <c r="I1412" s="30" t="n">
        <v>0.13788</v>
      </c>
      <c r="J1412" s="31" t="n">
        <f aca="false">ROUND(H1412*I1412,2)</f>
        <v>28.41</v>
      </c>
      <c r="L1412" s="32" t="n">
        <v>133.182</v>
      </c>
      <c r="M1412" s="33" t="n">
        <v>0.13788</v>
      </c>
      <c r="N1412" s="34" t="n">
        <f aca="false">ROUND(L1412*M1412,2)</f>
        <v>18.36</v>
      </c>
    </row>
    <row r="1413" customFormat="false" ht="15" hidden="false" customHeight="false" outlineLevel="0" collapsed="false">
      <c r="A1413" s="24" t="s">
        <v>264</v>
      </c>
      <c r="B1413" s="25" t="n">
        <v>188.452</v>
      </c>
      <c r="C1413" s="25" t="n">
        <v>30</v>
      </c>
      <c r="D1413" s="26" t="n">
        <v>0.111171</v>
      </c>
      <c r="E1413" s="27" t="n">
        <v>0.13788</v>
      </c>
      <c r="F1413" s="28" t="n">
        <f aca="false">ROUND(B1413*E1413,2)</f>
        <v>25.98</v>
      </c>
      <c r="H1413" s="29" t="n">
        <v>194.947</v>
      </c>
      <c r="I1413" s="30" t="n">
        <v>0.13788</v>
      </c>
      <c r="J1413" s="31" t="n">
        <f aca="false">ROUND(H1413*I1413,2)</f>
        <v>26.88</v>
      </c>
      <c r="L1413" s="32" t="n">
        <v>161.603</v>
      </c>
      <c r="M1413" s="33" t="n">
        <v>0.13788</v>
      </c>
      <c r="N1413" s="34" t="n">
        <f aca="false">ROUND(L1413*M1413,2)</f>
        <v>22.28</v>
      </c>
    </row>
    <row r="1414" customFormat="false" ht="15" hidden="false" customHeight="false" outlineLevel="0" collapsed="false">
      <c r="A1414" s="24" t="s">
        <v>265</v>
      </c>
      <c r="B1414" s="25" t="n">
        <v>118.966</v>
      </c>
      <c r="C1414" s="25" t="n">
        <v>30</v>
      </c>
      <c r="D1414" s="26" t="n">
        <v>0.111171</v>
      </c>
      <c r="E1414" s="27" t="n">
        <v>0.13788</v>
      </c>
      <c r="F1414" s="28" t="n">
        <f aca="false">ROUND(B1414*E1414,2)</f>
        <v>16.4</v>
      </c>
      <c r="H1414" s="29" t="n">
        <v>119.909</v>
      </c>
      <c r="I1414" s="30" t="n">
        <v>0.13788</v>
      </c>
      <c r="J1414" s="31" t="n">
        <f aca="false">ROUND(H1414*I1414,2)</f>
        <v>16.53</v>
      </c>
      <c r="L1414" s="32" t="n">
        <v>62.425</v>
      </c>
      <c r="M1414" s="33" t="n">
        <v>0.13788</v>
      </c>
      <c r="N1414" s="34" t="n">
        <f aca="false">ROUND(L1414*M1414,2)</f>
        <v>8.61</v>
      </c>
    </row>
    <row r="1415" customFormat="false" ht="15" hidden="false" customHeight="false" outlineLevel="0" collapsed="false">
      <c r="A1415" s="24" t="s">
        <v>266</v>
      </c>
      <c r="B1415" s="25" t="n">
        <v>1</v>
      </c>
      <c r="C1415" s="25" t="n">
        <v>30</v>
      </c>
      <c r="D1415" s="26" t="n">
        <v>0.7989</v>
      </c>
      <c r="E1415" s="27" t="n">
        <v>3</v>
      </c>
      <c r="F1415" s="28" t="n">
        <f aca="false">ROUND(B1415*E1415,2)</f>
        <v>3</v>
      </c>
      <c r="H1415" s="29" t="n">
        <v>1</v>
      </c>
      <c r="I1415" s="30" t="n">
        <v>3</v>
      </c>
      <c r="J1415" s="31" t="n">
        <f aca="false">ROUND(H1415*I1415,2)</f>
        <v>3</v>
      </c>
      <c r="L1415" s="32" t="n">
        <v>1</v>
      </c>
      <c r="M1415" s="33" t="n">
        <v>3</v>
      </c>
      <c r="N1415" s="34" t="n">
        <f aca="false">ROUND(L1415*M1415,2)</f>
        <v>3</v>
      </c>
    </row>
    <row r="1416" customFormat="false" ht="15" hidden="false" customHeight="false" outlineLevel="0" collapsed="false">
      <c r="A1416" s="24" t="s">
        <v>267</v>
      </c>
      <c r="B1416" s="25" t="n">
        <v>30</v>
      </c>
      <c r="C1416" s="25" t="n">
        <v>30</v>
      </c>
      <c r="D1416" s="26" t="n">
        <v>0.5736</v>
      </c>
      <c r="E1416" s="27" t="n">
        <v>0.01274</v>
      </c>
      <c r="F1416" s="28" t="n">
        <f aca="false">ROUND(B1416*E1416,2)</f>
        <v>0.38</v>
      </c>
      <c r="H1416" s="29" t="n">
        <v>30</v>
      </c>
      <c r="I1416" s="30" t="n">
        <v>0.01274</v>
      </c>
      <c r="J1416" s="31" t="n">
        <f aca="false">ROUND(H1416*I1416,2)</f>
        <v>0.38</v>
      </c>
      <c r="L1416" s="32" t="n">
        <v>30</v>
      </c>
      <c r="M1416" s="33" t="n">
        <v>0.00629</v>
      </c>
      <c r="N1416" s="34" t="n">
        <f aca="false">ROUND(L1416*M1416,2)</f>
        <v>0.19</v>
      </c>
    </row>
    <row r="1417" customFormat="false" ht="15" hidden="false" customHeight="false" outlineLevel="0" collapsed="false">
      <c r="A1417" s="24" t="s">
        <v>268</v>
      </c>
      <c r="B1417" s="25" t="n">
        <v>4.96</v>
      </c>
      <c r="C1417" s="25" t="n">
        <v>30</v>
      </c>
      <c r="D1417" s="26" t="n">
        <v>0.27312</v>
      </c>
      <c r="E1417" s="27" t="n">
        <v>1</v>
      </c>
      <c r="F1417" s="28" t="n">
        <f aca="false">ROUND(B1417*E1417,2)</f>
        <v>4.96</v>
      </c>
      <c r="H1417" s="29" t="n">
        <v>5.2</v>
      </c>
      <c r="I1417" s="30" t="n">
        <v>1</v>
      </c>
      <c r="J1417" s="31" t="n">
        <f aca="false">ROUND(H1417*I1417,2)</f>
        <v>5.2</v>
      </c>
      <c r="L1417" s="32" t="n">
        <v>4.05</v>
      </c>
      <c r="M1417" s="33" t="n">
        <v>1</v>
      </c>
      <c r="N1417" s="34" t="n">
        <f aca="false">ROUND(L1417*M1417,2)</f>
        <v>4.05</v>
      </c>
    </row>
    <row r="1418" customFormat="false" ht="15" hidden="false" customHeight="false" outlineLevel="0" collapsed="false">
      <c r="A1418" s="37" t="s">
        <v>269</v>
      </c>
      <c r="F1418" s="38" t="n">
        <f aca="false">ROUND((SUM(F1410:F1417)-F1417)*1.1+F1417,2)</f>
        <v>115.19</v>
      </c>
      <c r="J1418" s="39" t="n">
        <f aca="false">ROUND(SUM(J1410:J1417),2)</f>
        <v>110.19</v>
      </c>
      <c r="N1418" s="40" t="n">
        <f aca="false">ROUND(SUM(N1410:N1417),2)</f>
        <v>86.28</v>
      </c>
    </row>
    <row r="1419" customFormat="false" ht="15" hidden="false" customHeight="false" outlineLevel="0" collapsed="false">
      <c r="A1419" s="15" t="s">
        <v>270</v>
      </c>
      <c r="B1419" s="41" t="n">
        <f aca="false">IF((F1412+F1410+F1414+F1411+F1413)=0,"",((F1412+F1410+F1414+F1411+F1413)-(B1412*D1412+B1410*D1410+B1414*D1414+B1411*D1411+B1413*D1413))/(F1412+F1410+F1414+F1411+F1413))</f>
        <v>0.144306267365486</v>
      </c>
      <c r="D1419" s="42" t="str">
        <f aca="false">IF(B1419="","SIN PC",IF(B1419&gt;=Detalle!$G$1,"APROBAR",IF(B1419&gt;=0.2,"REVISAR","RECHAZAR")))</f>
        <v>RECHAZAR</v>
      </c>
      <c r="E1419" s="42"/>
      <c r="F1419" s="42"/>
    </row>
    <row r="1421" customFormat="false" ht="15" hidden="false" customHeight="false" outlineLevel="0" collapsed="false">
      <c r="A1421" s="11" t="s">
        <v>897</v>
      </c>
      <c r="B1421" s="11"/>
      <c r="C1421" s="11"/>
      <c r="D1421" s="11"/>
      <c r="E1421" s="11"/>
      <c r="F1421" s="11"/>
      <c r="H1421" s="11" t="s">
        <v>395</v>
      </c>
      <c r="I1421" s="11"/>
      <c r="J1421" s="11"/>
      <c r="K1421" s="11"/>
      <c r="L1421" s="11"/>
      <c r="M1421" s="11"/>
      <c r="N1421" s="11"/>
      <c r="P1421" s="14" t="s">
        <v>246</v>
      </c>
    </row>
    <row r="1422" customFormat="false" ht="15" hidden="false" customHeight="false" outlineLevel="0" collapsed="false">
      <c r="A1422" s="15" t="s">
        <v>247</v>
      </c>
      <c r="B1422" s="16" t="s">
        <v>248</v>
      </c>
      <c r="C1422" s="17"/>
      <c r="D1422" s="17"/>
      <c r="E1422" s="17"/>
      <c r="F1422" s="17"/>
      <c r="H1422" s="18" t="s">
        <v>396</v>
      </c>
      <c r="I1422" s="19"/>
      <c r="J1422" s="19"/>
      <c r="L1422" s="20" t="s">
        <v>397</v>
      </c>
      <c r="M1422" s="21"/>
      <c r="N1422" s="21"/>
      <c r="P1422" s="14" t="s">
        <v>398</v>
      </c>
    </row>
    <row r="1423" customFormat="false" ht="15" hidden="false" customHeight="false" outlineLevel="0" collapsed="false">
      <c r="B1423" s="3" t="s">
        <v>252</v>
      </c>
      <c r="C1423" s="3" t="s">
        <v>253</v>
      </c>
      <c r="D1423" s="3" t="s">
        <v>254</v>
      </c>
      <c r="E1423" s="3" t="s">
        <v>255</v>
      </c>
      <c r="F1423" s="3" t="s">
        <v>256</v>
      </c>
      <c r="H1423" s="22" t="s">
        <v>252</v>
      </c>
      <c r="I1423" s="22" t="s">
        <v>255</v>
      </c>
      <c r="J1423" s="22" t="s">
        <v>256</v>
      </c>
      <c r="L1423" s="23" t="s">
        <v>252</v>
      </c>
      <c r="M1423" s="23" t="s">
        <v>255</v>
      </c>
      <c r="N1423" s="23" t="s">
        <v>256</v>
      </c>
      <c r="P1423" s="14" t="s">
        <v>399</v>
      </c>
    </row>
    <row r="1424" customFormat="false" ht="15" hidden="false" customHeight="false" outlineLevel="0" collapsed="false">
      <c r="A1424" s="24" t="s">
        <v>258</v>
      </c>
      <c r="B1424" s="25" t="n">
        <v>5.5</v>
      </c>
      <c r="C1424" s="25" t="n">
        <v>30</v>
      </c>
      <c r="D1424" s="26" t="n">
        <v>3.68919</v>
      </c>
      <c r="E1424" s="27" t="n">
        <v>3.85</v>
      </c>
      <c r="F1424" s="28" t="n">
        <f aca="false">ROUND(B1424*E1424,2)</f>
        <v>21.18</v>
      </c>
      <c r="H1424" s="29" t="n">
        <v>5.5</v>
      </c>
      <c r="I1424" s="30" t="n">
        <v>3.85</v>
      </c>
      <c r="J1424" s="31" t="n">
        <f aca="false">ROUND(H1424*I1424,2)</f>
        <v>21.18</v>
      </c>
      <c r="L1424" s="32" t="n">
        <v>5.5</v>
      </c>
      <c r="M1424" s="33" t="n">
        <v>3.85</v>
      </c>
      <c r="N1424" s="34" t="n">
        <f aca="false">ROUND(L1424*M1424,2)</f>
        <v>21.18</v>
      </c>
      <c r="P1424" s="35" t="s">
        <v>400</v>
      </c>
    </row>
    <row r="1425" customFormat="false" ht="15" hidden="false" customHeight="false" outlineLevel="0" collapsed="false">
      <c r="A1425" s="24" t="s">
        <v>260</v>
      </c>
      <c r="B1425" s="25" t="n">
        <v>5.5</v>
      </c>
      <c r="C1425" s="25" t="n">
        <v>30</v>
      </c>
      <c r="D1425" s="26" t="n">
        <v>1.31928</v>
      </c>
      <c r="E1425" s="27" t="n">
        <v>1.33</v>
      </c>
      <c r="F1425" s="28" t="n">
        <f aca="false">ROUND(B1425*E1425,2)</f>
        <v>7.32</v>
      </c>
      <c r="H1425" s="29" t="n">
        <v>5.5</v>
      </c>
      <c r="I1425" s="30" t="n">
        <v>1.33</v>
      </c>
      <c r="J1425" s="31" t="n">
        <f aca="false">ROUND(H1425*I1425,2)</f>
        <v>7.32</v>
      </c>
      <c r="L1425" s="32" t="n">
        <v>5.5</v>
      </c>
      <c r="M1425" s="33" t="n">
        <v>1.33</v>
      </c>
      <c r="N1425" s="34" t="n">
        <f aca="false">ROUND(L1425*M1425,2)</f>
        <v>7.32</v>
      </c>
      <c r="P1425" s="43" t="s">
        <v>261</v>
      </c>
    </row>
    <row r="1426" customFormat="false" ht="15" hidden="false" customHeight="false" outlineLevel="0" collapsed="false">
      <c r="A1426" s="24" t="s">
        <v>262</v>
      </c>
      <c r="B1426" s="25" t="n">
        <v>131.537</v>
      </c>
      <c r="C1426" s="25" t="n">
        <v>30</v>
      </c>
      <c r="D1426" s="26" t="n">
        <v>0.111171</v>
      </c>
      <c r="E1426" s="27" t="n">
        <v>0.13788</v>
      </c>
      <c r="F1426" s="28" t="n">
        <f aca="false">ROUND(B1426*E1426,2)</f>
        <v>18.14</v>
      </c>
      <c r="H1426" s="29" t="n">
        <v>383.007</v>
      </c>
      <c r="I1426" s="30" t="n">
        <v>0.13788</v>
      </c>
      <c r="J1426" s="31" t="n">
        <f aca="false">ROUND(H1426*I1426,2)</f>
        <v>52.81</v>
      </c>
      <c r="L1426" s="32" t="n">
        <v>197.212</v>
      </c>
      <c r="M1426" s="33" t="n">
        <v>0.13788</v>
      </c>
      <c r="N1426" s="34" t="n">
        <f aca="false">ROUND(L1426*M1426,2)</f>
        <v>27.19</v>
      </c>
    </row>
    <row r="1427" customFormat="false" ht="15" hidden="false" customHeight="false" outlineLevel="0" collapsed="false">
      <c r="A1427" s="24" t="s">
        <v>264</v>
      </c>
      <c r="B1427" s="25" t="n">
        <v>180.241</v>
      </c>
      <c r="C1427" s="25" t="n">
        <v>30</v>
      </c>
      <c r="D1427" s="26" t="n">
        <v>0.111171</v>
      </c>
      <c r="E1427" s="27" t="n">
        <v>0.13788</v>
      </c>
      <c r="F1427" s="28" t="n">
        <f aca="false">ROUND(B1427*E1427,2)</f>
        <v>24.85</v>
      </c>
      <c r="H1427" s="29" t="n">
        <v>376.412</v>
      </c>
      <c r="I1427" s="30" t="n">
        <v>0.13788</v>
      </c>
      <c r="J1427" s="31" t="n">
        <f aca="false">ROUND(H1427*I1427,2)</f>
        <v>51.9</v>
      </c>
      <c r="L1427" s="32" t="n">
        <v>187.009</v>
      </c>
      <c r="M1427" s="33" t="n">
        <v>0.13788</v>
      </c>
      <c r="N1427" s="34" t="n">
        <f aca="false">ROUND(L1427*M1427,2)</f>
        <v>25.78</v>
      </c>
    </row>
    <row r="1428" customFormat="false" ht="15" hidden="false" customHeight="false" outlineLevel="0" collapsed="false">
      <c r="A1428" s="24" t="s">
        <v>265</v>
      </c>
      <c r="B1428" s="25" t="n">
        <v>423.07</v>
      </c>
      <c r="C1428" s="25" t="n">
        <v>30</v>
      </c>
      <c r="D1428" s="26" t="n">
        <v>0.111171</v>
      </c>
      <c r="E1428" s="27" t="n">
        <v>0.13788</v>
      </c>
      <c r="F1428" s="28" t="n">
        <f aca="false">ROUND(B1428*E1428,2)</f>
        <v>58.33</v>
      </c>
      <c r="H1428" s="29" t="n">
        <v>918.002</v>
      </c>
      <c r="I1428" s="30" t="n">
        <v>0.13788</v>
      </c>
      <c r="J1428" s="31" t="n">
        <f aca="false">ROUND(H1428*I1428,2)</f>
        <v>126.57</v>
      </c>
      <c r="L1428" s="32" t="n">
        <v>440.662</v>
      </c>
      <c r="M1428" s="33" t="n">
        <v>0.13788</v>
      </c>
      <c r="N1428" s="34" t="n">
        <f aca="false">ROUND(L1428*M1428,2)</f>
        <v>60.76</v>
      </c>
    </row>
    <row r="1429" customFormat="false" ht="15" hidden="false" customHeight="false" outlineLevel="0" collapsed="false">
      <c r="A1429" s="24" t="s">
        <v>266</v>
      </c>
      <c r="B1429" s="25" t="n">
        <v>1</v>
      </c>
      <c r="C1429" s="25" t="n">
        <v>30</v>
      </c>
      <c r="D1429" s="26" t="n">
        <v>0.7989</v>
      </c>
      <c r="E1429" s="27" t="n">
        <v>3</v>
      </c>
      <c r="F1429" s="28" t="n">
        <f aca="false">ROUND(B1429*E1429,2)</f>
        <v>3</v>
      </c>
      <c r="H1429" s="29" t="n">
        <v>1</v>
      </c>
      <c r="I1429" s="30" t="n">
        <v>3</v>
      </c>
      <c r="J1429" s="31" t="n">
        <f aca="false">ROUND(H1429*I1429,2)</f>
        <v>3</v>
      </c>
      <c r="L1429" s="32" t="n">
        <v>1</v>
      </c>
      <c r="M1429" s="33" t="n">
        <v>3</v>
      </c>
      <c r="N1429" s="34" t="n">
        <f aca="false">ROUND(L1429*M1429,2)</f>
        <v>3</v>
      </c>
    </row>
    <row r="1430" customFormat="false" ht="15" hidden="false" customHeight="false" outlineLevel="0" collapsed="false">
      <c r="A1430" s="24" t="s">
        <v>267</v>
      </c>
      <c r="B1430" s="25" t="n">
        <v>30</v>
      </c>
      <c r="C1430" s="25" t="n">
        <v>30</v>
      </c>
      <c r="D1430" s="26" t="n">
        <v>0.5736</v>
      </c>
      <c r="E1430" s="27" t="n">
        <v>0.01274</v>
      </c>
      <c r="F1430" s="28" t="n">
        <f aca="false">ROUND(B1430*E1430,2)</f>
        <v>0.38</v>
      </c>
      <c r="H1430" s="29" t="n">
        <v>30</v>
      </c>
      <c r="I1430" s="30" t="n">
        <v>0.01274</v>
      </c>
      <c r="J1430" s="31" t="n">
        <f aca="false">ROUND(H1430*I1430,2)</f>
        <v>0.38</v>
      </c>
      <c r="L1430" s="32" t="n">
        <v>30</v>
      </c>
      <c r="M1430" s="33" t="n">
        <v>0.00629</v>
      </c>
      <c r="N1430" s="34" t="n">
        <f aca="false">ROUND(L1430*M1430,2)</f>
        <v>0.19</v>
      </c>
    </row>
    <row r="1431" customFormat="false" ht="15" hidden="false" customHeight="false" outlineLevel="0" collapsed="false">
      <c r="A1431" s="24" t="s">
        <v>268</v>
      </c>
      <c r="B1431" s="25" t="n">
        <v>6.64</v>
      </c>
      <c r="C1431" s="25" t="n">
        <v>30</v>
      </c>
      <c r="D1431" s="26" t="n">
        <v>0.27312</v>
      </c>
      <c r="E1431" s="27" t="n">
        <v>1</v>
      </c>
      <c r="F1431" s="28" t="n">
        <f aca="false">ROUND(B1431*E1431,2)</f>
        <v>6.64</v>
      </c>
      <c r="H1431" s="29" t="n">
        <v>13.28</v>
      </c>
      <c r="I1431" s="30" t="n">
        <v>1</v>
      </c>
      <c r="J1431" s="31" t="n">
        <f aca="false">ROUND(H1431*I1431,2)</f>
        <v>13.28</v>
      </c>
      <c r="L1431" s="32" t="n">
        <v>7.28</v>
      </c>
      <c r="M1431" s="33" t="n">
        <v>1</v>
      </c>
      <c r="N1431" s="34" t="n">
        <f aca="false">ROUND(L1431*M1431,2)</f>
        <v>7.28</v>
      </c>
    </row>
    <row r="1432" customFormat="false" ht="15" hidden="false" customHeight="false" outlineLevel="0" collapsed="false">
      <c r="A1432" s="37" t="s">
        <v>269</v>
      </c>
      <c r="F1432" s="38" t="n">
        <f aca="false">ROUND((SUM(F1424:F1431)-F1431)*1.1+F1431,2)</f>
        <v>153.16</v>
      </c>
      <c r="J1432" s="39" t="n">
        <f aca="false">ROUND(SUM(J1424:J1431),2)</f>
        <v>276.44</v>
      </c>
      <c r="N1432" s="40" t="n">
        <f aca="false">ROUND(SUM(N1424:N1431),2)</f>
        <v>152.7</v>
      </c>
    </row>
    <row r="1433" customFormat="false" ht="15" hidden="false" customHeight="false" outlineLevel="0" collapsed="false">
      <c r="A1433" s="15" t="s">
        <v>270</v>
      </c>
      <c r="B1433" s="41" t="n">
        <f aca="false">IF((F1426+F1424+F1428+F1425+F1427)=0,"",((F1426+F1424+F1428+F1425+F1427)-(B1426*D1426+B1424*D1424+B1428*D1428+B1425*D1425+B1427*D1427))/(F1426+F1424+F1428+F1425+F1427))</f>
        <v>0.158524325928208</v>
      </c>
      <c r="D1433" s="42" t="str">
        <f aca="false">IF(B1433="","SIN PC",IF(B1433&gt;=Detalle!$G$1,"APROBAR",IF(B1433&gt;=0.2,"REVISAR","RECHAZAR")))</f>
        <v>RECHAZAR</v>
      </c>
      <c r="E1433" s="42"/>
      <c r="F1433" s="42"/>
    </row>
    <row r="1435" customFormat="false" ht="15" hidden="false" customHeight="false" outlineLevel="0" collapsed="false">
      <c r="A1435" s="11" t="s">
        <v>898</v>
      </c>
      <c r="B1435" s="11"/>
      <c r="C1435" s="11"/>
      <c r="D1435" s="11"/>
      <c r="E1435" s="11"/>
      <c r="F1435" s="11"/>
      <c r="H1435" s="11" t="s">
        <v>899</v>
      </c>
      <c r="I1435" s="11"/>
      <c r="J1435" s="11"/>
      <c r="K1435" s="11"/>
      <c r="L1435" s="11"/>
      <c r="M1435" s="11"/>
      <c r="N1435" s="11"/>
      <c r="P1435" s="14" t="s">
        <v>246</v>
      </c>
    </row>
    <row r="1436" customFormat="false" ht="15" hidden="false" customHeight="false" outlineLevel="0" collapsed="false">
      <c r="A1436" s="15" t="s">
        <v>247</v>
      </c>
      <c r="B1436" s="16" t="s">
        <v>248</v>
      </c>
      <c r="C1436" s="17"/>
      <c r="D1436" s="17"/>
      <c r="E1436" s="17"/>
      <c r="F1436" s="17"/>
      <c r="H1436" s="18" t="s">
        <v>900</v>
      </c>
      <c r="I1436" s="19"/>
      <c r="J1436" s="19"/>
      <c r="L1436" s="20" t="s">
        <v>901</v>
      </c>
      <c r="M1436" s="21"/>
      <c r="N1436" s="21"/>
      <c r="P1436" s="14" t="s">
        <v>902</v>
      </c>
    </row>
    <row r="1437" customFormat="false" ht="15" hidden="false" customHeight="false" outlineLevel="0" collapsed="false">
      <c r="B1437" s="3" t="s">
        <v>252</v>
      </c>
      <c r="C1437" s="3" t="s">
        <v>253</v>
      </c>
      <c r="D1437" s="3" t="s">
        <v>254</v>
      </c>
      <c r="E1437" s="3" t="s">
        <v>255</v>
      </c>
      <c r="F1437" s="3" t="s">
        <v>256</v>
      </c>
      <c r="H1437" s="22" t="s">
        <v>252</v>
      </c>
      <c r="I1437" s="22" t="s">
        <v>255</v>
      </c>
      <c r="J1437" s="22" t="s">
        <v>256</v>
      </c>
      <c r="L1437" s="23" t="s">
        <v>252</v>
      </c>
      <c r="M1437" s="23" t="s">
        <v>255</v>
      </c>
      <c r="N1437" s="23" t="s">
        <v>256</v>
      </c>
      <c r="P1437" s="14" t="s">
        <v>399</v>
      </c>
    </row>
    <row r="1438" customFormat="false" ht="15" hidden="false" customHeight="false" outlineLevel="0" collapsed="false">
      <c r="A1438" s="24" t="s">
        <v>258</v>
      </c>
      <c r="B1438" s="25" t="n">
        <v>12</v>
      </c>
      <c r="C1438" s="25" t="n">
        <v>30</v>
      </c>
      <c r="D1438" s="26" t="n">
        <v>3.68919</v>
      </c>
      <c r="E1438" s="27" t="n">
        <v>4.17</v>
      </c>
      <c r="F1438" s="28" t="n">
        <f aca="false">ROUND(B1438*E1438,2)</f>
        <v>50.04</v>
      </c>
      <c r="H1438" s="29" t="n">
        <v>12</v>
      </c>
      <c r="I1438" s="30" t="n">
        <v>4.17</v>
      </c>
      <c r="J1438" s="31" t="n">
        <f aca="false">ROUND(H1438*I1438,2)</f>
        <v>50.04</v>
      </c>
      <c r="L1438" s="32" t="n">
        <v>12</v>
      </c>
      <c r="M1438" s="33" t="n">
        <v>4.17</v>
      </c>
      <c r="N1438" s="34" t="n">
        <f aca="false">ROUND(L1438*M1438,2)</f>
        <v>50.04</v>
      </c>
      <c r="P1438" s="35" t="s">
        <v>903</v>
      </c>
    </row>
    <row r="1439" customFormat="false" ht="15" hidden="false" customHeight="false" outlineLevel="0" collapsed="false">
      <c r="A1439" s="24" t="s">
        <v>260</v>
      </c>
      <c r="B1439" s="25" t="n">
        <v>12</v>
      </c>
      <c r="C1439" s="25" t="n">
        <v>30</v>
      </c>
      <c r="D1439" s="26" t="n">
        <v>1.31928</v>
      </c>
      <c r="E1439" s="27" t="n">
        <v>1.37</v>
      </c>
      <c r="F1439" s="28" t="n">
        <f aca="false">ROUND(B1439*E1439,2)</f>
        <v>16.44</v>
      </c>
      <c r="H1439" s="29" t="n">
        <v>12</v>
      </c>
      <c r="I1439" s="30" t="n">
        <v>1.37</v>
      </c>
      <c r="J1439" s="31" t="n">
        <f aca="false">ROUND(H1439*I1439,2)</f>
        <v>16.44</v>
      </c>
      <c r="L1439" s="32" t="n">
        <v>12</v>
      </c>
      <c r="M1439" s="33" t="n">
        <v>1.37</v>
      </c>
      <c r="N1439" s="34" t="n">
        <f aca="false">ROUND(L1439*M1439,2)</f>
        <v>16.44</v>
      </c>
      <c r="P1439" s="43" t="s">
        <v>261</v>
      </c>
    </row>
    <row r="1440" customFormat="false" ht="15" hidden="false" customHeight="false" outlineLevel="0" collapsed="false">
      <c r="A1440" s="24" t="s">
        <v>262</v>
      </c>
      <c r="B1440" s="25" t="n">
        <v>722.551</v>
      </c>
      <c r="C1440" s="25" t="n">
        <v>30</v>
      </c>
      <c r="D1440" s="26" t="n">
        <v>0.111171</v>
      </c>
      <c r="E1440" s="27" t="n">
        <v>0.135</v>
      </c>
      <c r="F1440" s="28" t="n">
        <f aca="false">ROUND(B1440*E1440,2)</f>
        <v>97.54</v>
      </c>
      <c r="H1440" s="29" t="n">
        <v>607.428</v>
      </c>
      <c r="I1440" s="30" t="n">
        <v>0.14937</v>
      </c>
      <c r="J1440" s="31" t="n">
        <f aca="false">ROUND(H1440*I1440,2)</f>
        <v>90.73</v>
      </c>
      <c r="L1440" s="32" t="n">
        <v>678.467</v>
      </c>
      <c r="M1440" s="33" t="n">
        <v>0.14937</v>
      </c>
      <c r="N1440" s="34" t="n">
        <f aca="false">ROUND(L1440*M1440,2)</f>
        <v>101.34</v>
      </c>
    </row>
    <row r="1441" customFormat="false" ht="15" hidden="false" customHeight="false" outlineLevel="0" collapsed="false">
      <c r="A1441" s="24" t="s">
        <v>264</v>
      </c>
      <c r="B1441" s="25" t="n">
        <v>884.765</v>
      </c>
      <c r="C1441" s="25" t="n">
        <v>30</v>
      </c>
      <c r="D1441" s="26" t="n">
        <v>0.111171</v>
      </c>
      <c r="E1441" s="27" t="n">
        <v>0.135</v>
      </c>
      <c r="F1441" s="28" t="n">
        <f aca="false">ROUND(B1441*E1441,2)</f>
        <v>119.44</v>
      </c>
      <c r="H1441" s="29" t="n">
        <v>795.015</v>
      </c>
      <c r="I1441" s="30" t="n">
        <v>0.14937</v>
      </c>
      <c r="J1441" s="31" t="n">
        <f aca="false">ROUND(H1441*I1441,2)</f>
        <v>118.75</v>
      </c>
      <c r="L1441" s="32" t="n">
        <v>943.97</v>
      </c>
      <c r="M1441" s="33" t="n">
        <v>0.14937</v>
      </c>
      <c r="N1441" s="34" t="n">
        <f aca="false">ROUND(L1441*M1441,2)</f>
        <v>141</v>
      </c>
    </row>
    <row r="1442" customFormat="false" ht="15" hidden="false" customHeight="false" outlineLevel="0" collapsed="false">
      <c r="A1442" s="24" t="s">
        <v>265</v>
      </c>
      <c r="B1442" s="25" t="n">
        <v>1428.05</v>
      </c>
      <c r="C1442" s="25" t="n">
        <v>30</v>
      </c>
      <c r="D1442" s="26" t="n">
        <v>0.111171</v>
      </c>
      <c r="E1442" s="27" t="n">
        <v>0.135</v>
      </c>
      <c r="F1442" s="28" t="n">
        <f aca="false">ROUND(B1442*E1442,2)</f>
        <v>192.79</v>
      </c>
      <c r="H1442" s="29" t="n">
        <v>1451.37</v>
      </c>
      <c r="I1442" s="30" t="n">
        <v>0.14937</v>
      </c>
      <c r="J1442" s="31" t="n">
        <f aca="false">ROUND(H1442*I1442,2)</f>
        <v>216.79</v>
      </c>
      <c r="L1442" s="32" t="n">
        <v>1786.71</v>
      </c>
      <c r="M1442" s="33" t="n">
        <v>0.14937</v>
      </c>
      <c r="N1442" s="34" t="n">
        <f aca="false">ROUND(L1442*M1442,2)</f>
        <v>266.88</v>
      </c>
    </row>
    <row r="1443" customFormat="false" ht="15" hidden="false" customHeight="false" outlineLevel="0" collapsed="false">
      <c r="A1443" s="24" t="s">
        <v>266</v>
      </c>
      <c r="B1443" s="25" t="n">
        <v>1</v>
      </c>
      <c r="C1443" s="25" t="n">
        <v>30</v>
      </c>
      <c r="D1443" s="26" t="n">
        <v>0.7989</v>
      </c>
      <c r="E1443" s="27" t="n">
        <v>4</v>
      </c>
      <c r="F1443" s="28" t="n">
        <f aca="false">ROUND(B1443*E1443,2)</f>
        <v>4</v>
      </c>
      <c r="H1443" s="29" t="n">
        <v>1</v>
      </c>
      <c r="I1443" s="30" t="n">
        <v>4</v>
      </c>
      <c r="J1443" s="31" t="n">
        <f aca="false">ROUND(H1443*I1443,2)</f>
        <v>4</v>
      </c>
      <c r="L1443" s="32" t="n">
        <v>1</v>
      </c>
      <c r="M1443" s="33" t="n">
        <v>4</v>
      </c>
      <c r="N1443" s="34" t="n">
        <f aca="false">ROUND(L1443*M1443,2)</f>
        <v>4</v>
      </c>
    </row>
    <row r="1444" customFormat="false" ht="15" hidden="false" customHeight="false" outlineLevel="0" collapsed="false">
      <c r="A1444" s="24" t="s">
        <v>267</v>
      </c>
      <c r="B1444" s="25" t="n">
        <v>30</v>
      </c>
      <c r="C1444" s="25" t="n">
        <v>30</v>
      </c>
      <c r="D1444" s="26" t="n">
        <v>0.5736</v>
      </c>
      <c r="E1444" s="27" t="n">
        <v>0.01274</v>
      </c>
      <c r="F1444" s="28" t="n">
        <f aca="false">ROUND(B1444*E1444,2)</f>
        <v>0.38</v>
      </c>
      <c r="H1444" s="29" t="n">
        <v>30</v>
      </c>
      <c r="I1444" s="30" t="n">
        <v>0.01274</v>
      </c>
      <c r="J1444" s="31" t="n">
        <f aca="false">ROUND(H1444*I1444,2)</f>
        <v>0.38</v>
      </c>
      <c r="L1444" s="32" t="n">
        <v>30</v>
      </c>
      <c r="M1444" s="33" t="n">
        <v>0.01274</v>
      </c>
      <c r="N1444" s="34" t="n">
        <f aca="false">ROUND(L1444*M1444,2)</f>
        <v>0.38</v>
      </c>
    </row>
    <row r="1445" customFormat="false" ht="15" hidden="false" customHeight="false" outlineLevel="0" collapsed="false">
      <c r="A1445" s="24" t="s">
        <v>268</v>
      </c>
      <c r="B1445" s="25" t="n">
        <v>25.8</v>
      </c>
      <c r="C1445" s="25" t="n">
        <v>30</v>
      </c>
      <c r="D1445" s="26" t="n">
        <v>0.27312</v>
      </c>
      <c r="E1445" s="27" t="n">
        <v>1</v>
      </c>
      <c r="F1445" s="28" t="n">
        <f aca="false">ROUND(B1445*E1445,2)</f>
        <v>25.8</v>
      </c>
      <c r="H1445" s="29" t="n">
        <v>25.19</v>
      </c>
      <c r="I1445" s="30" t="n">
        <v>1</v>
      </c>
      <c r="J1445" s="31" t="n">
        <f aca="false">ROUND(H1445*I1445,2)</f>
        <v>25.19</v>
      </c>
      <c r="L1445" s="32" t="n">
        <v>28.42</v>
      </c>
      <c r="M1445" s="33" t="n">
        <v>1</v>
      </c>
      <c r="N1445" s="34" t="n">
        <f aca="false">ROUND(L1445*M1445,2)</f>
        <v>28.42</v>
      </c>
    </row>
    <row r="1446" customFormat="false" ht="15" hidden="false" customHeight="false" outlineLevel="0" collapsed="false">
      <c r="A1446" s="37" t="s">
        <v>269</v>
      </c>
      <c r="F1446" s="38" t="n">
        <f aca="false">ROUND((SUM(F1438:F1445)-F1445)*1.1+F1445,2)</f>
        <v>554.49</v>
      </c>
      <c r="J1446" s="39" t="n">
        <f aca="false">ROUND(SUM(J1438:J1445),2)</f>
        <v>522.32</v>
      </c>
      <c r="N1446" s="40" t="n">
        <f aca="false">ROUND(SUM(N1438:N1445),2)</f>
        <v>608.5</v>
      </c>
    </row>
    <row r="1447" customFormat="false" ht="15" hidden="false" customHeight="false" outlineLevel="0" collapsed="false">
      <c r="A1447" s="15" t="s">
        <v>270</v>
      </c>
      <c r="B1447" s="41" t="n">
        <f aca="false">IF((F1440+F1438+F1442+F1439+F1441)=0,"",((F1440+F1438+F1442+F1439+F1441)-(B1440*D1440+B1438*D1438+B1442*D1442+B1439*D1439+B1441*D1441))/(F1440+F1438+F1442+F1439+F1441))</f>
        <v>0.165257084333858</v>
      </c>
      <c r="D1447" s="42" t="str">
        <f aca="false">IF(B1447="","SIN PC",IF(B1447&gt;=Detalle!$G$1,"APROBAR",IF(B1447&gt;=0.2,"REVISAR","RECHAZAR")))</f>
        <v>RECHAZAR</v>
      </c>
      <c r="E1447" s="42"/>
      <c r="F1447" s="42"/>
    </row>
    <row r="1449" customFormat="false" ht="15" hidden="false" customHeight="false" outlineLevel="0" collapsed="false">
      <c r="A1449" s="11" t="s">
        <v>904</v>
      </c>
      <c r="B1449" s="11"/>
      <c r="C1449" s="11"/>
      <c r="D1449" s="11"/>
      <c r="E1449" s="11"/>
      <c r="F1449" s="11"/>
      <c r="H1449" s="11" t="s">
        <v>905</v>
      </c>
      <c r="I1449" s="11"/>
      <c r="J1449" s="11"/>
      <c r="K1449" s="11"/>
      <c r="L1449" s="11"/>
      <c r="M1449" s="11"/>
      <c r="N1449" s="11"/>
      <c r="P1449" s="14" t="s">
        <v>246</v>
      </c>
    </row>
    <row r="1450" customFormat="false" ht="15" hidden="false" customHeight="false" outlineLevel="0" collapsed="false">
      <c r="A1450" s="15" t="s">
        <v>247</v>
      </c>
      <c r="B1450" s="16" t="s">
        <v>248</v>
      </c>
      <c r="C1450" s="17"/>
      <c r="D1450" s="17"/>
      <c r="E1450" s="17"/>
      <c r="F1450" s="17"/>
      <c r="H1450" s="18" t="s">
        <v>906</v>
      </c>
      <c r="I1450" s="19"/>
      <c r="J1450" s="19"/>
      <c r="L1450" s="20" t="s">
        <v>907</v>
      </c>
      <c r="M1450" s="21"/>
      <c r="N1450" s="21"/>
      <c r="P1450" s="14" t="s">
        <v>398</v>
      </c>
    </row>
    <row r="1451" customFormat="false" ht="15" hidden="false" customHeight="false" outlineLevel="0" collapsed="false">
      <c r="B1451" s="3" t="s">
        <v>252</v>
      </c>
      <c r="C1451" s="3" t="s">
        <v>253</v>
      </c>
      <c r="D1451" s="3" t="s">
        <v>254</v>
      </c>
      <c r="E1451" s="3" t="s">
        <v>255</v>
      </c>
      <c r="F1451" s="3" t="s">
        <v>256</v>
      </c>
      <c r="H1451" s="22" t="s">
        <v>252</v>
      </c>
      <c r="I1451" s="22" t="s">
        <v>255</v>
      </c>
      <c r="J1451" s="22" t="s">
        <v>256</v>
      </c>
      <c r="L1451" s="23" t="s">
        <v>252</v>
      </c>
      <c r="M1451" s="23" t="s">
        <v>255</v>
      </c>
      <c r="N1451" s="23" t="s">
        <v>256</v>
      </c>
      <c r="P1451" s="14" t="s">
        <v>399</v>
      </c>
    </row>
    <row r="1452" customFormat="false" ht="15" hidden="false" customHeight="false" outlineLevel="0" collapsed="false">
      <c r="A1452" s="24" t="s">
        <v>258</v>
      </c>
      <c r="B1452" s="25" t="n">
        <v>5.75</v>
      </c>
      <c r="C1452" s="25" t="n">
        <v>30</v>
      </c>
      <c r="D1452" s="26" t="n">
        <v>3.68919</v>
      </c>
      <c r="E1452" s="27" t="n">
        <v>4.17</v>
      </c>
      <c r="F1452" s="28" t="n">
        <f aca="false">ROUND(B1452*E1452,2)</f>
        <v>23.98</v>
      </c>
      <c r="H1452" s="29" t="n">
        <v>5.75</v>
      </c>
      <c r="I1452" s="30" t="n">
        <v>4.17</v>
      </c>
      <c r="J1452" s="31" t="n">
        <f aca="false">ROUND(H1452*I1452,2)</f>
        <v>23.98</v>
      </c>
      <c r="L1452" s="32" t="n">
        <v>5.75</v>
      </c>
      <c r="M1452" s="33" t="n">
        <v>4.17</v>
      </c>
      <c r="N1452" s="34" t="n">
        <f aca="false">ROUND(L1452*M1452,2)</f>
        <v>23.98</v>
      </c>
      <c r="P1452" s="35" t="s">
        <v>400</v>
      </c>
    </row>
    <row r="1453" customFormat="false" ht="15" hidden="false" customHeight="false" outlineLevel="0" collapsed="false">
      <c r="A1453" s="24" t="s">
        <v>260</v>
      </c>
      <c r="B1453" s="25" t="n">
        <v>5.75</v>
      </c>
      <c r="C1453" s="25" t="n">
        <v>30</v>
      </c>
      <c r="D1453" s="26" t="n">
        <v>1.31928</v>
      </c>
      <c r="E1453" s="27" t="n">
        <v>1.37</v>
      </c>
      <c r="F1453" s="28" t="n">
        <f aca="false">ROUND(B1453*E1453,2)</f>
        <v>7.88</v>
      </c>
      <c r="H1453" s="29" t="n">
        <v>5.75</v>
      </c>
      <c r="I1453" s="30" t="n">
        <v>1.37</v>
      </c>
      <c r="J1453" s="31" t="n">
        <f aca="false">ROUND(H1453*I1453,2)</f>
        <v>7.88</v>
      </c>
      <c r="L1453" s="32" t="n">
        <v>5.75</v>
      </c>
      <c r="M1453" s="33" t="n">
        <v>1.37</v>
      </c>
      <c r="N1453" s="34" t="n">
        <f aca="false">ROUND(L1453*M1453,2)</f>
        <v>7.88</v>
      </c>
      <c r="P1453" s="43" t="s">
        <v>261</v>
      </c>
    </row>
    <row r="1454" customFormat="false" ht="15" hidden="false" customHeight="false" outlineLevel="0" collapsed="false">
      <c r="A1454" s="24" t="s">
        <v>262</v>
      </c>
      <c r="B1454" s="25" t="n">
        <v>163.796</v>
      </c>
      <c r="C1454" s="25" t="n">
        <v>30</v>
      </c>
      <c r="D1454" s="26" t="n">
        <v>0.111171</v>
      </c>
      <c r="E1454" s="27" t="n">
        <v>0.14937</v>
      </c>
      <c r="F1454" s="28" t="n">
        <f aca="false">ROUND(B1454*E1454,2)</f>
        <v>24.47</v>
      </c>
      <c r="H1454" s="29" t="n">
        <v>180.215</v>
      </c>
      <c r="I1454" s="30" t="n">
        <v>0.14937</v>
      </c>
      <c r="J1454" s="31" t="n">
        <f aca="false">ROUND(H1454*I1454,2)</f>
        <v>26.92</v>
      </c>
      <c r="L1454" s="32" t="n">
        <v>84.691</v>
      </c>
      <c r="M1454" s="33" t="n">
        <v>0.14937</v>
      </c>
      <c r="N1454" s="34" t="n">
        <f aca="false">ROUND(L1454*M1454,2)</f>
        <v>12.65</v>
      </c>
    </row>
    <row r="1455" customFormat="false" ht="15" hidden="false" customHeight="false" outlineLevel="0" collapsed="false">
      <c r="A1455" s="24" t="s">
        <v>264</v>
      </c>
      <c r="B1455" s="25" t="n">
        <v>111.841</v>
      </c>
      <c r="C1455" s="25" t="n">
        <v>30</v>
      </c>
      <c r="D1455" s="26" t="n">
        <v>0.111171</v>
      </c>
      <c r="E1455" s="27" t="n">
        <v>0.14937</v>
      </c>
      <c r="F1455" s="28" t="n">
        <f aca="false">ROUND(B1455*E1455,2)</f>
        <v>16.71</v>
      </c>
      <c r="H1455" s="29" t="n">
        <v>111.638</v>
      </c>
      <c r="I1455" s="30" t="n">
        <v>0.14937</v>
      </c>
      <c r="J1455" s="31" t="n">
        <f aca="false">ROUND(H1455*I1455,2)</f>
        <v>16.68</v>
      </c>
      <c r="L1455" s="32" t="n">
        <v>68.49</v>
      </c>
      <c r="M1455" s="33" t="n">
        <v>0.14937</v>
      </c>
      <c r="N1455" s="34" t="n">
        <f aca="false">ROUND(L1455*M1455,2)</f>
        <v>10.23</v>
      </c>
    </row>
    <row r="1456" customFormat="false" ht="15" hidden="false" customHeight="false" outlineLevel="0" collapsed="false">
      <c r="A1456" s="24" t="s">
        <v>265</v>
      </c>
      <c r="B1456" s="25" t="n">
        <v>187.703</v>
      </c>
      <c r="C1456" s="25" t="n">
        <v>30</v>
      </c>
      <c r="D1456" s="26" t="n">
        <v>0.111171</v>
      </c>
      <c r="E1456" s="27" t="n">
        <v>0.14937</v>
      </c>
      <c r="F1456" s="28" t="n">
        <f aca="false">ROUND(B1456*E1456,2)</f>
        <v>28.04</v>
      </c>
      <c r="H1456" s="29" t="n">
        <v>192.656</v>
      </c>
      <c r="I1456" s="30" t="n">
        <v>0.14937</v>
      </c>
      <c r="J1456" s="31" t="n">
        <f aca="false">ROUND(H1456*I1456,2)</f>
        <v>28.78</v>
      </c>
      <c r="L1456" s="32" t="n">
        <v>144.795</v>
      </c>
      <c r="M1456" s="33" t="n">
        <v>0.14937</v>
      </c>
      <c r="N1456" s="34" t="n">
        <f aca="false">ROUND(L1456*M1456,2)</f>
        <v>21.63</v>
      </c>
    </row>
    <row r="1457" customFormat="false" ht="15" hidden="false" customHeight="false" outlineLevel="0" collapsed="false">
      <c r="A1457" s="24" t="s">
        <v>266</v>
      </c>
      <c r="B1457" s="25" t="n">
        <v>1</v>
      </c>
      <c r="C1457" s="25" t="n">
        <v>30</v>
      </c>
      <c r="D1457" s="26" t="n">
        <v>0.7989</v>
      </c>
      <c r="E1457" s="27" t="n">
        <v>4</v>
      </c>
      <c r="F1457" s="28" t="n">
        <f aca="false">ROUND(B1457*E1457,2)</f>
        <v>4</v>
      </c>
      <c r="H1457" s="29" t="n">
        <v>1</v>
      </c>
      <c r="I1457" s="30" t="n">
        <v>4</v>
      </c>
      <c r="J1457" s="31" t="n">
        <f aca="false">ROUND(H1457*I1457,2)</f>
        <v>4</v>
      </c>
      <c r="L1457" s="32" t="n">
        <v>1</v>
      </c>
      <c r="M1457" s="33" t="n">
        <v>4</v>
      </c>
      <c r="N1457" s="34" t="n">
        <f aca="false">ROUND(L1457*M1457,2)</f>
        <v>4</v>
      </c>
    </row>
    <row r="1458" customFormat="false" ht="15" hidden="false" customHeight="false" outlineLevel="0" collapsed="false">
      <c r="A1458" s="24" t="s">
        <v>267</v>
      </c>
      <c r="B1458" s="25" t="n">
        <v>30</v>
      </c>
      <c r="C1458" s="25" t="n">
        <v>30</v>
      </c>
      <c r="D1458" s="26" t="n">
        <v>0.5736</v>
      </c>
      <c r="E1458" s="27" t="n">
        <v>0.01274</v>
      </c>
      <c r="F1458" s="28" t="n">
        <f aca="false">ROUND(B1458*E1458,2)</f>
        <v>0.38</v>
      </c>
      <c r="H1458" s="29" t="n">
        <v>30</v>
      </c>
      <c r="I1458" s="30" t="n">
        <v>0.01274</v>
      </c>
      <c r="J1458" s="31" t="n">
        <f aca="false">ROUND(H1458*I1458,2)</f>
        <v>0.38</v>
      </c>
      <c r="L1458" s="32" t="n">
        <v>30</v>
      </c>
      <c r="M1458" s="33" t="n">
        <v>0.01274</v>
      </c>
      <c r="N1458" s="34" t="n">
        <f aca="false">ROUND(L1458*M1458,2)</f>
        <v>0.38</v>
      </c>
    </row>
    <row r="1459" customFormat="false" ht="15" hidden="false" customHeight="false" outlineLevel="0" collapsed="false">
      <c r="A1459" s="24" t="s">
        <v>268</v>
      </c>
      <c r="B1459" s="25" t="n">
        <v>5.17</v>
      </c>
      <c r="C1459" s="25" t="n">
        <v>30</v>
      </c>
      <c r="D1459" s="26" t="n">
        <v>0.27312</v>
      </c>
      <c r="E1459" s="27" t="n">
        <v>1</v>
      </c>
      <c r="F1459" s="28" t="n">
        <f aca="false">ROUND(B1459*E1459,2)</f>
        <v>5.17</v>
      </c>
      <c r="H1459" s="29" t="n">
        <v>5.34</v>
      </c>
      <c r="I1459" s="30" t="n">
        <v>1</v>
      </c>
      <c r="J1459" s="31" t="n">
        <f aca="false">ROUND(H1459*I1459,2)</f>
        <v>5.34</v>
      </c>
      <c r="L1459" s="32" t="n">
        <v>6.14</v>
      </c>
      <c r="M1459" s="33" t="n">
        <v>1</v>
      </c>
      <c r="N1459" s="34" t="n">
        <f aca="false">ROUND(L1459*M1459,2)</f>
        <v>6.14</v>
      </c>
    </row>
    <row r="1460" customFormat="false" ht="15" hidden="false" customHeight="false" outlineLevel="0" collapsed="false">
      <c r="A1460" s="37" t="s">
        <v>269</v>
      </c>
      <c r="F1460" s="38" t="n">
        <f aca="false">ROUND((SUM(F1452:F1459)-F1459)*1.1+F1459,2)</f>
        <v>121.18</v>
      </c>
      <c r="J1460" s="39" t="n">
        <f aca="false">ROUND(SUM(J1452:J1459),2)</f>
        <v>113.96</v>
      </c>
      <c r="N1460" s="40" t="n">
        <f aca="false">ROUND(SUM(N1452:N1459),2)</f>
        <v>86.89</v>
      </c>
    </row>
    <row r="1461" customFormat="false" ht="15" hidden="false" customHeight="false" outlineLevel="0" collapsed="false">
      <c r="A1461" s="15" t="s">
        <v>270</v>
      </c>
      <c r="B1461" s="41" t="n">
        <f aca="false">IF((F1454+F1452+F1456+F1453+F1455)=0,"",((F1454+F1452+F1456+F1453+F1455)-(B1454*D1454+B1452*D1452+B1456*D1456+B1453*D1453+B1455*D1455))/(F1454+F1452+F1456+F1453+F1455))</f>
        <v>0.205493929165018</v>
      </c>
      <c r="D1461" s="42" t="str">
        <f aca="false">IF(B1461="","SIN PC",IF(B1461&gt;=Detalle!$G$1,"APROBAR",IF(B1461&gt;=0.2,"REVISAR","RECHAZAR")))</f>
        <v>REVISAR</v>
      </c>
      <c r="E1461" s="42"/>
      <c r="F1461" s="42"/>
    </row>
    <row r="1463" customFormat="false" ht="15" hidden="false" customHeight="false" outlineLevel="0" collapsed="false">
      <c r="A1463" s="11" t="s">
        <v>908</v>
      </c>
      <c r="B1463" s="11"/>
      <c r="C1463" s="11"/>
      <c r="D1463" s="11"/>
      <c r="E1463" s="11"/>
      <c r="F1463" s="11"/>
      <c r="H1463" s="11" t="s">
        <v>909</v>
      </c>
      <c r="I1463" s="11"/>
      <c r="J1463" s="11"/>
      <c r="K1463" s="11"/>
      <c r="L1463" s="11"/>
      <c r="M1463" s="11"/>
      <c r="N1463" s="11"/>
      <c r="P1463" s="14" t="s">
        <v>246</v>
      </c>
    </row>
    <row r="1464" customFormat="false" ht="15" hidden="false" customHeight="false" outlineLevel="0" collapsed="false">
      <c r="A1464" s="15" t="s">
        <v>247</v>
      </c>
      <c r="B1464" s="16" t="s">
        <v>248</v>
      </c>
      <c r="C1464" s="17"/>
      <c r="D1464" s="17"/>
      <c r="E1464" s="17"/>
      <c r="F1464" s="17"/>
      <c r="H1464" s="18" t="s">
        <v>910</v>
      </c>
      <c r="I1464" s="19"/>
      <c r="J1464" s="19"/>
      <c r="L1464" s="20" t="s">
        <v>911</v>
      </c>
      <c r="M1464" s="21"/>
      <c r="N1464" s="21"/>
      <c r="P1464" s="14" t="s">
        <v>398</v>
      </c>
    </row>
    <row r="1465" customFormat="false" ht="15" hidden="false" customHeight="false" outlineLevel="0" collapsed="false">
      <c r="B1465" s="3" t="s">
        <v>252</v>
      </c>
      <c r="C1465" s="3" t="s">
        <v>253</v>
      </c>
      <c r="D1465" s="3" t="s">
        <v>254</v>
      </c>
      <c r="E1465" s="3" t="s">
        <v>255</v>
      </c>
      <c r="F1465" s="3" t="s">
        <v>256</v>
      </c>
      <c r="H1465" s="22" t="s">
        <v>252</v>
      </c>
      <c r="I1465" s="22" t="s">
        <v>255</v>
      </c>
      <c r="J1465" s="22" t="s">
        <v>256</v>
      </c>
      <c r="L1465" s="23" t="s">
        <v>252</v>
      </c>
      <c r="M1465" s="23" t="s">
        <v>255</v>
      </c>
      <c r="N1465" s="23" t="s">
        <v>256</v>
      </c>
      <c r="P1465" s="14" t="s">
        <v>399</v>
      </c>
    </row>
    <row r="1466" customFormat="false" ht="15" hidden="false" customHeight="false" outlineLevel="0" collapsed="false">
      <c r="A1466" s="24" t="s">
        <v>258</v>
      </c>
      <c r="B1466" s="25" t="n">
        <v>9.2</v>
      </c>
      <c r="C1466" s="25" t="n">
        <v>30</v>
      </c>
      <c r="D1466" s="26" t="n">
        <v>3.68919</v>
      </c>
      <c r="E1466" s="27" t="n">
        <v>4.17</v>
      </c>
      <c r="F1466" s="28" t="n">
        <f aca="false">ROUND(B1466*E1466,2)</f>
        <v>38.36</v>
      </c>
      <c r="H1466" s="29" t="n">
        <v>9.2</v>
      </c>
      <c r="I1466" s="30" t="n">
        <v>4.17</v>
      </c>
      <c r="J1466" s="31" t="n">
        <f aca="false">ROUND(H1466*I1466,2)</f>
        <v>38.36</v>
      </c>
      <c r="L1466" s="32" t="n">
        <v>9.2</v>
      </c>
      <c r="M1466" s="33" t="n">
        <v>4.17</v>
      </c>
      <c r="N1466" s="34" t="n">
        <f aca="false">ROUND(L1466*M1466,2)</f>
        <v>38.36</v>
      </c>
      <c r="P1466" s="35" t="s">
        <v>400</v>
      </c>
    </row>
    <row r="1467" customFormat="false" ht="15" hidden="false" customHeight="false" outlineLevel="0" collapsed="false">
      <c r="A1467" s="24" t="s">
        <v>260</v>
      </c>
      <c r="B1467" s="25" t="n">
        <v>9.2</v>
      </c>
      <c r="C1467" s="25" t="n">
        <v>30</v>
      </c>
      <c r="D1467" s="26" t="n">
        <v>1.31928</v>
      </c>
      <c r="E1467" s="27" t="n">
        <v>1.37</v>
      </c>
      <c r="F1467" s="28" t="n">
        <f aca="false">ROUND(B1467*E1467,2)</f>
        <v>12.6</v>
      </c>
      <c r="H1467" s="29" t="n">
        <v>9.2</v>
      </c>
      <c r="I1467" s="30" t="n">
        <v>1.37</v>
      </c>
      <c r="J1467" s="31" t="n">
        <f aca="false">ROUND(H1467*I1467,2)</f>
        <v>12.6</v>
      </c>
      <c r="L1467" s="32" t="n">
        <v>9.2</v>
      </c>
      <c r="M1467" s="33" t="n">
        <v>1.37</v>
      </c>
      <c r="N1467" s="34" t="n">
        <f aca="false">ROUND(L1467*M1467,2)</f>
        <v>12.6</v>
      </c>
      <c r="P1467" s="43" t="s">
        <v>261</v>
      </c>
    </row>
    <row r="1468" customFormat="false" ht="15" hidden="false" customHeight="false" outlineLevel="0" collapsed="false">
      <c r="A1468" s="24" t="s">
        <v>262</v>
      </c>
      <c r="B1468" s="25" t="n">
        <v>137.504</v>
      </c>
      <c r="C1468" s="25" t="n">
        <v>30</v>
      </c>
      <c r="D1468" s="26" t="n">
        <v>0.111171</v>
      </c>
      <c r="E1468" s="27" t="n">
        <v>0.14937</v>
      </c>
      <c r="F1468" s="28" t="n">
        <f aca="false">ROUND(B1468*E1468,2)</f>
        <v>20.54</v>
      </c>
      <c r="H1468" s="29" t="n">
        <v>136.805</v>
      </c>
      <c r="I1468" s="30" t="n">
        <v>0.14937</v>
      </c>
      <c r="J1468" s="31" t="n">
        <f aca="false">ROUND(H1468*I1468,2)</f>
        <v>20.43</v>
      </c>
      <c r="L1468" s="32" t="n">
        <v>150.029</v>
      </c>
      <c r="M1468" s="33" t="n">
        <v>0.14937</v>
      </c>
      <c r="N1468" s="34" t="n">
        <f aca="false">ROUND(L1468*M1468,2)</f>
        <v>22.41</v>
      </c>
    </row>
    <row r="1469" customFormat="false" ht="15" hidden="false" customHeight="false" outlineLevel="0" collapsed="false">
      <c r="A1469" s="24" t="s">
        <v>264</v>
      </c>
      <c r="B1469" s="25" t="n">
        <v>138.453</v>
      </c>
      <c r="C1469" s="25" t="n">
        <v>30</v>
      </c>
      <c r="D1469" s="26" t="n">
        <v>0.111171</v>
      </c>
      <c r="E1469" s="27" t="n">
        <v>0.14937</v>
      </c>
      <c r="F1469" s="28" t="n">
        <f aca="false">ROUND(B1469*E1469,2)</f>
        <v>20.68</v>
      </c>
      <c r="H1469" s="29" t="n">
        <v>107.681</v>
      </c>
      <c r="I1469" s="30" t="n">
        <v>0.14937</v>
      </c>
      <c r="J1469" s="31" t="n">
        <f aca="false">ROUND(H1469*I1469,2)</f>
        <v>16.08</v>
      </c>
      <c r="L1469" s="32" t="n">
        <v>151.775</v>
      </c>
      <c r="M1469" s="33" t="n">
        <v>0.14937</v>
      </c>
      <c r="N1469" s="34" t="n">
        <f aca="false">ROUND(L1469*M1469,2)</f>
        <v>22.67</v>
      </c>
    </row>
    <row r="1470" customFormat="false" ht="15" hidden="false" customHeight="false" outlineLevel="0" collapsed="false">
      <c r="A1470" s="24" t="s">
        <v>265</v>
      </c>
      <c r="B1470" s="25" t="n">
        <v>281.36</v>
      </c>
      <c r="C1470" s="25" t="n">
        <v>30</v>
      </c>
      <c r="D1470" s="26" t="n">
        <v>0.111171</v>
      </c>
      <c r="E1470" s="27" t="n">
        <v>0.14937</v>
      </c>
      <c r="F1470" s="28" t="n">
        <f aca="false">ROUND(B1470*E1470,2)</f>
        <v>42.03</v>
      </c>
      <c r="H1470" s="29" t="n">
        <v>228.389</v>
      </c>
      <c r="I1470" s="30" t="n">
        <v>0.14937</v>
      </c>
      <c r="J1470" s="31" t="n">
        <f aca="false">ROUND(H1470*I1470,2)</f>
        <v>34.11</v>
      </c>
      <c r="L1470" s="32" t="n">
        <v>348.621</v>
      </c>
      <c r="M1470" s="33" t="n">
        <v>0.14937</v>
      </c>
      <c r="N1470" s="34" t="n">
        <f aca="false">ROUND(L1470*M1470,2)</f>
        <v>52.07</v>
      </c>
    </row>
    <row r="1471" customFormat="false" ht="15" hidden="false" customHeight="false" outlineLevel="0" collapsed="false">
      <c r="A1471" s="24" t="s">
        <v>266</v>
      </c>
      <c r="B1471" s="25" t="n">
        <v>1</v>
      </c>
      <c r="C1471" s="25" t="n">
        <v>30</v>
      </c>
      <c r="D1471" s="26" t="n">
        <v>0.7989</v>
      </c>
      <c r="E1471" s="27" t="n">
        <v>4</v>
      </c>
      <c r="F1471" s="28" t="n">
        <f aca="false">ROUND(B1471*E1471,2)</f>
        <v>4</v>
      </c>
      <c r="H1471" s="29" t="n">
        <v>1</v>
      </c>
      <c r="I1471" s="30" t="n">
        <v>4</v>
      </c>
      <c r="J1471" s="31" t="n">
        <f aca="false">ROUND(H1471*I1471,2)</f>
        <v>4</v>
      </c>
      <c r="L1471" s="32" t="n">
        <v>1</v>
      </c>
      <c r="M1471" s="33" t="n">
        <v>4</v>
      </c>
      <c r="N1471" s="34" t="n">
        <f aca="false">ROUND(L1471*M1471,2)</f>
        <v>4</v>
      </c>
    </row>
    <row r="1472" customFormat="false" ht="15" hidden="false" customHeight="false" outlineLevel="0" collapsed="false">
      <c r="A1472" s="24" t="s">
        <v>267</v>
      </c>
      <c r="B1472" s="25" t="n">
        <v>30</v>
      </c>
      <c r="C1472" s="25" t="n">
        <v>30</v>
      </c>
      <c r="D1472" s="26" t="n">
        <v>0.5736</v>
      </c>
      <c r="E1472" s="27" t="n">
        <v>0.01274</v>
      </c>
      <c r="F1472" s="28" t="n">
        <f aca="false">ROUND(B1472*E1472,2)</f>
        <v>0.38</v>
      </c>
      <c r="H1472" s="29" t="n">
        <v>30</v>
      </c>
      <c r="I1472" s="30" t="n">
        <v>0.01274</v>
      </c>
      <c r="J1472" s="31" t="n">
        <f aca="false">ROUND(H1472*I1472,2)</f>
        <v>0.38</v>
      </c>
      <c r="L1472" s="32" t="n">
        <v>30</v>
      </c>
      <c r="M1472" s="33" t="n">
        <v>0.00629</v>
      </c>
      <c r="N1472" s="34" t="n">
        <f aca="false">ROUND(L1472*M1472,2)</f>
        <v>0.19</v>
      </c>
    </row>
    <row r="1473" customFormat="false" ht="15" hidden="false" customHeight="false" outlineLevel="0" collapsed="false">
      <c r="A1473" s="24" t="s">
        <v>268</v>
      </c>
      <c r="B1473" s="25" t="n">
        <v>6.87</v>
      </c>
      <c r="C1473" s="25" t="n">
        <v>30</v>
      </c>
      <c r="D1473" s="26" t="n">
        <v>0.02671</v>
      </c>
      <c r="E1473" s="27" t="n">
        <v>1</v>
      </c>
      <c r="F1473" s="28" t="n">
        <f aca="false">ROUND(B1473*E1473,2)</f>
        <v>6.87</v>
      </c>
      <c r="H1473" s="29" t="n">
        <v>6.22</v>
      </c>
      <c r="I1473" s="30" t="n">
        <v>1</v>
      </c>
      <c r="J1473" s="31" t="n">
        <f aca="false">ROUND(H1473*I1473,2)</f>
        <v>6.22</v>
      </c>
      <c r="L1473" s="32" t="n">
        <v>7.58</v>
      </c>
      <c r="M1473" s="33" t="n">
        <v>1</v>
      </c>
      <c r="N1473" s="34" t="n">
        <f aca="false">ROUND(L1473*M1473,2)</f>
        <v>7.58</v>
      </c>
    </row>
    <row r="1474" customFormat="false" ht="15" hidden="false" customHeight="false" outlineLevel="0" collapsed="false">
      <c r="A1474" s="37" t="s">
        <v>269</v>
      </c>
      <c r="F1474" s="38" t="n">
        <f aca="false">ROUND((SUM(F1466:F1473)-F1473)*1.1+F1473,2)</f>
        <v>159.32</v>
      </c>
      <c r="J1474" s="39" t="n">
        <f aca="false">ROUND(SUM(J1466:J1473),2)</f>
        <v>132.18</v>
      </c>
      <c r="N1474" s="40" t="n">
        <f aca="false">ROUND(SUM(N1466:N1473),2)</f>
        <v>159.88</v>
      </c>
    </row>
    <row r="1475" customFormat="false" ht="15" hidden="false" customHeight="false" outlineLevel="0" collapsed="false">
      <c r="A1475" s="15" t="s">
        <v>270</v>
      </c>
      <c r="B1475" s="41" t="n">
        <f aca="false">IF((F1468+F1466+F1470+F1467+F1469)=0,"",((F1468+F1466+F1470+F1467+F1469)-(B1468*D1468+B1466*D1466+B1470*D1470+B1467*D1467+B1469*D1469))/(F1468+F1466+F1470+F1467+F1469))</f>
        <v>0.195027105230609</v>
      </c>
      <c r="D1475" s="42" t="str">
        <f aca="false">IF(B1475="","SIN PC",IF(B1475&gt;=Detalle!$G$1,"APROBAR",IF(B1475&gt;=0.2,"REVISAR","RECHAZAR")))</f>
        <v>RECHAZAR</v>
      </c>
      <c r="E1475" s="42"/>
      <c r="F1475" s="42"/>
    </row>
    <row r="1477" customFormat="false" ht="15" hidden="false" customHeight="false" outlineLevel="0" collapsed="false">
      <c r="A1477" s="11" t="s">
        <v>912</v>
      </c>
      <c r="B1477" s="11"/>
      <c r="C1477" s="11"/>
      <c r="D1477" s="11"/>
      <c r="E1477" s="11"/>
      <c r="F1477" s="11"/>
      <c r="H1477" s="11" t="s">
        <v>913</v>
      </c>
      <c r="I1477" s="11"/>
      <c r="J1477" s="11"/>
      <c r="K1477" s="11"/>
      <c r="L1477" s="11"/>
      <c r="M1477" s="11"/>
      <c r="N1477" s="11"/>
      <c r="P1477" s="14" t="s">
        <v>246</v>
      </c>
    </row>
    <row r="1478" customFormat="false" ht="15" hidden="false" customHeight="false" outlineLevel="0" collapsed="false">
      <c r="A1478" s="15" t="s">
        <v>247</v>
      </c>
      <c r="B1478" s="16" t="s">
        <v>248</v>
      </c>
      <c r="C1478" s="17"/>
      <c r="D1478" s="17"/>
      <c r="E1478" s="17"/>
      <c r="F1478" s="17"/>
      <c r="H1478" s="18" t="s">
        <v>914</v>
      </c>
      <c r="I1478" s="19"/>
      <c r="J1478" s="19"/>
      <c r="L1478" s="20" t="s">
        <v>915</v>
      </c>
      <c r="M1478" s="21"/>
      <c r="N1478" s="21"/>
      <c r="P1478" s="14" t="s">
        <v>398</v>
      </c>
    </row>
    <row r="1479" customFormat="false" ht="15" hidden="false" customHeight="false" outlineLevel="0" collapsed="false">
      <c r="B1479" s="3" t="s">
        <v>252</v>
      </c>
      <c r="C1479" s="3" t="s">
        <v>253</v>
      </c>
      <c r="D1479" s="3" t="s">
        <v>254</v>
      </c>
      <c r="E1479" s="3" t="s">
        <v>255</v>
      </c>
      <c r="F1479" s="3" t="s">
        <v>256</v>
      </c>
      <c r="H1479" s="22" t="s">
        <v>252</v>
      </c>
      <c r="I1479" s="22" t="s">
        <v>255</v>
      </c>
      <c r="J1479" s="22" t="s">
        <v>256</v>
      </c>
      <c r="L1479" s="23" t="s">
        <v>252</v>
      </c>
      <c r="M1479" s="23" t="s">
        <v>255</v>
      </c>
      <c r="N1479" s="23" t="s">
        <v>256</v>
      </c>
      <c r="P1479" s="14" t="s">
        <v>399</v>
      </c>
    </row>
    <row r="1480" customFormat="false" ht="15" hidden="false" customHeight="false" outlineLevel="0" collapsed="false">
      <c r="A1480" s="24" t="s">
        <v>258</v>
      </c>
      <c r="B1480" s="25" t="n">
        <v>5.75</v>
      </c>
      <c r="C1480" s="25" t="n">
        <v>30</v>
      </c>
      <c r="D1480" s="26" t="n">
        <v>3.68919</v>
      </c>
      <c r="E1480" s="27" t="n">
        <v>4.17</v>
      </c>
      <c r="F1480" s="28" t="n">
        <f aca="false">ROUND(B1480*E1480,2)</f>
        <v>23.98</v>
      </c>
      <c r="H1480" s="29" t="n">
        <v>5.75</v>
      </c>
      <c r="I1480" s="30" t="n">
        <v>4.17</v>
      </c>
      <c r="J1480" s="31" t="n">
        <f aca="false">ROUND(H1480*I1480,2)</f>
        <v>23.98</v>
      </c>
      <c r="L1480" s="32" t="n">
        <v>5.75</v>
      </c>
      <c r="M1480" s="33" t="n">
        <v>4.17</v>
      </c>
      <c r="N1480" s="34" t="n">
        <f aca="false">ROUND(L1480*M1480,2)</f>
        <v>23.98</v>
      </c>
      <c r="P1480" s="35" t="s">
        <v>400</v>
      </c>
    </row>
    <row r="1481" customFormat="false" ht="15" hidden="false" customHeight="false" outlineLevel="0" collapsed="false">
      <c r="A1481" s="24" t="s">
        <v>260</v>
      </c>
      <c r="B1481" s="25" t="n">
        <v>5.75</v>
      </c>
      <c r="C1481" s="25" t="n">
        <v>30</v>
      </c>
      <c r="D1481" s="26" t="n">
        <v>1.31928</v>
      </c>
      <c r="E1481" s="27" t="n">
        <v>1.37</v>
      </c>
      <c r="F1481" s="28" t="n">
        <f aca="false">ROUND(B1481*E1481,2)</f>
        <v>7.88</v>
      </c>
      <c r="H1481" s="29" t="n">
        <v>5.75</v>
      </c>
      <c r="I1481" s="30" t="n">
        <v>1.37</v>
      </c>
      <c r="J1481" s="31" t="n">
        <f aca="false">ROUND(H1481*I1481,2)</f>
        <v>7.88</v>
      </c>
      <c r="L1481" s="32" t="n">
        <v>5.75</v>
      </c>
      <c r="M1481" s="33" t="n">
        <v>1.37</v>
      </c>
      <c r="N1481" s="34" t="n">
        <f aca="false">ROUND(L1481*M1481,2)</f>
        <v>7.88</v>
      </c>
      <c r="P1481" s="43" t="s">
        <v>261</v>
      </c>
    </row>
    <row r="1482" customFormat="false" ht="15" hidden="false" customHeight="false" outlineLevel="0" collapsed="false">
      <c r="A1482" s="24" t="s">
        <v>262</v>
      </c>
      <c r="B1482" s="25" t="n">
        <v>22.568</v>
      </c>
      <c r="C1482" s="25" t="n">
        <v>30</v>
      </c>
      <c r="D1482" s="26" t="n">
        <v>0.111171</v>
      </c>
      <c r="E1482" s="27" t="n">
        <v>0.14937</v>
      </c>
      <c r="F1482" s="28" t="n">
        <f aca="false">ROUND(B1482*E1482,2)</f>
        <v>3.37</v>
      </c>
      <c r="H1482" s="29" t="n">
        <v>24.487</v>
      </c>
      <c r="I1482" s="30" t="n">
        <v>0.14937</v>
      </c>
      <c r="J1482" s="31" t="n">
        <f aca="false">ROUND(H1482*I1482,2)</f>
        <v>3.66</v>
      </c>
      <c r="L1482" s="32" t="n">
        <v>30.587</v>
      </c>
      <c r="M1482" s="33" t="n">
        <v>0.14937</v>
      </c>
      <c r="N1482" s="34" t="n">
        <f aca="false">ROUND(L1482*M1482,2)</f>
        <v>4.57</v>
      </c>
    </row>
    <row r="1483" customFormat="false" ht="15" hidden="false" customHeight="false" outlineLevel="0" collapsed="false">
      <c r="A1483" s="24" t="s">
        <v>264</v>
      </c>
      <c r="B1483" s="25" t="n">
        <v>17.437</v>
      </c>
      <c r="C1483" s="25" t="n">
        <v>30</v>
      </c>
      <c r="D1483" s="26" t="n">
        <v>0.111171</v>
      </c>
      <c r="E1483" s="27" t="n">
        <v>0.14937</v>
      </c>
      <c r="F1483" s="28" t="n">
        <f aca="false">ROUND(B1483*E1483,2)</f>
        <v>2.6</v>
      </c>
      <c r="H1483" s="29" t="n">
        <v>15.284</v>
      </c>
      <c r="I1483" s="30" t="n">
        <v>0.14937</v>
      </c>
      <c r="J1483" s="31" t="n">
        <f aca="false">ROUND(H1483*I1483,2)</f>
        <v>2.28</v>
      </c>
      <c r="L1483" s="32" t="n">
        <v>24.303</v>
      </c>
      <c r="M1483" s="33" t="n">
        <v>0.14937</v>
      </c>
      <c r="N1483" s="34" t="n">
        <f aca="false">ROUND(L1483*M1483,2)</f>
        <v>3.63</v>
      </c>
    </row>
    <row r="1484" customFormat="false" ht="15" hidden="false" customHeight="false" outlineLevel="0" collapsed="false">
      <c r="A1484" s="24" t="s">
        <v>265</v>
      </c>
      <c r="B1484" s="25" t="n">
        <v>41.349</v>
      </c>
      <c r="C1484" s="25" t="n">
        <v>30</v>
      </c>
      <c r="D1484" s="26" t="n">
        <v>0.111171</v>
      </c>
      <c r="E1484" s="27" t="n">
        <v>0.14937</v>
      </c>
      <c r="F1484" s="28" t="n">
        <f aca="false">ROUND(B1484*E1484,2)</f>
        <v>6.18</v>
      </c>
      <c r="H1484" s="29" t="n">
        <v>47.368</v>
      </c>
      <c r="I1484" s="30" t="n">
        <v>0.14937</v>
      </c>
      <c r="J1484" s="31" t="n">
        <f aca="false">ROUND(H1484*I1484,2)</f>
        <v>7.08</v>
      </c>
      <c r="L1484" s="32" t="n">
        <v>52.747</v>
      </c>
      <c r="M1484" s="33" t="n">
        <v>0.14937</v>
      </c>
      <c r="N1484" s="34" t="n">
        <f aca="false">ROUND(L1484*M1484,2)</f>
        <v>7.88</v>
      </c>
    </row>
    <row r="1485" customFormat="false" ht="15" hidden="false" customHeight="false" outlineLevel="0" collapsed="false">
      <c r="A1485" s="24" t="s">
        <v>266</v>
      </c>
      <c r="B1485" s="25" t="n">
        <v>1</v>
      </c>
      <c r="C1485" s="25" t="n">
        <v>30</v>
      </c>
      <c r="D1485" s="26" t="n">
        <v>0.7989</v>
      </c>
      <c r="E1485" s="27" t="n">
        <v>4</v>
      </c>
      <c r="F1485" s="28" t="n">
        <f aca="false">ROUND(B1485*E1485,2)</f>
        <v>4</v>
      </c>
      <c r="H1485" s="29" t="n">
        <v>1</v>
      </c>
      <c r="I1485" s="30" t="n">
        <v>4</v>
      </c>
      <c r="J1485" s="31" t="n">
        <f aca="false">ROUND(H1485*I1485,2)</f>
        <v>4</v>
      </c>
      <c r="L1485" s="32" t="n">
        <v>1</v>
      </c>
      <c r="M1485" s="33" t="n">
        <v>4</v>
      </c>
      <c r="N1485" s="34" t="n">
        <f aca="false">ROUND(L1485*M1485,2)</f>
        <v>4</v>
      </c>
    </row>
    <row r="1486" customFormat="false" ht="15" hidden="false" customHeight="false" outlineLevel="0" collapsed="false">
      <c r="A1486" s="24" t="s">
        <v>267</v>
      </c>
      <c r="B1486" s="25" t="n">
        <v>30</v>
      </c>
      <c r="C1486" s="25" t="n">
        <v>30</v>
      </c>
      <c r="D1486" s="26" t="n">
        <v>0.5736</v>
      </c>
      <c r="E1486" s="27" t="n">
        <v>0.01274</v>
      </c>
      <c r="F1486" s="28" t="n">
        <f aca="false">ROUND(B1486*E1486,2)</f>
        <v>0.38</v>
      </c>
      <c r="H1486" s="29" t="n">
        <v>30</v>
      </c>
      <c r="I1486" s="30" t="n">
        <v>0.01274</v>
      </c>
      <c r="J1486" s="31" t="n">
        <f aca="false">ROUND(H1486*I1486,2)</f>
        <v>0.38</v>
      </c>
      <c r="L1486" s="32" t="n">
        <v>30</v>
      </c>
      <c r="M1486" s="33" t="n">
        <v>0.00629</v>
      </c>
      <c r="N1486" s="34" t="n">
        <f aca="false">ROUND(L1486*M1486,2)</f>
        <v>0.19</v>
      </c>
    </row>
    <row r="1487" customFormat="false" ht="15" hidden="false" customHeight="false" outlineLevel="0" collapsed="false">
      <c r="A1487" s="24" t="s">
        <v>268</v>
      </c>
      <c r="B1487" s="25" t="n">
        <v>2.26</v>
      </c>
      <c r="C1487" s="25" t="n">
        <v>30</v>
      </c>
      <c r="D1487" s="26" t="n">
        <v>0.02671</v>
      </c>
      <c r="E1487" s="27" t="n">
        <v>1</v>
      </c>
      <c r="F1487" s="28" t="n">
        <f aca="false">ROUND(B1487*E1487,2)</f>
        <v>2.26</v>
      </c>
      <c r="H1487" s="29" t="n">
        <v>2.3</v>
      </c>
      <c r="I1487" s="30" t="n">
        <v>1</v>
      </c>
      <c r="J1487" s="31" t="n">
        <f aca="false">ROUND(H1487*I1487,2)</f>
        <v>2.3</v>
      </c>
      <c r="L1487" s="32" t="n">
        <v>2.46</v>
      </c>
      <c r="M1487" s="33" t="n">
        <v>1</v>
      </c>
      <c r="N1487" s="34" t="n">
        <f aca="false">ROUND(L1487*M1487,2)</f>
        <v>2.46</v>
      </c>
    </row>
    <row r="1488" customFormat="false" ht="15" hidden="false" customHeight="false" outlineLevel="0" collapsed="false">
      <c r="A1488" s="37" t="s">
        <v>269</v>
      </c>
      <c r="F1488" s="38" t="n">
        <f aca="false">ROUND((SUM(F1480:F1487)-F1487)*1.1+F1487,2)</f>
        <v>55.49</v>
      </c>
      <c r="J1488" s="39" t="n">
        <f aca="false">ROUND(SUM(J1480:J1487),2)</f>
        <v>51.56</v>
      </c>
      <c r="N1488" s="40" t="n">
        <f aca="false">ROUND(SUM(N1480:N1487),2)</f>
        <v>54.59</v>
      </c>
    </row>
    <row r="1489" customFormat="false" ht="15" hidden="false" customHeight="false" outlineLevel="0" collapsed="false">
      <c r="A1489" s="15" t="s">
        <v>270</v>
      </c>
      <c r="B1489" s="41" t="n">
        <f aca="false">IF((F1482+F1480+F1484+F1481+F1483)=0,"",((F1482+F1480+F1484+F1481+F1483)-(B1482*D1482+B1480*D1480+B1484*D1484+B1481*D1481+B1483*D1483))/(F1482+F1480+F1484+F1481+F1483))</f>
        <v>0.140129333469666</v>
      </c>
      <c r="D1489" s="42" t="str">
        <f aca="false">IF(B1489="","SIN PC",IF(B1489&gt;=Detalle!$G$1,"APROBAR",IF(B1489&gt;=0.2,"REVISAR","RECHAZAR")))</f>
        <v>RECHAZAR</v>
      </c>
      <c r="E1489" s="42"/>
      <c r="F1489" s="42"/>
    </row>
    <row r="1491" customFormat="false" ht="15" hidden="false" customHeight="false" outlineLevel="0" collapsed="false">
      <c r="A1491" s="11" t="s">
        <v>916</v>
      </c>
      <c r="B1491" s="11"/>
      <c r="C1491" s="11"/>
      <c r="D1491" s="11"/>
      <c r="E1491" s="11"/>
      <c r="F1491" s="11"/>
      <c r="H1491" s="11" t="s">
        <v>917</v>
      </c>
      <c r="I1491" s="11"/>
      <c r="J1491" s="11"/>
      <c r="K1491" s="11"/>
      <c r="L1491" s="11"/>
      <c r="M1491" s="11"/>
      <c r="N1491" s="11"/>
      <c r="P1491" s="14" t="s">
        <v>246</v>
      </c>
    </row>
    <row r="1492" customFormat="false" ht="15" hidden="false" customHeight="false" outlineLevel="0" collapsed="false">
      <c r="A1492" s="15" t="s">
        <v>247</v>
      </c>
      <c r="B1492" s="16" t="s">
        <v>248</v>
      </c>
      <c r="C1492" s="17"/>
      <c r="D1492" s="17"/>
      <c r="E1492" s="17"/>
      <c r="F1492" s="17"/>
      <c r="H1492" s="18" t="s">
        <v>918</v>
      </c>
      <c r="I1492" s="19"/>
      <c r="J1492" s="19"/>
      <c r="L1492" s="20" t="s">
        <v>919</v>
      </c>
      <c r="M1492" s="21"/>
      <c r="N1492" s="21"/>
    </row>
    <row r="1493" customFormat="false" ht="15" hidden="false" customHeight="false" outlineLevel="0" collapsed="false">
      <c r="B1493" s="3" t="s">
        <v>252</v>
      </c>
      <c r="C1493" s="3" t="s">
        <v>253</v>
      </c>
      <c r="D1493" s="3" t="s">
        <v>254</v>
      </c>
      <c r="E1493" s="3" t="s">
        <v>255</v>
      </c>
      <c r="F1493" s="3" t="s">
        <v>256</v>
      </c>
      <c r="H1493" s="22" t="s">
        <v>252</v>
      </c>
      <c r="I1493" s="22" t="s">
        <v>255</v>
      </c>
      <c r="J1493" s="22" t="s">
        <v>256</v>
      </c>
      <c r="L1493" s="23" t="s">
        <v>252</v>
      </c>
      <c r="M1493" s="23" t="s">
        <v>255</v>
      </c>
      <c r="N1493" s="23" t="s">
        <v>256</v>
      </c>
    </row>
    <row r="1494" customFormat="false" ht="15" hidden="false" customHeight="false" outlineLevel="0" collapsed="false">
      <c r="A1494" s="24" t="s">
        <v>258</v>
      </c>
      <c r="B1494" s="25" t="n">
        <v>13.856</v>
      </c>
      <c r="C1494" s="25" t="n">
        <v>30</v>
      </c>
      <c r="D1494" s="26" t="n">
        <v>3.40863</v>
      </c>
      <c r="E1494" s="27" t="n">
        <v>4.17</v>
      </c>
      <c r="F1494" s="28" t="n">
        <f aca="false">ROUND(B1494*E1494,2)</f>
        <v>57.78</v>
      </c>
      <c r="H1494" s="29" t="n">
        <v>13.856</v>
      </c>
      <c r="I1494" s="30" t="n">
        <v>4.17</v>
      </c>
      <c r="J1494" s="31" t="n">
        <f aca="false">ROUND(H1494*I1494,2)</f>
        <v>57.78</v>
      </c>
      <c r="L1494" s="32" t="n">
        <v>13.856</v>
      </c>
      <c r="M1494" s="33" t="n">
        <v>4.17</v>
      </c>
      <c r="N1494" s="34" t="n">
        <f aca="false">ROUND(L1494*M1494,2)</f>
        <v>57.78</v>
      </c>
    </row>
    <row r="1495" customFormat="false" ht="15" hidden="false" customHeight="false" outlineLevel="0" collapsed="false">
      <c r="A1495" s="24" t="s">
        <v>260</v>
      </c>
      <c r="B1495" s="25" t="n">
        <v>13.856</v>
      </c>
      <c r="C1495" s="25" t="n">
        <v>30</v>
      </c>
      <c r="D1495" s="26" t="n">
        <v>1.44069</v>
      </c>
      <c r="E1495" s="27" t="n">
        <v>1.37</v>
      </c>
      <c r="F1495" s="28" t="n">
        <f aca="false">ROUND(B1495*E1495,2)</f>
        <v>18.98</v>
      </c>
      <c r="H1495" s="29" t="n">
        <v>13.856</v>
      </c>
      <c r="I1495" s="30" t="n">
        <v>1.37</v>
      </c>
      <c r="J1495" s="31" t="n">
        <f aca="false">ROUND(H1495*I1495,2)</f>
        <v>18.98</v>
      </c>
      <c r="L1495" s="32" t="n">
        <v>13.856</v>
      </c>
      <c r="M1495" s="33" t="n">
        <v>1.37</v>
      </c>
      <c r="N1495" s="34" t="n">
        <f aca="false">ROUND(L1495*M1495,2)</f>
        <v>18.98</v>
      </c>
      <c r="P1495" s="43" t="s">
        <v>261</v>
      </c>
    </row>
    <row r="1496" customFormat="false" ht="15" hidden="false" customHeight="false" outlineLevel="0" collapsed="false">
      <c r="A1496" s="24" t="s">
        <v>262</v>
      </c>
      <c r="B1496" s="25" t="n">
        <v>124.318</v>
      </c>
      <c r="C1496" s="25" t="n">
        <v>30</v>
      </c>
      <c r="D1496" s="26" t="n">
        <v>0.19081</v>
      </c>
      <c r="E1496" s="27" t="n">
        <v>0.14937</v>
      </c>
      <c r="F1496" s="28" t="n">
        <f aca="false">ROUND(B1496*E1496,2)</f>
        <v>18.57</v>
      </c>
      <c r="H1496" s="29" t="n">
        <v>194.676</v>
      </c>
      <c r="I1496" s="30" t="n">
        <v>0.14937</v>
      </c>
      <c r="J1496" s="31" t="n">
        <f aca="false">ROUND(H1496*I1496,2)</f>
        <v>29.08</v>
      </c>
      <c r="L1496" s="32" t="n">
        <v>117.591</v>
      </c>
      <c r="M1496" s="33" t="n">
        <v>0.14937</v>
      </c>
      <c r="N1496" s="34" t="n">
        <f aca="false">ROUND(L1496*M1496,2)</f>
        <v>17.56</v>
      </c>
    </row>
    <row r="1497" customFormat="false" ht="15" hidden="false" customHeight="false" outlineLevel="0" collapsed="false">
      <c r="A1497" s="24" t="s">
        <v>264</v>
      </c>
      <c r="B1497" s="25" t="n">
        <v>108.798</v>
      </c>
      <c r="C1497" s="25" t="n">
        <v>30</v>
      </c>
      <c r="D1497" s="26" t="n">
        <v>0.19081</v>
      </c>
      <c r="E1497" s="27" t="n">
        <v>0.14937</v>
      </c>
      <c r="F1497" s="28" t="n">
        <f aca="false">ROUND(B1497*E1497,2)</f>
        <v>16.25</v>
      </c>
      <c r="H1497" s="29" t="n">
        <v>143.386</v>
      </c>
      <c r="I1497" s="30" t="n">
        <v>0.14937</v>
      </c>
      <c r="J1497" s="31" t="n">
        <f aca="false">ROUND(H1497*I1497,2)</f>
        <v>21.42</v>
      </c>
      <c r="L1497" s="32" t="n">
        <v>117.588</v>
      </c>
      <c r="M1497" s="33" t="n">
        <v>0.14937</v>
      </c>
      <c r="N1497" s="34" t="n">
        <f aca="false">ROUND(L1497*M1497,2)</f>
        <v>17.56</v>
      </c>
    </row>
    <row r="1498" customFormat="false" ht="15" hidden="false" customHeight="false" outlineLevel="0" collapsed="false">
      <c r="A1498" s="24" t="s">
        <v>265</v>
      </c>
      <c r="B1498" s="25" t="n">
        <v>139.927</v>
      </c>
      <c r="C1498" s="25" t="n">
        <v>30</v>
      </c>
      <c r="D1498" s="26" t="n">
        <v>0.19081</v>
      </c>
      <c r="E1498" s="27" t="n">
        <v>0.14937</v>
      </c>
      <c r="F1498" s="28" t="n">
        <f aca="false">ROUND(B1498*E1498,2)</f>
        <v>20.9</v>
      </c>
      <c r="H1498" s="29" t="n">
        <v>182.342</v>
      </c>
      <c r="I1498" s="30" t="n">
        <v>0.14937</v>
      </c>
      <c r="J1498" s="31" t="n">
        <f aca="false">ROUND(H1498*I1498,2)</f>
        <v>27.24</v>
      </c>
      <c r="L1498" s="32" t="n">
        <v>141.451</v>
      </c>
      <c r="M1498" s="33" t="n">
        <v>0.14937</v>
      </c>
      <c r="N1498" s="34" t="n">
        <f aca="false">ROUND(L1498*M1498,2)</f>
        <v>21.13</v>
      </c>
    </row>
    <row r="1499" customFormat="false" ht="15" hidden="false" customHeight="false" outlineLevel="0" collapsed="false">
      <c r="A1499" s="24" t="s">
        <v>266</v>
      </c>
      <c r="B1499" s="25" t="n">
        <v>1</v>
      </c>
      <c r="C1499" s="25" t="n">
        <v>30</v>
      </c>
      <c r="D1499" s="26" t="n">
        <v>1.3414</v>
      </c>
      <c r="E1499" s="27" t="n">
        <v>4</v>
      </c>
      <c r="F1499" s="28" t="n">
        <f aca="false">ROUND(B1499*E1499,2)</f>
        <v>4</v>
      </c>
      <c r="H1499" s="29" t="n">
        <v>1</v>
      </c>
      <c r="I1499" s="30" t="n">
        <v>4</v>
      </c>
      <c r="J1499" s="31" t="n">
        <f aca="false">ROUND(H1499*I1499,2)</f>
        <v>4</v>
      </c>
      <c r="L1499" s="32" t="n">
        <v>1</v>
      </c>
      <c r="M1499" s="33" t="n">
        <v>4</v>
      </c>
      <c r="N1499" s="34" t="n">
        <f aca="false">ROUND(L1499*M1499,2)</f>
        <v>4</v>
      </c>
    </row>
    <row r="1500" customFormat="false" ht="15" hidden="false" customHeight="false" outlineLevel="0" collapsed="false">
      <c r="A1500" s="24" t="s">
        <v>267</v>
      </c>
      <c r="B1500" s="25" t="n">
        <v>30</v>
      </c>
      <c r="C1500" s="25" t="n">
        <v>30</v>
      </c>
      <c r="D1500" s="26" t="n">
        <v>0.5736</v>
      </c>
      <c r="E1500" s="27" t="n">
        <v>0.01274</v>
      </c>
      <c r="F1500" s="28" t="n">
        <f aca="false">ROUND(B1500*E1500,2)</f>
        <v>0.38</v>
      </c>
      <c r="H1500" s="29" t="n">
        <v>30</v>
      </c>
      <c r="I1500" s="30" t="n">
        <v>0.01274</v>
      </c>
      <c r="J1500" s="31" t="n">
        <f aca="false">ROUND(H1500*I1500,2)</f>
        <v>0.38</v>
      </c>
      <c r="L1500" s="32" t="n">
        <v>30</v>
      </c>
      <c r="M1500" s="33" t="n">
        <v>0.00629</v>
      </c>
      <c r="N1500" s="34" t="n">
        <f aca="false">ROUND(L1500*M1500,2)</f>
        <v>0.19</v>
      </c>
    </row>
    <row r="1501" customFormat="false" ht="15" hidden="false" customHeight="false" outlineLevel="0" collapsed="false">
      <c r="A1501" s="24" t="s">
        <v>268</v>
      </c>
      <c r="B1501" s="25" t="n">
        <v>6.78</v>
      </c>
      <c r="C1501" s="25" t="n">
        <v>30</v>
      </c>
      <c r="D1501" s="26" t="n">
        <v>0.2772</v>
      </c>
      <c r="E1501" s="27" t="n">
        <v>1</v>
      </c>
      <c r="F1501" s="28" t="n">
        <f aca="false">ROUND(B1501*E1501,2)</f>
        <v>6.78</v>
      </c>
      <c r="H1501" s="29" t="n">
        <v>7.9</v>
      </c>
      <c r="I1501" s="30" t="n">
        <v>1</v>
      </c>
      <c r="J1501" s="31" t="n">
        <f aca="false">ROUND(H1501*I1501,2)</f>
        <v>7.9</v>
      </c>
      <c r="L1501" s="32" t="n">
        <v>6.81</v>
      </c>
      <c r="M1501" s="33" t="n">
        <v>1</v>
      </c>
      <c r="N1501" s="34" t="n">
        <f aca="false">ROUND(L1501*M1501,2)</f>
        <v>6.81</v>
      </c>
    </row>
    <row r="1502" customFormat="false" ht="15" hidden="false" customHeight="false" outlineLevel="0" collapsed="false">
      <c r="A1502" s="37" t="s">
        <v>269</v>
      </c>
      <c r="F1502" s="38" t="n">
        <f aca="false">ROUND((SUM(F1494:F1501)-F1501)*1.1+F1501,2)</f>
        <v>157.33</v>
      </c>
      <c r="J1502" s="39" t="n">
        <f aca="false">ROUND(SUM(J1494:J1501),2)</f>
        <v>166.78</v>
      </c>
      <c r="N1502" s="40" t="n">
        <f aca="false">ROUND(SUM(N1494:N1501),2)</f>
        <v>144.01</v>
      </c>
    </row>
    <row r="1503" customFormat="false" ht="15" hidden="false" customHeight="false" outlineLevel="0" collapsed="false">
      <c r="A1503" s="15" t="s">
        <v>270</v>
      </c>
      <c r="B1503" s="41" t="n">
        <f aca="false">IF((F1496+F1494+F1498+F1495+F1497)=0,"",((F1496+F1494+F1498+F1495+F1497)-(B1496*D1496+B1494*D1494+B1498*D1498+B1495*D1495+B1497*D1497))/(F1496+F1494+F1498+F1495+F1497))</f>
        <v>-0.0444785080766907</v>
      </c>
      <c r="D1503" s="42" t="str">
        <f aca="false">IF(B1503="","SIN PC",IF(B1503&gt;=Detalle!$G$1,"APROBAR",IF(B1503&gt;=0.2,"REVISAR","RECHAZAR")))</f>
        <v>RECHAZAR</v>
      </c>
      <c r="E1503" s="42"/>
      <c r="F1503" s="42"/>
    </row>
    <row r="1505" customFormat="false" ht="15" hidden="false" customHeight="false" outlineLevel="0" collapsed="false">
      <c r="A1505" s="11" t="s">
        <v>920</v>
      </c>
      <c r="B1505" s="11"/>
      <c r="C1505" s="11"/>
      <c r="D1505" s="11"/>
      <c r="E1505" s="11"/>
      <c r="F1505" s="11"/>
      <c r="H1505" s="11" t="s">
        <v>921</v>
      </c>
      <c r="I1505" s="11"/>
      <c r="J1505" s="11"/>
      <c r="K1505" s="11"/>
      <c r="L1505" s="11"/>
      <c r="M1505" s="11"/>
      <c r="N1505" s="11"/>
      <c r="P1505" s="14" t="s">
        <v>246</v>
      </c>
    </row>
    <row r="1506" customFormat="false" ht="15" hidden="false" customHeight="false" outlineLevel="0" collapsed="false">
      <c r="A1506" s="15" t="s">
        <v>247</v>
      </c>
      <c r="B1506" s="16" t="s">
        <v>248</v>
      </c>
      <c r="C1506" s="17"/>
      <c r="D1506" s="17"/>
      <c r="E1506" s="17"/>
      <c r="F1506" s="17"/>
      <c r="H1506" s="18" t="s">
        <v>922</v>
      </c>
      <c r="I1506" s="19"/>
      <c r="J1506" s="19"/>
      <c r="L1506" s="20" t="s">
        <v>428</v>
      </c>
      <c r="M1506" s="21"/>
      <c r="N1506" s="21"/>
      <c r="P1506" s="14" t="s">
        <v>429</v>
      </c>
    </row>
    <row r="1507" customFormat="false" ht="15" hidden="false" customHeight="false" outlineLevel="0" collapsed="false">
      <c r="B1507" s="3" t="s">
        <v>252</v>
      </c>
      <c r="C1507" s="3" t="s">
        <v>253</v>
      </c>
      <c r="D1507" s="3" t="s">
        <v>254</v>
      </c>
      <c r="E1507" s="3" t="s">
        <v>255</v>
      </c>
      <c r="F1507" s="3" t="s">
        <v>256</v>
      </c>
      <c r="H1507" s="22" t="s">
        <v>252</v>
      </c>
      <c r="I1507" s="22" t="s">
        <v>255</v>
      </c>
      <c r="J1507" s="22" t="s">
        <v>256</v>
      </c>
      <c r="L1507" s="23" t="s">
        <v>252</v>
      </c>
      <c r="M1507" s="23" t="s">
        <v>255</v>
      </c>
      <c r="N1507" s="23" t="s">
        <v>256</v>
      </c>
      <c r="P1507" s="14" t="s">
        <v>399</v>
      </c>
    </row>
    <row r="1508" customFormat="false" ht="15" hidden="false" customHeight="false" outlineLevel="0" collapsed="false">
      <c r="A1508" s="24" t="s">
        <v>258</v>
      </c>
      <c r="B1508" s="25" t="n">
        <v>5.5</v>
      </c>
      <c r="C1508" s="25" t="n">
        <v>30</v>
      </c>
      <c r="D1508" s="26" t="n">
        <v>3.40863</v>
      </c>
      <c r="E1508" s="27" t="n">
        <v>4.17</v>
      </c>
      <c r="F1508" s="28" t="n">
        <f aca="false">ROUND(B1508*E1508,2)</f>
        <v>22.94</v>
      </c>
      <c r="H1508" s="29" t="n">
        <v>5.5</v>
      </c>
      <c r="I1508" s="30" t="n">
        <v>4.17</v>
      </c>
      <c r="J1508" s="31" t="n">
        <f aca="false">ROUND(H1508*I1508,2)</f>
        <v>22.94</v>
      </c>
      <c r="L1508" s="53"/>
      <c r="M1508" s="53"/>
      <c r="N1508" s="53"/>
      <c r="P1508" s="35" t="s">
        <v>430</v>
      </c>
    </row>
    <row r="1509" customFormat="false" ht="15" hidden="false" customHeight="false" outlineLevel="0" collapsed="false">
      <c r="A1509" s="24" t="s">
        <v>260</v>
      </c>
      <c r="B1509" s="25" t="n">
        <v>5.5</v>
      </c>
      <c r="C1509" s="25" t="n">
        <v>30</v>
      </c>
      <c r="D1509" s="26" t="n">
        <v>1.44069</v>
      </c>
      <c r="E1509" s="27" t="n">
        <v>1.37</v>
      </c>
      <c r="F1509" s="28" t="n">
        <f aca="false">ROUND(B1509*E1509,2)</f>
        <v>7.54</v>
      </c>
      <c r="H1509" s="29" t="n">
        <v>5.5</v>
      </c>
      <c r="I1509" s="30" t="n">
        <v>1.37</v>
      </c>
      <c r="J1509" s="31" t="n">
        <f aca="false">ROUND(H1509*I1509,2)</f>
        <v>7.54</v>
      </c>
      <c r="L1509" s="53"/>
      <c r="M1509" s="53"/>
      <c r="N1509" s="53"/>
      <c r="P1509" s="43" t="s">
        <v>261</v>
      </c>
    </row>
    <row r="1510" customFormat="false" ht="15" hidden="false" customHeight="false" outlineLevel="0" collapsed="false">
      <c r="A1510" s="24" t="s">
        <v>262</v>
      </c>
      <c r="B1510" s="25" t="n">
        <v>107.426</v>
      </c>
      <c r="C1510" s="25" t="n">
        <v>30</v>
      </c>
      <c r="D1510" s="26" t="n">
        <v>0.18051</v>
      </c>
      <c r="E1510" s="27" t="n">
        <v>0.14937</v>
      </c>
      <c r="F1510" s="28" t="n">
        <f aca="false">ROUND(B1510*E1510,2)</f>
        <v>16.05</v>
      </c>
      <c r="H1510" s="29" t="n">
        <v>173.788</v>
      </c>
      <c r="I1510" s="30" t="n">
        <v>0.14937</v>
      </c>
      <c r="J1510" s="31" t="n">
        <f aca="false">ROUND(H1510*I1510,2)</f>
        <v>25.96</v>
      </c>
      <c r="L1510" s="53"/>
      <c r="M1510" s="53"/>
      <c r="N1510" s="53"/>
    </row>
    <row r="1511" customFormat="false" ht="15" hidden="false" customHeight="false" outlineLevel="0" collapsed="false">
      <c r="A1511" s="24" t="s">
        <v>264</v>
      </c>
      <c r="B1511" s="25" t="n">
        <v>73.148</v>
      </c>
      <c r="C1511" s="25" t="n">
        <v>30</v>
      </c>
      <c r="D1511" s="26" t="n">
        <v>0.18051</v>
      </c>
      <c r="E1511" s="27" t="n">
        <v>0.14937</v>
      </c>
      <c r="F1511" s="28" t="n">
        <f aca="false">ROUND(B1511*E1511,2)</f>
        <v>10.93</v>
      </c>
      <c r="H1511" s="29" t="n">
        <v>142.743</v>
      </c>
      <c r="I1511" s="30" t="n">
        <v>0.14937</v>
      </c>
      <c r="J1511" s="31" t="n">
        <f aca="false">ROUND(H1511*I1511,2)</f>
        <v>21.32</v>
      </c>
      <c r="L1511" s="53"/>
      <c r="M1511" s="53"/>
      <c r="N1511" s="53"/>
    </row>
    <row r="1512" customFormat="false" ht="15" hidden="false" customHeight="false" outlineLevel="0" collapsed="false">
      <c r="A1512" s="24" t="s">
        <v>265</v>
      </c>
      <c r="B1512" s="25" t="n">
        <v>196.038</v>
      </c>
      <c r="C1512" s="25" t="n">
        <v>30</v>
      </c>
      <c r="D1512" s="26" t="n">
        <v>0.18051</v>
      </c>
      <c r="E1512" s="27" t="n">
        <v>0.14937</v>
      </c>
      <c r="F1512" s="28" t="n">
        <f aca="false">ROUND(B1512*E1512,2)</f>
        <v>29.28</v>
      </c>
      <c r="H1512" s="29" t="n">
        <v>279.845</v>
      </c>
      <c r="I1512" s="30" t="n">
        <v>0.14937</v>
      </c>
      <c r="J1512" s="31" t="n">
        <f aca="false">ROUND(H1512*I1512,2)</f>
        <v>41.8</v>
      </c>
      <c r="L1512" s="53"/>
      <c r="M1512" s="53"/>
      <c r="N1512" s="53"/>
    </row>
    <row r="1513" customFormat="false" ht="15" hidden="false" customHeight="false" outlineLevel="0" collapsed="false">
      <c r="A1513" s="24" t="s">
        <v>266</v>
      </c>
      <c r="B1513" s="25" t="n">
        <v>1</v>
      </c>
      <c r="C1513" s="25" t="n">
        <v>30</v>
      </c>
      <c r="D1513" s="26" t="n">
        <v>0.7989</v>
      </c>
      <c r="E1513" s="27" t="n">
        <v>4</v>
      </c>
      <c r="F1513" s="28" t="n">
        <f aca="false">ROUND(B1513*E1513,2)</f>
        <v>4</v>
      </c>
      <c r="H1513" s="29" t="n">
        <v>1</v>
      </c>
      <c r="I1513" s="30" t="n">
        <v>4</v>
      </c>
      <c r="J1513" s="31" t="n">
        <f aca="false">ROUND(H1513*I1513,2)</f>
        <v>4</v>
      </c>
      <c r="L1513" s="53"/>
      <c r="M1513" s="53"/>
      <c r="N1513" s="53"/>
    </row>
    <row r="1514" customFormat="false" ht="15" hidden="false" customHeight="false" outlineLevel="0" collapsed="false">
      <c r="A1514" s="24" t="s">
        <v>267</v>
      </c>
      <c r="B1514" s="25" t="n">
        <v>30</v>
      </c>
      <c r="C1514" s="25" t="n">
        <v>30</v>
      </c>
      <c r="D1514" s="26" t="n">
        <v>0.5736</v>
      </c>
      <c r="E1514" s="27" t="n">
        <v>0.01274</v>
      </c>
      <c r="F1514" s="28" t="n">
        <f aca="false">ROUND(B1514*E1514,2)</f>
        <v>0.38</v>
      </c>
      <c r="H1514" s="29" t="n">
        <v>30</v>
      </c>
      <c r="I1514" s="30" t="n">
        <v>0.01274</v>
      </c>
      <c r="J1514" s="31" t="n">
        <f aca="false">ROUND(H1514*I1514,2)</f>
        <v>0.38</v>
      </c>
      <c r="L1514" s="53"/>
      <c r="M1514" s="53"/>
      <c r="N1514" s="53"/>
    </row>
    <row r="1515" customFormat="false" ht="15" hidden="false" customHeight="false" outlineLevel="0" collapsed="false">
      <c r="A1515" s="24" t="s">
        <v>268</v>
      </c>
      <c r="B1515" s="25" t="n">
        <v>4.44</v>
      </c>
      <c r="C1515" s="25" t="n">
        <v>30</v>
      </c>
      <c r="D1515" s="26" t="n">
        <v>0.27562</v>
      </c>
      <c r="E1515" s="27" t="n">
        <v>1</v>
      </c>
      <c r="F1515" s="28" t="n">
        <f aca="false">ROUND(B1515*E1515,2)</f>
        <v>4.44</v>
      </c>
      <c r="H1515" s="29" t="n">
        <v>6.12</v>
      </c>
      <c r="I1515" s="30" t="n">
        <v>1</v>
      </c>
      <c r="J1515" s="31" t="n">
        <f aca="false">ROUND(H1515*I1515,2)</f>
        <v>6.12</v>
      </c>
      <c r="L1515" s="53"/>
      <c r="M1515" s="53"/>
      <c r="N1515" s="53"/>
    </row>
    <row r="1516" customFormat="false" ht="15" hidden="false" customHeight="false" outlineLevel="0" collapsed="false">
      <c r="A1516" s="37" t="s">
        <v>269</v>
      </c>
      <c r="F1516" s="38" t="n">
        <f aca="false">ROUND((SUM(F1508:F1515)-F1515)*1.1+F1515,2)</f>
        <v>104.67</v>
      </c>
      <c r="J1516" s="39" t="n">
        <f aca="false">ROUND(SUM(J1508:J1515),2)</f>
        <v>130.06</v>
      </c>
      <c r="N1516" s="54"/>
    </row>
    <row r="1517" customFormat="false" ht="15" hidden="false" customHeight="false" outlineLevel="0" collapsed="false">
      <c r="A1517" s="15" t="s">
        <v>270</v>
      </c>
      <c r="B1517" s="41" t="n">
        <f aca="false">IF((F1510+F1508+F1512+F1509+F1511)=0,"",((F1510+F1508+F1512+F1509+F1511)-(B1510*D1510+B1508*D1508+B1512*D1512+B1509*D1509+B1511*D1511))/(F1510+F1508+F1512+F1509+F1511))</f>
        <v>-0.0912323278764123</v>
      </c>
      <c r="D1517" s="42" t="str">
        <f aca="false">IF(B1517="","SIN PC",IF(B1517&gt;=Detalle!$G$1,"APROBAR",IF(B1517&gt;=0.2,"REVISAR","RECHAZAR")))</f>
        <v>RECHAZAR</v>
      </c>
      <c r="E1517" s="42"/>
      <c r="F1517" s="42"/>
    </row>
    <row r="1519" customFormat="false" ht="15" hidden="false" customHeight="false" outlineLevel="0" collapsed="false">
      <c r="A1519" s="11" t="s">
        <v>923</v>
      </c>
      <c r="B1519" s="11"/>
      <c r="C1519" s="11"/>
      <c r="D1519" s="11"/>
      <c r="E1519" s="11"/>
      <c r="F1519" s="11"/>
      <c r="H1519" s="11" t="s">
        <v>924</v>
      </c>
      <c r="I1519" s="11"/>
      <c r="J1519" s="11"/>
      <c r="K1519" s="11"/>
      <c r="L1519" s="11"/>
      <c r="M1519" s="11"/>
      <c r="N1519" s="11"/>
      <c r="P1519" s="14" t="s">
        <v>246</v>
      </c>
    </row>
    <row r="1520" customFormat="false" ht="15" hidden="false" customHeight="false" outlineLevel="0" collapsed="false">
      <c r="A1520" s="15" t="s">
        <v>247</v>
      </c>
      <c r="B1520" s="16" t="s">
        <v>248</v>
      </c>
      <c r="C1520" s="17"/>
      <c r="D1520" s="17"/>
      <c r="E1520" s="17"/>
      <c r="F1520" s="17"/>
      <c r="H1520" s="18" t="s">
        <v>925</v>
      </c>
      <c r="I1520" s="19"/>
      <c r="J1520" s="19"/>
      <c r="L1520" s="20" t="s">
        <v>926</v>
      </c>
      <c r="M1520" s="21"/>
      <c r="N1520" s="21"/>
      <c r="P1520" s="14" t="s">
        <v>398</v>
      </c>
    </row>
    <row r="1521" customFormat="false" ht="15" hidden="false" customHeight="false" outlineLevel="0" collapsed="false">
      <c r="B1521" s="3" t="s">
        <v>252</v>
      </c>
      <c r="C1521" s="3" t="s">
        <v>253</v>
      </c>
      <c r="D1521" s="3" t="s">
        <v>254</v>
      </c>
      <c r="E1521" s="3" t="s">
        <v>255</v>
      </c>
      <c r="F1521" s="3" t="s">
        <v>256</v>
      </c>
      <c r="H1521" s="22" t="s">
        <v>252</v>
      </c>
      <c r="I1521" s="22" t="s">
        <v>255</v>
      </c>
      <c r="J1521" s="22" t="s">
        <v>256</v>
      </c>
      <c r="L1521" s="23" t="s">
        <v>252</v>
      </c>
      <c r="M1521" s="23" t="s">
        <v>255</v>
      </c>
      <c r="N1521" s="23" t="s">
        <v>256</v>
      </c>
      <c r="P1521" s="14" t="s">
        <v>399</v>
      </c>
    </row>
    <row r="1522" customFormat="false" ht="15" hidden="false" customHeight="false" outlineLevel="0" collapsed="false">
      <c r="A1522" s="24" t="s">
        <v>258</v>
      </c>
      <c r="B1522" s="25" t="n">
        <v>5.75</v>
      </c>
      <c r="C1522" s="25" t="n">
        <v>30</v>
      </c>
      <c r="D1522" s="26" t="n">
        <v>3.68919</v>
      </c>
      <c r="E1522" s="27" t="n">
        <v>4.17</v>
      </c>
      <c r="F1522" s="28" t="n">
        <f aca="false">ROUND(B1522*E1522,2)</f>
        <v>23.98</v>
      </c>
      <c r="H1522" s="29" t="n">
        <v>5.75</v>
      </c>
      <c r="I1522" s="30" t="n">
        <v>4.17</v>
      </c>
      <c r="J1522" s="31" t="n">
        <f aca="false">ROUND(H1522*I1522,2)</f>
        <v>23.98</v>
      </c>
      <c r="L1522" s="32" t="n">
        <v>5.75</v>
      </c>
      <c r="M1522" s="33" t="n">
        <v>4.17</v>
      </c>
      <c r="N1522" s="34" t="n">
        <f aca="false">ROUND(L1522*M1522,2)</f>
        <v>23.98</v>
      </c>
      <c r="P1522" s="35" t="s">
        <v>400</v>
      </c>
    </row>
    <row r="1523" customFormat="false" ht="15" hidden="false" customHeight="false" outlineLevel="0" collapsed="false">
      <c r="A1523" s="24" t="s">
        <v>260</v>
      </c>
      <c r="B1523" s="25" t="n">
        <v>5.75</v>
      </c>
      <c r="C1523" s="25" t="n">
        <v>30</v>
      </c>
      <c r="D1523" s="26" t="n">
        <v>1.31928</v>
      </c>
      <c r="E1523" s="27" t="n">
        <v>1.37</v>
      </c>
      <c r="F1523" s="28" t="n">
        <f aca="false">ROUND(B1523*E1523,2)</f>
        <v>7.88</v>
      </c>
      <c r="H1523" s="29" t="n">
        <v>5.75</v>
      </c>
      <c r="I1523" s="30" t="n">
        <v>1.37</v>
      </c>
      <c r="J1523" s="31" t="n">
        <f aca="false">ROUND(H1523*I1523,2)</f>
        <v>7.88</v>
      </c>
      <c r="L1523" s="32" t="n">
        <v>5.75</v>
      </c>
      <c r="M1523" s="33" t="n">
        <v>1.37</v>
      </c>
      <c r="N1523" s="34" t="n">
        <f aca="false">ROUND(L1523*M1523,2)</f>
        <v>7.88</v>
      </c>
      <c r="P1523" s="43" t="s">
        <v>261</v>
      </c>
    </row>
    <row r="1524" customFormat="false" ht="15" hidden="false" customHeight="false" outlineLevel="0" collapsed="false">
      <c r="A1524" s="24" t="s">
        <v>262</v>
      </c>
      <c r="B1524" s="25" t="n">
        <v>108.472</v>
      </c>
      <c r="C1524" s="25" t="n">
        <v>30</v>
      </c>
      <c r="D1524" s="26" t="n">
        <v>0.111171</v>
      </c>
      <c r="E1524" s="27" t="n">
        <v>0.14937</v>
      </c>
      <c r="F1524" s="28" t="n">
        <f aca="false">ROUND(B1524*E1524,2)</f>
        <v>16.2</v>
      </c>
      <c r="H1524" s="29" t="n">
        <v>159.088</v>
      </c>
      <c r="I1524" s="30" t="n">
        <v>0.14937</v>
      </c>
      <c r="J1524" s="31" t="n">
        <f aca="false">ROUND(H1524*I1524,2)</f>
        <v>23.76</v>
      </c>
      <c r="L1524" s="32" t="n">
        <v>92.807</v>
      </c>
      <c r="M1524" s="33" t="n">
        <v>0.14937</v>
      </c>
      <c r="N1524" s="34" t="n">
        <f aca="false">ROUND(L1524*M1524,2)</f>
        <v>13.86</v>
      </c>
    </row>
    <row r="1525" customFormat="false" ht="15" hidden="false" customHeight="false" outlineLevel="0" collapsed="false">
      <c r="A1525" s="24" t="s">
        <v>264</v>
      </c>
      <c r="B1525" s="25" t="n">
        <v>82.25</v>
      </c>
      <c r="C1525" s="25" t="n">
        <v>30</v>
      </c>
      <c r="D1525" s="26" t="n">
        <v>0.111171</v>
      </c>
      <c r="E1525" s="27" t="n">
        <v>0.14937</v>
      </c>
      <c r="F1525" s="28" t="n">
        <f aca="false">ROUND(B1525*E1525,2)</f>
        <v>12.29</v>
      </c>
      <c r="H1525" s="29" t="n">
        <v>125.792</v>
      </c>
      <c r="I1525" s="30" t="n">
        <v>0.14937</v>
      </c>
      <c r="J1525" s="31" t="n">
        <f aca="false">ROUND(H1525*I1525,2)</f>
        <v>18.79</v>
      </c>
      <c r="L1525" s="32" t="n">
        <v>73.801</v>
      </c>
      <c r="M1525" s="33" t="n">
        <v>0.14937</v>
      </c>
      <c r="N1525" s="34" t="n">
        <f aca="false">ROUND(L1525*M1525,2)</f>
        <v>11.02</v>
      </c>
    </row>
    <row r="1526" customFormat="false" ht="15" hidden="false" customHeight="false" outlineLevel="0" collapsed="false">
      <c r="A1526" s="24" t="s">
        <v>265</v>
      </c>
      <c r="B1526" s="25" t="n">
        <v>129.926</v>
      </c>
      <c r="C1526" s="25" t="n">
        <v>30</v>
      </c>
      <c r="D1526" s="26" t="n">
        <v>0.111171</v>
      </c>
      <c r="E1526" s="27" t="n">
        <v>0.14937</v>
      </c>
      <c r="F1526" s="28" t="n">
        <f aca="false">ROUND(B1526*E1526,2)</f>
        <v>19.41</v>
      </c>
      <c r="H1526" s="29" t="n">
        <v>169.145</v>
      </c>
      <c r="I1526" s="30" t="n">
        <v>0.14937</v>
      </c>
      <c r="J1526" s="31" t="n">
        <f aca="false">ROUND(H1526*I1526,2)</f>
        <v>25.27</v>
      </c>
      <c r="L1526" s="32" t="n">
        <v>139.831</v>
      </c>
      <c r="M1526" s="33" t="n">
        <v>0.14937</v>
      </c>
      <c r="N1526" s="34" t="n">
        <f aca="false">ROUND(L1526*M1526,2)</f>
        <v>20.89</v>
      </c>
    </row>
    <row r="1527" customFormat="false" ht="15" hidden="false" customHeight="false" outlineLevel="0" collapsed="false">
      <c r="A1527" s="24" t="s">
        <v>266</v>
      </c>
      <c r="B1527" s="25" t="n">
        <v>1</v>
      </c>
      <c r="C1527" s="25" t="n">
        <v>30</v>
      </c>
      <c r="D1527" s="26" t="n">
        <v>0.7989</v>
      </c>
      <c r="E1527" s="27" t="n">
        <v>4</v>
      </c>
      <c r="F1527" s="28" t="n">
        <f aca="false">ROUND(B1527*E1527,2)</f>
        <v>4</v>
      </c>
      <c r="H1527" s="29" t="n">
        <v>1</v>
      </c>
      <c r="I1527" s="30" t="n">
        <v>4</v>
      </c>
      <c r="J1527" s="31" t="n">
        <f aca="false">ROUND(H1527*I1527,2)</f>
        <v>4</v>
      </c>
      <c r="L1527" s="32" t="n">
        <v>1</v>
      </c>
      <c r="M1527" s="33" t="n">
        <v>4</v>
      </c>
      <c r="N1527" s="34" t="n">
        <f aca="false">ROUND(L1527*M1527,2)</f>
        <v>4</v>
      </c>
    </row>
    <row r="1528" customFormat="false" ht="15" hidden="false" customHeight="false" outlineLevel="0" collapsed="false">
      <c r="A1528" s="24" t="s">
        <v>267</v>
      </c>
      <c r="B1528" s="25" t="n">
        <v>30</v>
      </c>
      <c r="C1528" s="25" t="n">
        <v>30</v>
      </c>
      <c r="D1528" s="26" t="n">
        <v>0.5736</v>
      </c>
      <c r="E1528" s="27" t="n">
        <v>0.01274</v>
      </c>
      <c r="F1528" s="28" t="n">
        <f aca="false">ROUND(B1528*E1528,2)</f>
        <v>0.38</v>
      </c>
      <c r="H1528" s="29" t="n">
        <v>30</v>
      </c>
      <c r="I1528" s="30" t="n">
        <v>0.01274</v>
      </c>
      <c r="J1528" s="31" t="n">
        <f aca="false">ROUND(H1528*I1528,2)</f>
        <v>0.38</v>
      </c>
      <c r="L1528" s="32" t="n">
        <v>30</v>
      </c>
      <c r="M1528" s="33" t="n">
        <v>0.00629</v>
      </c>
      <c r="N1528" s="34" t="n">
        <f aca="false">ROUND(L1528*M1528,2)</f>
        <v>0.19</v>
      </c>
    </row>
    <row r="1529" customFormat="false" ht="15" hidden="false" customHeight="false" outlineLevel="0" collapsed="false">
      <c r="A1529" s="24" t="s">
        <v>268</v>
      </c>
      <c r="B1529" s="25" t="n">
        <v>4.09</v>
      </c>
      <c r="C1529" s="25" t="n">
        <v>30</v>
      </c>
      <c r="D1529" s="26" t="n">
        <v>0.27312</v>
      </c>
      <c r="E1529" s="27" t="n">
        <v>1</v>
      </c>
      <c r="F1529" s="28" t="n">
        <f aca="false">ROUND(B1529*E1529,2)</f>
        <v>4.09</v>
      </c>
      <c r="H1529" s="29" t="n">
        <v>5.1</v>
      </c>
      <c r="I1529" s="30" t="n">
        <v>1</v>
      </c>
      <c r="J1529" s="31" t="n">
        <f aca="false">ROUND(H1529*I1529,2)</f>
        <v>5.1</v>
      </c>
      <c r="L1529" s="32" t="n">
        <v>3.98</v>
      </c>
      <c r="M1529" s="33" t="n">
        <v>1</v>
      </c>
      <c r="N1529" s="34" t="n">
        <f aca="false">ROUND(L1529*M1529,2)</f>
        <v>3.98</v>
      </c>
    </row>
    <row r="1530" customFormat="false" ht="15" hidden="false" customHeight="false" outlineLevel="0" collapsed="false">
      <c r="A1530" s="37" t="s">
        <v>269</v>
      </c>
      <c r="F1530" s="38" t="n">
        <f aca="false">ROUND((SUM(F1522:F1529)-F1529)*1.1+F1529,2)</f>
        <v>96.64</v>
      </c>
      <c r="J1530" s="39" t="n">
        <f aca="false">ROUND(SUM(J1522:J1529),2)</f>
        <v>109.16</v>
      </c>
      <c r="N1530" s="40" t="n">
        <f aca="false">ROUND(SUM(N1522:N1529),2)</f>
        <v>85.8</v>
      </c>
    </row>
    <row r="1531" customFormat="false" ht="15" hidden="false" customHeight="false" outlineLevel="0" collapsed="false">
      <c r="A1531" s="15" t="s">
        <v>270</v>
      </c>
      <c r="B1531" s="41" t="n">
        <f aca="false">IF((F1524+F1522+F1526+F1523+F1525)=0,"",((F1524+F1522+F1526+F1523+F1525)-(B1524*D1524+B1522*D1522+B1526*D1526+B1523*D1523+B1525*D1525))/(F1524+F1522+F1526+F1523+F1525))</f>
        <v>0.192007756920762</v>
      </c>
      <c r="D1531" s="42" t="str">
        <f aca="false">IF(B1531="","SIN PC",IF(B1531&gt;=Detalle!$G$1,"APROBAR",IF(B1531&gt;=0.2,"REVISAR","RECHAZAR")))</f>
        <v>RECHAZAR</v>
      </c>
      <c r="E1531" s="42"/>
      <c r="F1531" s="42"/>
    </row>
    <row r="1533" customFormat="false" ht="15" hidden="false" customHeight="false" outlineLevel="0" collapsed="false">
      <c r="A1533" s="11" t="s">
        <v>927</v>
      </c>
      <c r="B1533" s="11"/>
      <c r="C1533" s="11"/>
      <c r="D1533" s="11"/>
      <c r="E1533" s="11"/>
      <c r="F1533" s="11"/>
      <c r="H1533" s="11" t="s">
        <v>928</v>
      </c>
      <c r="I1533" s="11"/>
      <c r="J1533" s="11"/>
      <c r="K1533" s="11"/>
      <c r="L1533" s="11"/>
      <c r="M1533" s="11"/>
      <c r="N1533" s="11"/>
      <c r="P1533" s="14" t="s">
        <v>246</v>
      </c>
    </row>
    <row r="1534" customFormat="false" ht="15" hidden="false" customHeight="false" outlineLevel="0" collapsed="false">
      <c r="A1534" s="15" t="s">
        <v>247</v>
      </c>
      <c r="B1534" s="16" t="s">
        <v>248</v>
      </c>
      <c r="C1534" s="17"/>
      <c r="D1534" s="17"/>
      <c r="E1534" s="17"/>
      <c r="F1534" s="17"/>
      <c r="H1534" s="18" t="s">
        <v>929</v>
      </c>
      <c r="I1534" s="19"/>
      <c r="J1534" s="19"/>
      <c r="L1534" s="20" t="s">
        <v>930</v>
      </c>
      <c r="M1534" s="21"/>
      <c r="N1534" s="21"/>
      <c r="P1534" s="14" t="s">
        <v>902</v>
      </c>
    </row>
    <row r="1535" customFormat="false" ht="15" hidden="false" customHeight="false" outlineLevel="0" collapsed="false">
      <c r="B1535" s="3" t="s">
        <v>252</v>
      </c>
      <c r="C1535" s="3" t="s">
        <v>253</v>
      </c>
      <c r="D1535" s="3" t="s">
        <v>254</v>
      </c>
      <c r="E1535" s="3" t="s">
        <v>255</v>
      </c>
      <c r="F1535" s="3" t="s">
        <v>256</v>
      </c>
      <c r="H1535" s="22" t="s">
        <v>252</v>
      </c>
      <c r="I1535" s="22" t="s">
        <v>255</v>
      </c>
      <c r="J1535" s="22" t="s">
        <v>256</v>
      </c>
      <c r="L1535" s="23" t="s">
        <v>252</v>
      </c>
      <c r="M1535" s="23" t="s">
        <v>255</v>
      </c>
      <c r="N1535" s="23" t="s">
        <v>256</v>
      </c>
      <c r="P1535" s="14" t="s">
        <v>399</v>
      </c>
    </row>
    <row r="1536" customFormat="false" ht="15" hidden="false" customHeight="false" outlineLevel="0" collapsed="false">
      <c r="A1536" s="24" t="s">
        <v>258</v>
      </c>
      <c r="B1536" s="25" t="n">
        <v>5.5</v>
      </c>
      <c r="C1536" s="25" t="n">
        <v>30</v>
      </c>
      <c r="D1536" s="26" t="n">
        <v>3.68919</v>
      </c>
      <c r="E1536" s="27" t="n">
        <v>4.17</v>
      </c>
      <c r="F1536" s="28" t="n">
        <f aca="false">ROUND(B1536*E1536,2)</f>
        <v>22.94</v>
      </c>
      <c r="H1536" s="29" t="n">
        <v>5.5</v>
      </c>
      <c r="I1536" s="30" t="n">
        <v>4.17</v>
      </c>
      <c r="J1536" s="31" t="n">
        <f aca="false">ROUND(H1536*I1536,2)</f>
        <v>22.94</v>
      </c>
      <c r="L1536" s="32" t="n">
        <v>5.5</v>
      </c>
      <c r="M1536" s="33" t="n">
        <v>4.17</v>
      </c>
      <c r="N1536" s="34" t="n">
        <f aca="false">ROUND(L1536*M1536,2)</f>
        <v>22.94</v>
      </c>
      <c r="P1536" s="35" t="s">
        <v>903</v>
      </c>
    </row>
    <row r="1537" customFormat="false" ht="15" hidden="false" customHeight="false" outlineLevel="0" collapsed="false">
      <c r="A1537" s="24" t="s">
        <v>260</v>
      </c>
      <c r="B1537" s="25" t="n">
        <v>5.5</v>
      </c>
      <c r="C1537" s="25" t="n">
        <v>30</v>
      </c>
      <c r="D1537" s="26" t="n">
        <v>1.31928</v>
      </c>
      <c r="E1537" s="27" t="n">
        <v>1.37</v>
      </c>
      <c r="F1537" s="28" t="n">
        <f aca="false">ROUND(B1537*E1537,2)</f>
        <v>7.54</v>
      </c>
      <c r="H1537" s="29" t="n">
        <v>5.5</v>
      </c>
      <c r="I1537" s="30" t="n">
        <v>1.37</v>
      </c>
      <c r="J1537" s="31" t="n">
        <f aca="false">ROUND(H1537*I1537,2)</f>
        <v>7.54</v>
      </c>
      <c r="L1537" s="32" t="n">
        <v>5.5</v>
      </c>
      <c r="M1537" s="33" t="n">
        <v>1.37</v>
      </c>
      <c r="N1537" s="34" t="n">
        <f aca="false">ROUND(L1537*M1537,2)</f>
        <v>7.54</v>
      </c>
      <c r="P1537" s="43" t="s">
        <v>261</v>
      </c>
    </row>
    <row r="1538" customFormat="false" ht="15" hidden="false" customHeight="false" outlineLevel="0" collapsed="false">
      <c r="A1538" s="24" t="s">
        <v>262</v>
      </c>
      <c r="B1538" s="25" t="n">
        <v>136.183</v>
      </c>
      <c r="C1538" s="25" t="n">
        <v>30</v>
      </c>
      <c r="D1538" s="26" t="n">
        <v>0.111171</v>
      </c>
      <c r="E1538" s="27" t="n">
        <v>0.14937</v>
      </c>
      <c r="F1538" s="28" t="n">
        <f aca="false">ROUND(B1538*E1538,2)</f>
        <v>20.34</v>
      </c>
      <c r="H1538" s="29" t="n">
        <v>164.276</v>
      </c>
      <c r="I1538" s="30" t="n">
        <v>0.14937</v>
      </c>
      <c r="J1538" s="31" t="n">
        <f aca="false">ROUND(H1538*I1538,2)</f>
        <v>24.54</v>
      </c>
      <c r="L1538" s="32" t="n">
        <v>197.784</v>
      </c>
      <c r="M1538" s="33" t="n">
        <v>0.14937</v>
      </c>
      <c r="N1538" s="34" t="n">
        <f aca="false">ROUND(L1538*M1538,2)</f>
        <v>29.54</v>
      </c>
    </row>
    <row r="1539" customFormat="false" ht="15" hidden="false" customHeight="false" outlineLevel="0" collapsed="false">
      <c r="A1539" s="24" t="s">
        <v>264</v>
      </c>
      <c r="B1539" s="25" t="n">
        <v>131.984</v>
      </c>
      <c r="C1539" s="25" t="n">
        <v>30</v>
      </c>
      <c r="D1539" s="26" t="n">
        <v>0.111171</v>
      </c>
      <c r="E1539" s="27" t="n">
        <v>0.14937</v>
      </c>
      <c r="F1539" s="28" t="n">
        <f aca="false">ROUND(B1539*E1539,2)</f>
        <v>19.71</v>
      </c>
      <c r="H1539" s="29" t="n">
        <v>145.243</v>
      </c>
      <c r="I1539" s="30" t="n">
        <v>0.14937</v>
      </c>
      <c r="J1539" s="31" t="n">
        <f aca="false">ROUND(H1539*I1539,2)</f>
        <v>21.69</v>
      </c>
      <c r="L1539" s="32" t="n">
        <v>181.297</v>
      </c>
      <c r="M1539" s="33" t="n">
        <v>0.14937</v>
      </c>
      <c r="N1539" s="34" t="n">
        <f aca="false">ROUND(L1539*M1539,2)</f>
        <v>27.08</v>
      </c>
    </row>
    <row r="1540" customFormat="false" ht="15" hidden="false" customHeight="false" outlineLevel="0" collapsed="false">
      <c r="A1540" s="24" t="s">
        <v>265</v>
      </c>
      <c r="B1540" s="25" t="n">
        <v>237.055</v>
      </c>
      <c r="C1540" s="25" t="n">
        <v>30</v>
      </c>
      <c r="D1540" s="26" t="n">
        <v>0.111171</v>
      </c>
      <c r="E1540" s="27" t="n">
        <v>0.14937</v>
      </c>
      <c r="F1540" s="28" t="n">
        <f aca="false">ROUND(B1540*E1540,2)</f>
        <v>35.41</v>
      </c>
      <c r="H1540" s="29" t="n">
        <v>179.669</v>
      </c>
      <c r="I1540" s="30" t="n">
        <v>0.14937</v>
      </c>
      <c r="J1540" s="31" t="n">
        <f aca="false">ROUND(H1540*I1540,2)</f>
        <v>26.84</v>
      </c>
      <c r="L1540" s="32" t="n">
        <v>289.699</v>
      </c>
      <c r="M1540" s="33" t="n">
        <v>0.14937</v>
      </c>
      <c r="N1540" s="34" t="n">
        <f aca="false">ROUND(L1540*M1540,2)</f>
        <v>43.27</v>
      </c>
    </row>
    <row r="1541" customFormat="false" ht="15" hidden="false" customHeight="false" outlineLevel="0" collapsed="false">
      <c r="A1541" s="24" t="s">
        <v>266</v>
      </c>
      <c r="B1541" s="25" t="n">
        <v>1</v>
      </c>
      <c r="C1541" s="25" t="n">
        <v>30</v>
      </c>
      <c r="D1541" s="26" t="n">
        <v>0.7989</v>
      </c>
      <c r="E1541" s="27" t="n">
        <v>4</v>
      </c>
      <c r="F1541" s="28" t="n">
        <f aca="false">ROUND(B1541*E1541,2)</f>
        <v>4</v>
      </c>
      <c r="H1541" s="29" t="n">
        <v>1</v>
      </c>
      <c r="I1541" s="30" t="n">
        <v>4</v>
      </c>
      <c r="J1541" s="31" t="n">
        <f aca="false">ROUND(H1541*I1541,2)</f>
        <v>4</v>
      </c>
      <c r="L1541" s="32" t="n">
        <v>1</v>
      </c>
      <c r="M1541" s="33" t="n">
        <v>4</v>
      </c>
      <c r="N1541" s="34" t="n">
        <f aca="false">ROUND(L1541*M1541,2)</f>
        <v>4</v>
      </c>
    </row>
    <row r="1542" customFormat="false" ht="15" hidden="false" customHeight="false" outlineLevel="0" collapsed="false">
      <c r="A1542" s="24" t="s">
        <v>267</v>
      </c>
      <c r="B1542" s="25" t="n">
        <v>30</v>
      </c>
      <c r="C1542" s="25" t="n">
        <v>30</v>
      </c>
      <c r="D1542" s="26" t="n">
        <v>0.5736</v>
      </c>
      <c r="E1542" s="27" t="n">
        <v>0.01274</v>
      </c>
      <c r="F1542" s="28" t="n">
        <f aca="false">ROUND(B1542*E1542,2)</f>
        <v>0.38</v>
      </c>
      <c r="H1542" s="29" t="n">
        <v>30</v>
      </c>
      <c r="I1542" s="30" t="n">
        <v>0.01274</v>
      </c>
      <c r="J1542" s="31" t="n">
        <f aca="false">ROUND(H1542*I1542,2)</f>
        <v>0.38</v>
      </c>
      <c r="L1542" s="32" t="n">
        <v>30</v>
      </c>
      <c r="M1542" s="33" t="n">
        <v>0.00629</v>
      </c>
      <c r="N1542" s="34" t="n">
        <f aca="false">ROUND(L1542*M1542,2)</f>
        <v>0.19</v>
      </c>
    </row>
    <row r="1543" customFormat="false" ht="15" hidden="false" customHeight="false" outlineLevel="0" collapsed="false">
      <c r="A1543" s="24" t="s">
        <v>268</v>
      </c>
      <c r="B1543" s="25" t="n">
        <v>5.42</v>
      </c>
      <c r="C1543" s="25" t="n">
        <v>30</v>
      </c>
      <c r="D1543" s="26" t="n">
        <v>0.27312</v>
      </c>
      <c r="E1543" s="27" t="n">
        <v>1</v>
      </c>
      <c r="F1543" s="28" t="n">
        <f aca="false">ROUND(B1543*E1543,2)</f>
        <v>5.42</v>
      </c>
      <c r="H1543" s="29" t="n">
        <v>5.3</v>
      </c>
      <c r="I1543" s="30" t="n">
        <v>1</v>
      </c>
      <c r="J1543" s="31" t="n">
        <f aca="false">ROUND(H1543*I1543,2)</f>
        <v>5.3</v>
      </c>
      <c r="L1543" s="32" t="n">
        <v>6.67</v>
      </c>
      <c r="M1543" s="33" t="n">
        <v>1</v>
      </c>
      <c r="N1543" s="34" t="n">
        <f aca="false">ROUND(L1543*M1543,2)</f>
        <v>6.67</v>
      </c>
    </row>
    <row r="1544" customFormat="false" ht="15" hidden="false" customHeight="false" outlineLevel="0" collapsed="false">
      <c r="A1544" s="37" t="s">
        <v>269</v>
      </c>
      <c r="F1544" s="38" t="n">
        <f aca="false">ROUND((SUM(F1536:F1543)-F1543)*1.1+F1543,2)</f>
        <v>126.77</v>
      </c>
      <c r="J1544" s="39" t="n">
        <f aca="false">ROUND(SUM(J1536:J1543),2)</f>
        <v>113.23</v>
      </c>
      <c r="N1544" s="40" t="n">
        <f aca="false">ROUND(SUM(N1536:N1543),2)</f>
        <v>141.23</v>
      </c>
    </row>
    <row r="1545" customFormat="false" ht="15" hidden="false" customHeight="false" outlineLevel="0" collapsed="false">
      <c r="A1545" s="15" t="s">
        <v>270</v>
      </c>
      <c r="B1545" s="41" t="n">
        <f aca="false">IF((F1538+F1536+F1540+F1537+F1539)=0,"",((F1538+F1536+F1540+F1537+F1539)-(B1538*D1538+B1536*D1536+B1540*D1540+B1537*D1537+B1539*D1539))/(F1538+F1536+F1540+F1537+F1539))</f>
        <v>0.209811025467246</v>
      </c>
      <c r="D1545" s="42" t="str">
        <f aca="false">IF(B1545="","SIN PC",IF(B1545&gt;=Detalle!$G$1,"APROBAR",IF(B1545&gt;=0.2,"REVISAR","RECHAZAR")))</f>
        <v>REVISAR</v>
      </c>
      <c r="E1545" s="42"/>
      <c r="F1545" s="42"/>
    </row>
    <row r="1547" customFormat="false" ht="15" hidden="false" customHeight="false" outlineLevel="0" collapsed="false">
      <c r="A1547" s="11" t="s">
        <v>931</v>
      </c>
      <c r="B1547" s="11"/>
      <c r="C1547" s="11"/>
      <c r="D1547" s="11"/>
      <c r="E1547" s="11"/>
      <c r="F1547" s="11"/>
      <c r="H1547" s="11" t="s">
        <v>932</v>
      </c>
      <c r="I1547" s="11"/>
      <c r="J1547" s="11"/>
      <c r="K1547" s="11"/>
      <c r="L1547" s="11"/>
      <c r="M1547" s="11"/>
      <c r="N1547" s="11"/>
      <c r="P1547" s="14" t="s">
        <v>246</v>
      </c>
    </row>
    <row r="1548" customFormat="false" ht="15" hidden="false" customHeight="false" outlineLevel="0" collapsed="false">
      <c r="A1548" s="15" t="s">
        <v>247</v>
      </c>
      <c r="B1548" s="16" t="s">
        <v>248</v>
      </c>
      <c r="C1548" s="17"/>
      <c r="D1548" s="17"/>
      <c r="E1548" s="17"/>
      <c r="F1548" s="17"/>
      <c r="H1548" s="18" t="s">
        <v>933</v>
      </c>
      <c r="I1548" s="19"/>
      <c r="J1548" s="19"/>
      <c r="L1548" s="20" t="s">
        <v>428</v>
      </c>
      <c r="M1548" s="21"/>
      <c r="N1548" s="21"/>
      <c r="P1548" s="14" t="s">
        <v>429</v>
      </c>
    </row>
    <row r="1549" customFormat="false" ht="15" hidden="false" customHeight="false" outlineLevel="0" collapsed="false">
      <c r="B1549" s="3" t="s">
        <v>252</v>
      </c>
      <c r="C1549" s="3" t="s">
        <v>253</v>
      </c>
      <c r="D1549" s="3" t="s">
        <v>254</v>
      </c>
      <c r="E1549" s="3" t="s">
        <v>255</v>
      </c>
      <c r="F1549" s="3" t="s">
        <v>256</v>
      </c>
      <c r="H1549" s="22" t="s">
        <v>252</v>
      </c>
      <c r="I1549" s="22" t="s">
        <v>255</v>
      </c>
      <c r="J1549" s="22" t="s">
        <v>256</v>
      </c>
      <c r="L1549" s="23" t="s">
        <v>252</v>
      </c>
      <c r="M1549" s="23" t="s">
        <v>255</v>
      </c>
      <c r="N1549" s="23" t="s">
        <v>256</v>
      </c>
      <c r="P1549" s="14" t="s">
        <v>399</v>
      </c>
    </row>
    <row r="1550" customFormat="false" ht="15" hidden="false" customHeight="false" outlineLevel="0" collapsed="false">
      <c r="A1550" s="24" t="s">
        <v>258</v>
      </c>
      <c r="B1550" s="25" t="n">
        <v>9.2</v>
      </c>
      <c r="C1550" s="25" t="n">
        <v>30</v>
      </c>
      <c r="D1550" s="26" t="n">
        <v>3.68919</v>
      </c>
      <c r="E1550" s="27" t="n">
        <v>3.99</v>
      </c>
      <c r="F1550" s="28" t="n">
        <f aca="false">ROUND(B1550*E1550,2)</f>
        <v>36.71</v>
      </c>
      <c r="H1550" s="29" t="n">
        <v>9.2</v>
      </c>
      <c r="I1550" s="30" t="n">
        <v>3.99</v>
      </c>
      <c r="J1550" s="31" t="n">
        <f aca="false">ROUND(H1550*I1550,2)</f>
        <v>36.71</v>
      </c>
      <c r="L1550" s="53"/>
      <c r="M1550" s="53"/>
      <c r="N1550" s="53"/>
      <c r="P1550" s="35" t="s">
        <v>430</v>
      </c>
    </row>
    <row r="1551" customFormat="false" ht="15" hidden="false" customHeight="false" outlineLevel="0" collapsed="false">
      <c r="A1551" s="24" t="s">
        <v>260</v>
      </c>
      <c r="B1551" s="25" t="n">
        <v>9.2</v>
      </c>
      <c r="C1551" s="25" t="n">
        <v>30</v>
      </c>
      <c r="D1551" s="26" t="n">
        <v>1.31928</v>
      </c>
      <c r="E1551" s="27" t="n">
        <v>1.37</v>
      </c>
      <c r="F1551" s="28" t="n">
        <f aca="false">ROUND(B1551*E1551,2)</f>
        <v>12.6</v>
      </c>
      <c r="H1551" s="29" t="n">
        <v>9.2</v>
      </c>
      <c r="I1551" s="30" t="n">
        <v>1.37</v>
      </c>
      <c r="J1551" s="31" t="n">
        <f aca="false">ROUND(H1551*I1551,2)</f>
        <v>12.6</v>
      </c>
      <c r="L1551" s="53"/>
      <c r="M1551" s="53"/>
      <c r="N1551" s="53"/>
      <c r="P1551" s="43" t="s">
        <v>261</v>
      </c>
    </row>
    <row r="1552" customFormat="false" ht="15" hidden="false" customHeight="false" outlineLevel="0" collapsed="false">
      <c r="A1552" s="24" t="s">
        <v>262</v>
      </c>
      <c r="B1552" s="25" t="n">
        <v>49.507</v>
      </c>
      <c r="C1552" s="25" t="n">
        <v>30</v>
      </c>
      <c r="D1552" s="26" t="n">
        <v>0.111171</v>
      </c>
      <c r="E1552" s="27" t="n">
        <v>0.129</v>
      </c>
      <c r="F1552" s="28" t="n">
        <f aca="false">ROUND(B1552*E1552,2)</f>
        <v>6.39</v>
      </c>
      <c r="H1552" s="29" t="n">
        <v>97.524</v>
      </c>
      <c r="I1552" s="30" t="n">
        <v>0.129</v>
      </c>
      <c r="J1552" s="31" t="n">
        <f aca="false">ROUND(H1552*I1552,2)</f>
        <v>12.58</v>
      </c>
      <c r="L1552" s="53"/>
      <c r="M1552" s="53"/>
      <c r="N1552" s="53"/>
    </row>
    <row r="1553" customFormat="false" ht="15" hidden="false" customHeight="false" outlineLevel="0" collapsed="false">
      <c r="A1553" s="24" t="s">
        <v>264</v>
      </c>
      <c r="B1553" s="25" t="n">
        <v>70.047</v>
      </c>
      <c r="C1553" s="25" t="n">
        <v>30</v>
      </c>
      <c r="D1553" s="26" t="n">
        <v>0.111171</v>
      </c>
      <c r="E1553" s="27" t="n">
        <v>0.129</v>
      </c>
      <c r="F1553" s="28" t="n">
        <f aca="false">ROUND(B1553*E1553,2)</f>
        <v>9.04</v>
      </c>
      <c r="H1553" s="29" t="n">
        <v>80.905</v>
      </c>
      <c r="I1553" s="30" t="n">
        <v>0.129</v>
      </c>
      <c r="J1553" s="31" t="n">
        <f aca="false">ROUND(H1553*I1553,2)</f>
        <v>10.44</v>
      </c>
      <c r="L1553" s="53"/>
      <c r="M1553" s="53"/>
      <c r="N1553" s="53"/>
    </row>
    <row r="1554" customFormat="false" ht="15" hidden="false" customHeight="false" outlineLevel="0" collapsed="false">
      <c r="A1554" s="24" t="s">
        <v>265</v>
      </c>
      <c r="B1554" s="25" t="n">
        <v>121.494</v>
      </c>
      <c r="C1554" s="25" t="n">
        <v>30</v>
      </c>
      <c r="D1554" s="26" t="n">
        <v>0.111171</v>
      </c>
      <c r="E1554" s="27" t="n">
        <v>0.129</v>
      </c>
      <c r="F1554" s="28" t="n">
        <f aca="false">ROUND(B1554*E1554,2)</f>
        <v>15.67</v>
      </c>
      <c r="H1554" s="29" t="n">
        <v>85.521</v>
      </c>
      <c r="I1554" s="30" t="n">
        <v>0.129</v>
      </c>
      <c r="J1554" s="31" t="n">
        <f aca="false">ROUND(H1554*I1554,2)</f>
        <v>11.03</v>
      </c>
      <c r="L1554" s="53"/>
      <c r="M1554" s="53"/>
      <c r="N1554" s="53"/>
    </row>
    <row r="1555" customFormat="false" ht="15" hidden="false" customHeight="false" outlineLevel="0" collapsed="false">
      <c r="A1555" s="24" t="s">
        <v>266</v>
      </c>
      <c r="B1555" s="25" t="n">
        <v>1</v>
      </c>
      <c r="C1555" s="25" t="n">
        <v>30</v>
      </c>
      <c r="D1555" s="26" t="n">
        <v>0.7989</v>
      </c>
      <c r="E1555" s="27" t="n">
        <v>1</v>
      </c>
      <c r="F1555" s="28" t="n">
        <f aca="false">ROUND(B1555*E1555,2)</f>
        <v>1</v>
      </c>
      <c r="H1555" s="29" t="n">
        <v>1</v>
      </c>
      <c r="I1555" s="30" t="n">
        <v>1</v>
      </c>
      <c r="J1555" s="31" t="n">
        <f aca="false">ROUND(H1555*I1555,2)</f>
        <v>1</v>
      </c>
      <c r="L1555" s="53"/>
      <c r="M1555" s="53"/>
      <c r="N1555" s="53"/>
    </row>
    <row r="1556" customFormat="false" ht="15" hidden="false" customHeight="false" outlineLevel="0" collapsed="false">
      <c r="A1556" s="24" t="s">
        <v>267</v>
      </c>
      <c r="B1556" s="25" t="n">
        <v>30</v>
      </c>
      <c r="C1556" s="25" t="n">
        <v>30</v>
      </c>
      <c r="D1556" s="26" t="n">
        <v>0.5736</v>
      </c>
      <c r="E1556" s="27" t="n">
        <v>0.01274</v>
      </c>
      <c r="F1556" s="28" t="n">
        <f aca="false">ROUND(B1556*E1556,2)</f>
        <v>0.38</v>
      </c>
      <c r="H1556" s="29" t="n">
        <v>30</v>
      </c>
      <c r="I1556" s="30" t="n">
        <v>0.01274</v>
      </c>
      <c r="J1556" s="31" t="n">
        <f aca="false">ROUND(H1556*I1556,2)</f>
        <v>0.38</v>
      </c>
      <c r="L1556" s="53"/>
      <c r="M1556" s="53"/>
      <c r="N1556" s="53"/>
    </row>
    <row r="1557" customFormat="false" ht="15" hidden="false" customHeight="false" outlineLevel="0" collapsed="false">
      <c r="A1557" s="24" t="s">
        <v>268</v>
      </c>
      <c r="B1557" s="25" t="n">
        <v>4.2</v>
      </c>
      <c r="C1557" s="25" t="n">
        <v>30</v>
      </c>
      <c r="D1557" s="26" t="n">
        <v>0.02671</v>
      </c>
      <c r="E1557" s="27" t="n">
        <v>1</v>
      </c>
      <c r="F1557" s="28" t="n">
        <f aca="false">ROUND(B1557*E1557,2)</f>
        <v>4.2</v>
      </c>
      <c r="H1557" s="29" t="n">
        <v>4.35</v>
      </c>
      <c r="I1557" s="30" t="n">
        <v>1</v>
      </c>
      <c r="J1557" s="31" t="n">
        <f aca="false">ROUND(H1557*I1557,2)</f>
        <v>4.35</v>
      </c>
      <c r="L1557" s="53"/>
      <c r="M1557" s="53"/>
      <c r="N1557" s="53"/>
    </row>
    <row r="1558" customFormat="false" ht="15" hidden="false" customHeight="false" outlineLevel="0" collapsed="false">
      <c r="A1558" s="37" t="s">
        <v>269</v>
      </c>
      <c r="F1558" s="38" t="n">
        <f aca="false">ROUND((SUM(F1550:F1557)-F1557)*1.1+F1557,2)</f>
        <v>94.17</v>
      </c>
      <c r="J1558" s="39" t="n">
        <f aca="false">ROUND(SUM(J1550:J1557),2)</f>
        <v>89.09</v>
      </c>
      <c r="N1558" s="54"/>
    </row>
    <row r="1559" customFormat="false" ht="15" hidden="false" customHeight="false" outlineLevel="0" collapsed="false">
      <c r="A1559" s="15" t="s">
        <v>270</v>
      </c>
      <c r="B1559" s="41" t="n">
        <f aca="false">IF((F1552+F1550+F1554+F1551+F1553)=0,"",((F1552+F1550+F1554+F1551+F1553)-(B1552*D1552+B1550*D1550+B1554*D1554+B1551*D1551+B1553*D1553))/(F1552+F1550+F1554+F1551+F1553))</f>
        <v>0.0937013902748413</v>
      </c>
      <c r="D1559" s="42" t="str">
        <f aca="false">IF(B1559="","SIN PC",IF(B1559&gt;=Detalle!$G$1,"APROBAR",IF(B1559&gt;=0.2,"REVISAR","RECHAZAR")))</f>
        <v>RECHAZAR</v>
      </c>
      <c r="E1559" s="42"/>
      <c r="F1559" s="42"/>
    </row>
    <row r="1561" customFormat="false" ht="15" hidden="false" customHeight="false" outlineLevel="0" collapsed="false">
      <c r="A1561" s="11" t="s">
        <v>934</v>
      </c>
      <c r="B1561" s="11"/>
      <c r="C1561" s="11"/>
      <c r="D1561" s="11"/>
      <c r="E1561" s="11"/>
      <c r="F1561" s="11"/>
      <c r="H1561" s="11" t="s">
        <v>935</v>
      </c>
      <c r="I1561" s="11"/>
      <c r="J1561" s="11"/>
      <c r="K1561" s="11"/>
      <c r="L1561" s="11"/>
      <c r="M1561" s="11"/>
      <c r="N1561" s="11"/>
      <c r="P1561" s="14" t="s">
        <v>246</v>
      </c>
    </row>
    <row r="1562" customFormat="false" ht="15" hidden="false" customHeight="false" outlineLevel="0" collapsed="false">
      <c r="A1562" s="15" t="s">
        <v>247</v>
      </c>
      <c r="B1562" s="16" t="s">
        <v>248</v>
      </c>
      <c r="C1562" s="17"/>
      <c r="D1562" s="17"/>
      <c r="E1562" s="17"/>
      <c r="F1562" s="17"/>
      <c r="H1562" s="18" t="s">
        <v>936</v>
      </c>
      <c r="I1562" s="19"/>
      <c r="J1562" s="19"/>
      <c r="L1562" s="20" t="s">
        <v>428</v>
      </c>
      <c r="M1562" s="21"/>
      <c r="N1562" s="21"/>
      <c r="P1562" s="14" t="s">
        <v>937</v>
      </c>
    </row>
    <row r="1563" customFormat="false" ht="15" hidden="false" customHeight="false" outlineLevel="0" collapsed="false">
      <c r="B1563" s="3" t="s">
        <v>252</v>
      </c>
      <c r="C1563" s="3" t="s">
        <v>253</v>
      </c>
      <c r="D1563" s="3" t="s">
        <v>254</v>
      </c>
      <c r="E1563" s="3" t="s">
        <v>255</v>
      </c>
      <c r="F1563" s="3" t="s">
        <v>256</v>
      </c>
      <c r="H1563" s="22" t="s">
        <v>252</v>
      </c>
      <c r="I1563" s="22" t="s">
        <v>255</v>
      </c>
      <c r="J1563" s="22" t="s">
        <v>256</v>
      </c>
      <c r="L1563" s="23" t="s">
        <v>252</v>
      </c>
      <c r="M1563" s="23" t="s">
        <v>255</v>
      </c>
      <c r="N1563" s="23" t="s">
        <v>256</v>
      </c>
      <c r="P1563" s="14" t="s">
        <v>399</v>
      </c>
    </row>
    <row r="1564" customFormat="false" ht="15" hidden="false" customHeight="false" outlineLevel="0" collapsed="false">
      <c r="A1564" s="24" t="s">
        <v>258</v>
      </c>
      <c r="B1564" s="25" t="n">
        <v>13.856</v>
      </c>
      <c r="C1564" s="25" t="n">
        <v>30</v>
      </c>
      <c r="D1564" s="26" t="n">
        <v>3.68919</v>
      </c>
      <c r="E1564" s="27" t="n">
        <v>4.17</v>
      </c>
      <c r="F1564" s="28" t="n">
        <f aca="false">ROUND(B1564*E1564,2)</f>
        <v>57.78</v>
      </c>
      <c r="H1564" s="29" t="n">
        <v>13.856</v>
      </c>
      <c r="I1564" s="30" t="n">
        <v>4.17</v>
      </c>
      <c r="J1564" s="31" t="n">
        <f aca="false">ROUND(H1564*I1564,2)</f>
        <v>57.78</v>
      </c>
      <c r="L1564" s="53"/>
      <c r="M1564" s="53"/>
      <c r="N1564" s="53"/>
      <c r="P1564" s="35" t="s">
        <v>938</v>
      </c>
    </row>
    <row r="1565" customFormat="false" ht="15" hidden="false" customHeight="false" outlineLevel="0" collapsed="false">
      <c r="A1565" s="24" t="s">
        <v>260</v>
      </c>
      <c r="B1565" s="25" t="n">
        <v>13.856</v>
      </c>
      <c r="C1565" s="25" t="n">
        <v>30</v>
      </c>
      <c r="D1565" s="26" t="n">
        <v>1.31928</v>
      </c>
      <c r="E1565" s="27" t="n">
        <v>1.37</v>
      </c>
      <c r="F1565" s="28" t="n">
        <f aca="false">ROUND(B1565*E1565,2)</f>
        <v>18.98</v>
      </c>
      <c r="H1565" s="29" t="n">
        <v>13.856</v>
      </c>
      <c r="I1565" s="30" t="n">
        <v>1.37</v>
      </c>
      <c r="J1565" s="31" t="n">
        <f aca="false">ROUND(H1565*I1565,2)</f>
        <v>18.98</v>
      </c>
      <c r="L1565" s="53"/>
      <c r="M1565" s="53"/>
      <c r="N1565" s="53"/>
      <c r="P1565" s="43" t="s">
        <v>261</v>
      </c>
    </row>
    <row r="1566" customFormat="false" ht="15" hidden="false" customHeight="false" outlineLevel="0" collapsed="false">
      <c r="A1566" s="24" t="s">
        <v>262</v>
      </c>
      <c r="B1566" s="25" t="n">
        <v>0.154</v>
      </c>
      <c r="C1566" s="25" t="n">
        <v>30</v>
      </c>
      <c r="D1566" s="26" t="n">
        <v>0.111171</v>
      </c>
      <c r="E1566" s="27" t="n">
        <v>0.14937</v>
      </c>
      <c r="F1566" s="28" t="n">
        <f aca="false">ROUND(B1566*E1566,2)</f>
        <v>0.02</v>
      </c>
      <c r="H1566" s="29" t="n">
        <v>134.417</v>
      </c>
      <c r="I1566" s="30" t="n">
        <v>0.14937</v>
      </c>
      <c r="J1566" s="31" t="n">
        <f aca="false">ROUND(H1566*I1566,2)</f>
        <v>20.08</v>
      </c>
      <c r="L1566" s="53"/>
      <c r="M1566" s="53"/>
      <c r="N1566" s="53"/>
    </row>
    <row r="1567" customFormat="false" ht="15" hidden="false" customHeight="false" outlineLevel="0" collapsed="false">
      <c r="A1567" s="24" t="s">
        <v>264</v>
      </c>
      <c r="B1567" s="25" t="n">
        <v>4.687</v>
      </c>
      <c r="C1567" s="25" t="n">
        <v>30</v>
      </c>
      <c r="D1567" s="26" t="n">
        <v>0.111171</v>
      </c>
      <c r="E1567" s="27" t="n">
        <v>0.14937</v>
      </c>
      <c r="F1567" s="28" t="n">
        <f aca="false">ROUND(B1567*E1567,2)</f>
        <v>0.7</v>
      </c>
      <c r="H1567" s="29" t="n">
        <v>98.519</v>
      </c>
      <c r="I1567" s="30" t="n">
        <v>0.14937</v>
      </c>
      <c r="J1567" s="31" t="n">
        <f aca="false">ROUND(H1567*I1567,2)</f>
        <v>14.72</v>
      </c>
      <c r="L1567" s="53"/>
      <c r="M1567" s="53"/>
      <c r="N1567" s="53"/>
    </row>
    <row r="1568" customFormat="false" ht="15" hidden="false" customHeight="false" outlineLevel="0" collapsed="false">
      <c r="A1568" s="24" t="s">
        <v>265</v>
      </c>
      <c r="B1568" s="25" t="n">
        <v>42.642</v>
      </c>
      <c r="C1568" s="25" t="n">
        <v>30</v>
      </c>
      <c r="D1568" s="26" t="n">
        <v>0.111171</v>
      </c>
      <c r="E1568" s="27" t="n">
        <v>0.14937</v>
      </c>
      <c r="F1568" s="28" t="n">
        <f aca="false">ROUND(B1568*E1568,2)</f>
        <v>6.37</v>
      </c>
      <c r="H1568" s="29" t="n">
        <v>431.667</v>
      </c>
      <c r="I1568" s="30" t="n">
        <v>0.14937</v>
      </c>
      <c r="J1568" s="31" t="n">
        <f aca="false">ROUND(H1568*I1568,2)</f>
        <v>64.48</v>
      </c>
      <c r="L1568" s="53"/>
      <c r="M1568" s="53"/>
      <c r="N1568" s="53"/>
    </row>
    <row r="1569" customFormat="false" ht="15" hidden="false" customHeight="false" outlineLevel="0" collapsed="false">
      <c r="A1569" s="24" t="s">
        <v>266</v>
      </c>
      <c r="B1569" s="25" t="n">
        <v>1</v>
      </c>
      <c r="C1569" s="25" t="n">
        <v>30</v>
      </c>
      <c r="D1569" s="26" t="n">
        <v>1.3414</v>
      </c>
      <c r="E1569" s="27" t="n">
        <v>4</v>
      </c>
      <c r="F1569" s="28" t="n">
        <f aca="false">ROUND(B1569*E1569,2)</f>
        <v>4</v>
      </c>
      <c r="H1569" s="29" t="n">
        <v>1</v>
      </c>
      <c r="I1569" s="30" t="n">
        <v>4</v>
      </c>
      <c r="J1569" s="31" t="n">
        <f aca="false">ROUND(H1569*I1569,2)</f>
        <v>4</v>
      </c>
      <c r="L1569" s="53"/>
      <c r="M1569" s="53"/>
      <c r="N1569" s="53"/>
    </row>
    <row r="1570" customFormat="false" ht="15" hidden="false" customHeight="false" outlineLevel="0" collapsed="false">
      <c r="A1570" s="24" t="s">
        <v>267</v>
      </c>
      <c r="B1570" s="25" t="n">
        <v>30</v>
      </c>
      <c r="C1570" s="25" t="n">
        <v>30</v>
      </c>
      <c r="D1570" s="26" t="n">
        <v>0.5736</v>
      </c>
      <c r="E1570" s="27" t="n">
        <v>0.01274</v>
      </c>
      <c r="F1570" s="28" t="n">
        <f aca="false">ROUND(B1570*E1570,2)</f>
        <v>0.38</v>
      </c>
      <c r="H1570" s="29" t="n">
        <v>30</v>
      </c>
      <c r="I1570" s="30" t="n">
        <v>0.01274</v>
      </c>
      <c r="J1570" s="31" t="n">
        <f aca="false">ROUND(H1570*I1570,2)</f>
        <v>0.38</v>
      </c>
      <c r="L1570" s="53"/>
      <c r="M1570" s="53"/>
      <c r="N1570" s="53"/>
    </row>
    <row r="1571" customFormat="false" ht="15" hidden="false" customHeight="false" outlineLevel="0" collapsed="false">
      <c r="A1571" s="24" t="s">
        <v>268</v>
      </c>
      <c r="B1571" s="25" t="n">
        <v>4.29</v>
      </c>
      <c r="C1571" s="25" t="n">
        <v>30</v>
      </c>
      <c r="D1571" s="26" t="n">
        <v>0.27312</v>
      </c>
      <c r="E1571" s="27" t="n">
        <v>1</v>
      </c>
      <c r="F1571" s="28" t="n">
        <f aca="false">ROUND(B1571*E1571,2)</f>
        <v>4.29</v>
      </c>
      <c r="H1571" s="29" t="n">
        <v>9.01</v>
      </c>
      <c r="I1571" s="30" t="n">
        <v>1</v>
      </c>
      <c r="J1571" s="31" t="n">
        <f aca="false">ROUND(H1571*I1571,2)</f>
        <v>9.01</v>
      </c>
      <c r="L1571" s="53"/>
      <c r="M1571" s="53"/>
      <c r="N1571" s="53"/>
    </row>
    <row r="1572" customFormat="false" ht="15" hidden="false" customHeight="false" outlineLevel="0" collapsed="false">
      <c r="A1572" s="37" t="s">
        <v>269</v>
      </c>
      <c r="F1572" s="38" t="n">
        <f aca="false">ROUND((SUM(F1564:F1571)-F1571)*1.1+F1571,2)</f>
        <v>101.34</v>
      </c>
      <c r="J1572" s="39" t="n">
        <f aca="false">ROUND(SUM(J1564:J1571),2)</f>
        <v>189.43</v>
      </c>
      <c r="N1572" s="54"/>
    </row>
    <row r="1573" customFormat="false" ht="15" hidden="false" customHeight="false" outlineLevel="0" collapsed="false">
      <c r="A1573" s="15" t="s">
        <v>270</v>
      </c>
      <c r="B1573" s="41" t="n">
        <f aca="false">IF((F1566+F1564+F1568+F1565+F1567)=0,"",((F1566+F1564+F1568+F1565+F1567)-(B1566*D1566+B1564*D1564+B1568*D1568+B1565*D1565+B1567*D1567))/(F1566+F1564+F1568+F1565+F1567))</f>
        <v>0.109408552021467</v>
      </c>
      <c r="D1573" s="42" t="str">
        <f aca="false">IF(B1573="","SIN PC",IF(B1573&gt;=Detalle!$G$1,"APROBAR",IF(B1573&gt;=0.2,"REVISAR","RECHAZAR")))</f>
        <v>RECHAZAR</v>
      </c>
      <c r="E1573" s="42"/>
      <c r="F1573" s="42"/>
    </row>
    <row r="1575" customFormat="false" ht="15" hidden="false" customHeight="false" outlineLevel="0" collapsed="false">
      <c r="A1575" s="11" t="s">
        <v>939</v>
      </c>
      <c r="B1575" s="11"/>
      <c r="C1575" s="11"/>
      <c r="D1575" s="11"/>
      <c r="E1575" s="11"/>
      <c r="F1575" s="11"/>
      <c r="H1575" s="11" t="s">
        <v>940</v>
      </c>
      <c r="I1575" s="11"/>
      <c r="J1575" s="11"/>
      <c r="K1575" s="11"/>
      <c r="L1575" s="11"/>
      <c r="M1575" s="11"/>
      <c r="N1575" s="11"/>
      <c r="P1575" s="14" t="s">
        <v>246</v>
      </c>
    </row>
    <row r="1576" customFormat="false" ht="15" hidden="false" customHeight="false" outlineLevel="0" collapsed="false">
      <c r="A1576" s="15" t="s">
        <v>247</v>
      </c>
      <c r="B1576" s="16" t="s">
        <v>248</v>
      </c>
      <c r="C1576" s="17"/>
      <c r="D1576" s="17"/>
      <c r="E1576" s="17"/>
      <c r="F1576" s="17"/>
      <c r="H1576" s="18" t="s">
        <v>941</v>
      </c>
      <c r="I1576" s="19"/>
      <c r="J1576" s="19"/>
      <c r="L1576" s="20" t="s">
        <v>428</v>
      </c>
      <c r="M1576" s="21"/>
      <c r="N1576" s="21"/>
      <c r="P1576" s="14" t="s">
        <v>942</v>
      </c>
    </row>
    <row r="1577" customFormat="false" ht="15" hidden="false" customHeight="false" outlineLevel="0" collapsed="false">
      <c r="B1577" s="3" t="s">
        <v>252</v>
      </c>
      <c r="C1577" s="3" t="s">
        <v>253</v>
      </c>
      <c r="D1577" s="3" t="s">
        <v>254</v>
      </c>
      <c r="E1577" s="3" t="s">
        <v>255</v>
      </c>
      <c r="F1577" s="3" t="s">
        <v>256</v>
      </c>
      <c r="H1577" s="22" t="s">
        <v>252</v>
      </c>
      <c r="I1577" s="22" t="s">
        <v>255</v>
      </c>
      <c r="J1577" s="22" t="s">
        <v>256</v>
      </c>
      <c r="L1577" s="23" t="s">
        <v>252</v>
      </c>
      <c r="M1577" s="23" t="s">
        <v>255</v>
      </c>
      <c r="N1577" s="23" t="s">
        <v>256</v>
      </c>
      <c r="P1577" s="14" t="s">
        <v>399</v>
      </c>
    </row>
    <row r="1578" customFormat="false" ht="15" hidden="false" customHeight="false" outlineLevel="0" collapsed="false">
      <c r="A1578" s="24" t="s">
        <v>258</v>
      </c>
      <c r="B1578" s="25" t="n">
        <v>3.464</v>
      </c>
      <c r="C1578" s="25" t="n">
        <v>30</v>
      </c>
      <c r="D1578" s="26" t="n">
        <v>3.68919</v>
      </c>
      <c r="E1578" s="27" t="n">
        <v>4.17</v>
      </c>
      <c r="F1578" s="28" t="n">
        <f aca="false">ROUND(B1578*E1578,2)</f>
        <v>14.44</v>
      </c>
      <c r="H1578" s="29" t="n">
        <v>3.464</v>
      </c>
      <c r="I1578" s="30" t="n">
        <v>4.17</v>
      </c>
      <c r="J1578" s="31" t="n">
        <f aca="false">ROUND(H1578*I1578,2)</f>
        <v>14.44</v>
      </c>
      <c r="L1578" s="53"/>
      <c r="M1578" s="53"/>
      <c r="N1578" s="53"/>
      <c r="P1578" s="35" t="s">
        <v>943</v>
      </c>
    </row>
    <row r="1579" customFormat="false" ht="15" hidden="false" customHeight="false" outlineLevel="0" collapsed="false">
      <c r="A1579" s="24" t="s">
        <v>260</v>
      </c>
      <c r="B1579" s="25" t="n">
        <v>3.464</v>
      </c>
      <c r="C1579" s="25" t="n">
        <v>30</v>
      </c>
      <c r="D1579" s="26" t="n">
        <v>1.31928</v>
      </c>
      <c r="E1579" s="27" t="n">
        <v>1.37</v>
      </c>
      <c r="F1579" s="28" t="n">
        <f aca="false">ROUND(B1579*E1579,2)</f>
        <v>4.75</v>
      </c>
      <c r="H1579" s="29" t="n">
        <v>3.464</v>
      </c>
      <c r="I1579" s="30" t="n">
        <v>1.37</v>
      </c>
      <c r="J1579" s="31" t="n">
        <f aca="false">ROUND(H1579*I1579,2)</f>
        <v>4.75</v>
      </c>
      <c r="L1579" s="53"/>
      <c r="M1579" s="53"/>
      <c r="N1579" s="53"/>
      <c r="P1579" s="43" t="s">
        <v>261</v>
      </c>
    </row>
    <row r="1580" customFormat="false" ht="15" hidden="false" customHeight="false" outlineLevel="0" collapsed="false">
      <c r="A1580" s="24" t="s">
        <v>262</v>
      </c>
      <c r="B1580" s="25" t="n">
        <v>75.004</v>
      </c>
      <c r="C1580" s="25" t="n">
        <v>30</v>
      </c>
      <c r="D1580" s="26" t="n">
        <v>0.111171</v>
      </c>
      <c r="E1580" s="27" t="n">
        <v>0.14937</v>
      </c>
      <c r="F1580" s="28" t="n">
        <f aca="false">ROUND(B1580*E1580,2)</f>
        <v>11.2</v>
      </c>
      <c r="H1580" s="29" t="n">
        <v>60.471</v>
      </c>
      <c r="I1580" s="30" t="n">
        <v>0.14937</v>
      </c>
      <c r="J1580" s="31" t="n">
        <f aca="false">ROUND(H1580*I1580,2)</f>
        <v>9.03</v>
      </c>
      <c r="L1580" s="53"/>
      <c r="M1580" s="53"/>
      <c r="N1580" s="53"/>
    </row>
    <row r="1581" customFormat="false" ht="15" hidden="false" customHeight="false" outlineLevel="0" collapsed="false">
      <c r="A1581" s="24" t="s">
        <v>264</v>
      </c>
      <c r="B1581" s="25" t="n">
        <v>75.311</v>
      </c>
      <c r="C1581" s="25" t="n">
        <v>30</v>
      </c>
      <c r="D1581" s="26" t="n">
        <v>0.111171</v>
      </c>
      <c r="E1581" s="27" t="n">
        <v>0.14937</v>
      </c>
      <c r="F1581" s="28" t="n">
        <f aca="false">ROUND(B1581*E1581,2)</f>
        <v>11.25</v>
      </c>
      <c r="H1581" s="29" t="n">
        <v>57.29</v>
      </c>
      <c r="I1581" s="30" t="n">
        <v>0.14937</v>
      </c>
      <c r="J1581" s="31" t="n">
        <f aca="false">ROUND(H1581*I1581,2)</f>
        <v>8.56</v>
      </c>
      <c r="L1581" s="53"/>
      <c r="M1581" s="53"/>
      <c r="N1581" s="53"/>
    </row>
    <row r="1582" customFormat="false" ht="15" hidden="false" customHeight="false" outlineLevel="0" collapsed="false">
      <c r="A1582" s="24" t="s">
        <v>265</v>
      </c>
      <c r="B1582" s="25" t="n">
        <v>21.175</v>
      </c>
      <c r="C1582" s="25" t="n">
        <v>30</v>
      </c>
      <c r="D1582" s="26" t="n">
        <v>0.111171</v>
      </c>
      <c r="E1582" s="27" t="n">
        <v>0.14937</v>
      </c>
      <c r="F1582" s="28" t="n">
        <f aca="false">ROUND(B1582*E1582,2)</f>
        <v>3.16</v>
      </c>
      <c r="H1582" s="29" t="n">
        <v>16.984</v>
      </c>
      <c r="I1582" s="30" t="n">
        <v>0.14937</v>
      </c>
      <c r="J1582" s="31" t="n">
        <f aca="false">ROUND(H1582*I1582,2)</f>
        <v>2.54</v>
      </c>
      <c r="L1582" s="53"/>
      <c r="M1582" s="53"/>
      <c r="N1582" s="53"/>
    </row>
    <row r="1583" customFormat="false" ht="15" hidden="false" customHeight="false" outlineLevel="0" collapsed="false">
      <c r="A1583" s="24" t="s">
        <v>266</v>
      </c>
      <c r="B1583" s="25" t="n">
        <v>1</v>
      </c>
      <c r="C1583" s="25" t="n">
        <v>30</v>
      </c>
      <c r="D1583" s="26" t="n">
        <v>0.7989</v>
      </c>
      <c r="E1583" s="27" t="n">
        <v>4</v>
      </c>
      <c r="F1583" s="28" t="n">
        <f aca="false">ROUND(B1583*E1583,2)</f>
        <v>4</v>
      </c>
      <c r="H1583" s="29" t="n">
        <v>1</v>
      </c>
      <c r="I1583" s="30" t="n">
        <v>4</v>
      </c>
      <c r="J1583" s="31" t="n">
        <f aca="false">ROUND(H1583*I1583,2)</f>
        <v>4</v>
      </c>
      <c r="L1583" s="53"/>
      <c r="M1583" s="53"/>
      <c r="N1583" s="53"/>
    </row>
    <row r="1584" customFormat="false" ht="15" hidden="false" customHeight="false" outlineLevel="0" collapsed="false">
      <c r="A1584" s="24" t="s">
        <v>267</v>
      </c>
      <c r="B1584" s="25" t="n">
        <v>30</v>
      </c>
      <c r="C1584" s="25" t="n">
        <v>30</v>
      </c>
      <c r="D1584" s="26" t="n">
        <v>0.5736</v>
      </c>
      <c r="E1584" s="27" t="n">
        <v>0.01274</v>
      </c>
      <c r="F1584" s="28" t="n">
        <f aca="false">ROUND(B1584*E1584,2)</f>
        <v>0.38</v>
      </c>
      <c r="H1584" s="29" t="n">
        <v>30</v>
      </c>
      <c r="I1584" s="30" t="n">
        <v>0.01274</v>
      </c>
      <c r="J1584" s="31" t="n">
        <f aca="false">ROUND(H1584*I1584,2)</f>
        <v>0.38</v>
      </c>
      <c r="L1584" s="53"/>
      <c r="M1584" s="53"/>
      <c r="N1584" s="53"/>
    </row>
    <row r="1585" customFormat="false" ht="15" hidden="false" customHeight="false" outlineLevel="0" collapsed="false">
      <c r="A1585" s="24" t="s">
        <v>268</v>
      </c>
      <c r="B1585" s="25" t="n">
        <v>2.3</v>
      </c>
      <c r="C1585" s="25" t="n">
        <v>30</v>
      </c>
      <c r="D1585" s="26" t="n">
        <v>0.02671</v>
      </c>
      <c r="E1585" s="27" t="n">
        <v>1</v>
      </c>
      <c r="F1585" s="28" t="n">
        <f aca="false">ROUND(B1585*E1585,2)</f>
        <v>2.3</v>
      </c>
      <c r="H1585" s="29" t="n">
        <v>2.02</v>
      </c>
      <c r="I1585" s="30" t="n">
        <v>1</v>
      </c>
      <c r="J1585" s="31" t="n">
        <f aca="false">ROUND(H1585*I1585,2)</f>
        <v>2.02</v>
      </c>
      <c r="L1585" s="53"/>
      <c r="M1585" s="53"/>
      <c r="N1585" s="53"/>
    </row>
    <row r="1586" customFormat="false" ht="15" hidden="false" customHeight="false" outlineLevel="0" collapsed="false">
      <c r="A1586" s="37" t="s">
        <v>269</v>
      </c>
      <c r="F1586" s="38" t="n">
        <f aca="false">ROUND((SUM(F1578:F1585)-F1585)*1.1+F1585,2)</f>
        <v>56.4</v>
      </c>
      <c r="J1586" s="39" t="n">
        <f aca="false">ROUND(SUM(J1578:J1585),2)</f>
        <v>45.72</v>
      </c>
      <c r="N1586" s="54"/>
    </row>
    <row r="1587" customFormat="false" ht="15" hidden="false" customHeight="false" outlineLevel="0" collapsed="false">
      <c r="A1587" s="15" t="s">
        <v>270</v>
      </c>
      <c r="B1587" s="41" t="n">
        <f aca="false">IF((F1580+F1578+F1582+F1579+F1581)=0,"",((F1580+F1578+F1582+F1579+F1581)-(B1580*D1580+B1578*D1578+B1582*D1582+B1579*D1579+B1581*D1581))/(F1580+F1578+F1582+F1579+F1581))</f>
        <v>0.187186275223214</v>
      </c>
      <c r="D1587" s="42" t="str">
        <f aca="false">IF(B1587="","SIN PC",IF(B1587&gt;=Detalle!$G$1,"APROBAR",IF(B1587&gt;=0.2,"REVISAR","RECHAZAR")))</f>
        <v>RECHAZAR</v>
      </c>
      <c r="E1587" s="42"/>
      <c r="F1587" s="42"/>
    </row>
    <row r="1589" customFormat="false" ht="15" hidden="false" customHeight="false" outlineLevel="0" collapsed="false">
      <c r="A1589" s="11" t="s">
        <v>944</v>
      </c>
      <c r="B1589" s="11"/>
      <c r="C1589" s="11"/>
      <c r="D1589" s="11"/>
      <c r="E1589" s="11"/>
      <c r="F1589" s="11"/>
      <c r="H1589" s="11" t="s">
        <v>945</v>
      </c>
      <c r="I1589" s="11"/>
      <c r="J1589" s="11"/>
      <c r="K1589" s="11"/>
      <c r="L1589" s="11"/>
      <c r="M1589" s="11"/>
      <c r="N1589" s="11"/>
      <c r="P1589" s="14" t="s">
        <v>246</v>
      </c>
    </row>
    <row r="1590" customFormat="false" ht="15" hidden="false" customHeight="false" outlineLevel="0" collapsed="false">
      <c r="A1590" s="15" t="s">
        <v>247</v>
      </c>
      <c r="B1590" s="16" t="s">
        <v>248</v>
      </c>
      <c r="C1590" s="17"/>
      <c r="D1590" s="17"/>
      <c r="E1590" s="17"/>
      <c r="F1590" s="17"/>
      <c r="H1590" s="18" t="s">
        <v>946</v>
      </c>
      <c r="I1590" s="19"/>
      <c r="J1590" s="19"/>
      <c r="L1590" s="20" t="s">
        <v>428</v>
      </c>
      <c r="M1590" s="21"/>
      <c r="N1590" s="21"/>
      <c r="P1590" s="14" t="s">
        <v>937</v>
      </c>
    </row>
    <row r="1591" customFormat="false" ht="15" hidden="false" customHeight="false" outlineLevel="0" collapsed="false">
      <c r="B1591" s="3" t="s">
        <v>252</v>
      </c>
      <c r="C1591" s="3" t="s">
        <v>253</v>
      </c>
      <c r="D1591" s="3" t="s">
        <v>254</v>
      </c>
      <c r="E1591" s="3" t="s">
        <v>255</v>
      </c>
      <c r="F1591" s="3" t="s">
        <v>256</v>
      </c>
      <c r="H1591" s="22" t="s">
        <v>252</v>
      </c>
      <c r="I1591" s="22" t="s">
        <v>255</v>
      </c>
      <c r="J1591" s="22" t="s">
        <v>256</v>
      </c>
      <c r="L1591" s="23" t="s">
        <v>252</v>
      </c>
      <c r="M1591" s="23" t="s">
        <v>255</v>
      </c>
      <c r="N1591" s="23" t="s">
        <v>256</v>
      </c>
      <c r="P1591" s="14" t="s">
        <v>399</v>
      </c>
    </row>
    <row r="1592" customFormat="false" ht="15" hidden="false" customHeight="false" outlineLevel="0" collapsed="false">
      <c r="A1592" s="24" t="s">
        <v>258</v>
      </c>
      <c r="B1592" s="25" t="n">
        <v>3.45</v>
      </c>
      <c r="C1592" s="25" t="n">
        <v>30</v>
      </c>
      <c r="D1592" s="26" t="n">
        <v>3.68919</v>
      </c>
      <c r="E1592" s="27" t="n">
        <v>3.85</v>
      </c>
      <c r="F1592" s="28" t="n">
        <f aca="false">ROUND(B1592*E1592,2)</f>
        <v>13.28</v>
      </c>
      <c r="H1592" s="29" t="n">
        <v>3.45</v>
      </c>
      <c r="I1592" s="30" t="n">
        <v>3.85</v>
      </c>
      <c r="J1592" s="31" t="n">
        <f aca="false">ROUND(H1592*I1592,2)</f>
        <v>13.28</v>
      </c>
      <c r="L1592" s="53"/>
      <c r="M1592" s="53"/>
      <c r="N1592" s="53"/>
      <c r="P1592" s="35" t="s">
        <v>938</v>
      </c>
    </row>
    <row r="1593" customFormat="false" ht="15" hidden="false" customHeight="false" outlineLevel="0" collapsed="false">
      <c r="A1593" s="24" t="s">
        <v>260</v>
      </c>
      <c r="B1593" s="25" t="n">
        <v>3.45</v>
      </c>
      <c r="C1593" s="25" t="n">
        <v>30</v>
      </c>
      <c r="D1593" s="26" t="n">
        <v>1.31928</v>
      </c>
      <c r="E1593" s="27" t="n">
        <v>1.33</v>
      </c>
      <c r="F1593" s="28" t="n">
        <f aca="false">ROUND(B1593*E1593,2)</f>
        <v>4.59</v>
      </c>
      <c r="H1593" s="29" t="n">
        <v>3.45</v>
      </c>
      <c r="I1593" s="30" t="n">
        <v>1.33</v>
      </c>
      <c r="J1593" s="31" t="n">
        <f aca="false">ROUND(H1593*I1593,2)</f>
        <v>4.59</v>
      </c>
      <c r="L1593" s="53"/>
      <c r="M1593" s="53"/>
      <c r="N1593" s="53"/>
      <c r="P1593" s="43" t="s">
        <v>261</v>
      </c>
    </row>
    <row r="1594" customFormat="false" ht="15" hidden="false" customHeight="false" outlineLevel="0" collapsed="false">
      <c r="A1594" s="24" t="s">
        <v>262</v>
      </c>
      <c r="B1594" s="25" t="n">
        <v>13.884</v>
      </c>
      <c r="C1594" s="25" t="n">
        <v>30</v>
      </c>
      <c r="D1594" s="26" t="n">
        <v>0.111171</v>
      </c>
      <c r="E1594" s="27" t="n">
        <v>0.13788</v>
      </c>
      <c r="F1594" s="28" t="n">
        <f aca="false">ROUND(B1594*E1594,2)</f>
        <v>1.91</v>
      </c>
      <c r="H1594" s="29" t="n">
        <v>9.558</v>
      </c>
      <c r="I1594" s="30" t="n">
        <v>0.13788</v>
      </c>
      <c r="J1594" s="31" t="n">
        <f aca="false">ROUND(H1594*I1594,2)</f>
        <v>1.32</v>
      </c>
      <c r="L1594" s="53"/>
      <c r="M1594" s="53"/>
      <c r="N1594" s="53"/>
    </row>
    <row r="1595" customFormat="false" ht="15" hidden="false" customHeight="false" outlineLevel="0" collapsed="false">
      <c r="A1595" s="24" t="s">
        <v>264</v>
      </c>
      <c r="B1595" s="25" t="n">
        <v>7.969</v>
      </c>
      <c r="C1595" s="25" t="n">
        <v>30</v>
      </c>
      <c r="D1595" s="26" t="n">
        <v>0.111171</v>
      </c>
      <c r="E1595" s="27" t="n">
        <v>0.13788</v>
      </c>
      <c r="F1595" s="28" t="n">
        <f aca="false">ROUND(B1595*E1595,2)</f>
        <v>1.1</v>
      </c>
      <c r="H1595" s="29" t="n">
        <v>13.157</v>
      </c>
      <c r="I1595" s="30" t="n">
        <v>0.13788</v>
      </c>
      <c r="J1595" s="31" t="n">
        <f aca="false">ROUND(H1595*I1595,2)</f>
        <v>1.81</v>
      </c>
      <c r="L1595" s="53"/>
      <c r="M1595" s="53"/>
      <c r="N1595" s="53"/>
    </row>
    <row r="1596" customFormat="false" ht="15" hidden="false" customHeight="false" outlineLevel="0" collapsed="false">
      <c r="A1596" s="24" t="s">
        <v>265</v>
      </c>
      <c r="B1596" s="25" t="n">
        <v>23.285</v>
      </c>
      <c r="C1596" s="25" t="n">
        <v>30</v>
      </c>
      <c r="D1596" s="26" t="n">
        <v>0.111171</v>
      </c>
      <c r="E1596" s="27" t="n">
        <v>0.13788</v>
      </c>
      <c r="F1596" s="28" t="n">
        <f aca="false">ROUND(B1596*E1596,2)</f>
        <v>3.21</v>
      </c>
      <c r="H1596" s="29" t="n">
        <v>28.872</v>
      </c>
      <c r="I1596" s="30" t="n">
        <v>0.13788</v>
      </c>
      <c r="J1596" s="31" t="n">
        <f aca="false">ROUND(H1596*I1596,2)</f>
        <v>3.98</v>
      </c>
      <c r="L1596" s="53"/>
      <c r="M1596" s="53"/>
      <c r="N1596" s="53"/>
    </row>
    <row r="1597" customFormat="false" ht="15" hidden="false" customHeight="false" outlineLevel="0" collapsed="false">
      <c r="A1597" s="24" t="s">
        <v>266</v>
      </c>
      <c r="B1597" s="25" t="n">
        <v>1</v>
      </c>
      <c r="C1597" s="25" t="n">
        <v>30</v>
      </c>
      <c r="D1597" s="26" t="n">
        <v>0.7989</v>
      </c>
      <c r="E1597" s="27" t="n">
        <v>3</v>
      </c>
      <c r="F1597" s="28" t="n">
        <f aca="false">ROUND(B1597*E1597,2)</f>
        <v>3</v>
      </c>
      <c r="H1597" s="29" t="n">
        <v>1</v>
      </c>
      <c r="I1597" s="30" t="n">
        <v>3</v>
      </c>
      <c r="J1597" s="31" t="n">
        <f aca="false">ROUND(H1597*I1597,2)</f>
        <v>3</v>
      </c>
      <c r="L1597" s="53"/>
      <c r="M1597" s="53"/>
      <c r="N1597" s="53"/>
    </row>
    <row r="1598" customFormat="false" ht="15" hidden="false" customHeight="false" outlineLevel="0" collapsed="false">
      <c r="A1598" s="24" t="s">
        <v>267</v>
      </c>
      <c r="B1598" s="25" t="n">
        <v>30</v>
      </c>
      <c r="C1598" s="25" t="n">
        <v>30</v>
      </c>
      <c r="D1598" s="26" t="n">
        <v>0.5736</v>
      </c>
      <c r="E1598" s="27" t="n">
        <v>0.01274</v>
      </c>
      <c r="F1598" s="28" t="n">
        <f aca="false">ROUND(B1598*E1598,2)</f>
        <v>0.38</v>
      </c>
      <c r="H1598" s="29" t="n">
        <v>30</v>
      </c>
      <c r="I1598" s="30" t="n">
        <v>0.01274</v>
      </c>
      <c r="J1598" s="31" t="n">
        <f aca="false">ROUND(H1598*I1598,2)</f>
        <v>0.38</v>
      </c>
      <c r="L1598" s="53"/>
      <c r="M1598" s="53"/>
      <c r="N1598" s="53"/>
    </row>
    <row r="1599" customFormat="false" ht="15" hidden="false" customHeight="false" outlineLevel="0" collapsed="false">
      <c r="A1599" s="24" t="s">
        <v>268</v>
      </c>
      <c r="B1599" s="25" t="n">
        <v>1.24</v>
      </c>
      <c r="C1599" s="25" t="n">
        <v>30</v>
      </c>
      <c r="D1599" s="26" t="n">
        <v>0.27312</v>
      </c>
      <c r="E1599" s="27" t="n">
        <v>1</v>
      </c>
      <c r="F1599" s="28" t="n">
        <f aca="false">ROUND(B1599*E1599,2)</f>
        <v>1.24</v>
      </c>
      <c r="H1599" s="29" t="n">
        <v>1.29</v>
      </c>
      <c r="I1599" s="30" t="n">
        <v>1</v>
      </c>
      <c r="J1599" s="31" t="n">
        <f aca="false">ROUND(H1599*I1599,2)</f>
        <v>1.29</v>
      </c>
      <c r="L1599" s="53"/>
      <c r="M1599" s="53"/>
      <c r="N1599" s="53"/>
    </row>
    <row r="1600" customFormat="false" ht="15" hidden="false" customHeight="false" outlineLevel="0" collapsed="false">
      <c r="A1600" s="37" t="s">
        <v>269</v>
      </c>
      <c r="F1600" s="38" t="n">
        <f aca="false">ROUND((SUM(F1592:F1599)-F1599)*1.1+F1599,2)</f>
        <v>31.46</v>
      </c>
      <c r="J1600" s="39" t="n">
        <f aca="false">ROUND(SUM(J1592:J1599),2)</f>
        <v>29.65</v>
      </c>
      <c r="N1600" s="54"/>
    </row>
    <row r="1601" customFormat="false" ht="15" hidden="false" customHeight="false" outlineLevel="0" collapsed="false">
      <c r="A1601" s="15" t="s">
        <v>270</v>
      </c>
      <c r="B1601" s="41" t="n">
        <f aca="false">IF((F1594+F1592+F1596+F1593+F1595)=0,"",((F1594+F1592+F1596+F1593+F1595)-(B1594*D1594+B1592*D1592+B1596*D1596+B1593*D1593+B1595*D1595))/(F1594+F1592+F1596+F1593+F1595))</f>
        <v>0.0744185098381071</v>
      </c>
      <c r="D1601" s="42" t="str">
        <f aca="false">IF(B1601="","SIN PC",IF(B1601&gt;=Detalle!$G$1,"APROBAR",IF(B1601&gt;=0.2,"REVISAR","RECHAZAR")))</f>
        <v>RECHAZAR</v>
      </c>
      <c r="E1601" s="42"/>
      <c r="F1601" s="42"/>
    </row>
    <row r="1603" customFormat="false" ht="15" hidden="false" customHeight="false" outlineLevel="0" collapsed="false">
      <c r="A1603" s="11" t="s">
        <v>947</v>
      </c>
      <c r="B1603" s="11"/>
      <c r="C1603" s="11"/>
      <c r="D1603" s="11"/>
      <c r="E1603" s="11"/>
      <c r="F1603" s="11"/>
      <c r="H1603" s="11" t="s">
        <v>948</v>
      </c>
      <c r="I1603" s="11"/>
      <c r="J1603" s="11"/>
      <c r="K1603" s="11"/>
      <c r="L1603" s="11"/>
      <c r="M1603" s="11"/>
      <c r="N1603" s="11"/>
      <c r="P1603" s="14" t="s">
        <v>246</v>
      </c>
    </row>
    <row r="1604" customFormat="false" ht="15" hidden="false" customHeight="false" outlineLevel="0" collapsed="false">
      <c r="A1604" s="15" t="s">
        <v>247</v>
      </c>
      <c r="B1604" s="16" t="s">
        <v>248</v>
      </c>
      <c r="C1604" s="17"/>
      <c r="D1604" s="17"/>
      <c r="E1604" s="17"/>
      <c r="F1604" s="17"/>
      <c r="H1604" s="18" t="s">
        <v>949</v>
      </c>
      <c r="I1604" s="19"/>
      <c r="J1604" s="19"/>
      <c r="L1604" s="20" t="s">
        <v>428</v>
      </c>
      <c r="M1604" s="21"/>
      <c r="N1604" s="21"/>
      <c r="P1604" s="14" t="s">
        <v>950</v>
      </c>
    </row>
    <row r="1605" customFormat="false" ht="15" hidden="false" customHeight="false" outlineLevel="0" collapsed="false">
      <c r="B1605" s="3" t="s">
        <v>252</v>
      </c>
      <c r="C1605" s="3" t="s">
        <v>253</v>
      </c>
      <c r="D1605" s="3" t="s">
        <v>254</v>
      </c>
      <c r="E1605" s="3" t="s">
        <v>255</v>
      </c>
      <c r="F1605" s="3" t="s">
        <v>256</v>
      </c>
      <c r="H1605" s="22" t="s">
        <v>252</v>
      </c>
      <c r="I1605" s="22" t="s">
        <v>255</v>
      </c>
      <c r="J1605" s="22" t="s">
        <v>256</v>
      </c>
      <c r="L1605" s="23" t="s">
        <v>252</v>
      </c>
      <c r="M1605" s="23" t="s">
        <v>255</v>
      </c>
      <c r="N1605" s="23" t="s">
        <v>256</v>
      </c>
      <c r="P1605" s="14" t="s">
        <v>399</v>
      </c>
    </row>
    <row r="1606" customFormat="false" ht="15" hidden="false" customHeight="false" outlineLevel="0" collapsed="false">
      <c r="A1606" s="24" t="s">
        <v>258</v>
      </c>
      <c r="B1606" s="25" t="n">
        <v>5.75</v>
      </c>
      <c r="C1606" s="25" t="n">
        <v>30</v>
      </c>
      <c r="D1606" s="26" t="n">
        <v>3.40863</v>
      </c>
      <c r="E1606" s="27" t="n">
        <v>3.85</v>
      </c>
      <c r="F1606" s="28" t="n">
        <f aca="false">ROUND(B1606*E1606,2)</f>
        <v>22.14</v>
      </c>
      <c r="H1606" s="29" t="n">
        <v>5.75</v>
      </c>
      <c r="I1606" s="30" t="n">
        <v>3.85</v>
      </c>
      <c r="J1606" s="31" t="n">
        <f aca="false">ROUND(H1606*I1606,2)</f>
        <v>22.14</v>
      </c>
      <c r="L1606" s="53"/>
      <c r="M1606" s="53"/>
      <c r="N1606" s="53"/>
      <c r="P1606" s="35" t="s">
        <v>951</v>
      </c>
    </row>
    <row r="1607" customFormat="false" ht="15" hidden="false" customHeight="false" outlineLevel="0" collapsed="false">
      <c r="A1607" s="24" t="s">
        <v>260</v>
      </c>
      <c r="B1607" s="25" t="n">
        <v>5.75</v>
      </c>
      <c r="C1607" s="25" t="n">
        <v>30</v>
      </c>
      <c r="D1607" s="26" t="n">
        <v>1.44069</v>
      </c>
      <c r="E1607" s="27" t="n">
        <v>1.33</v>
      </c>
      <c r="F1607" s="28" t="n">
        <f aca="false">ROUND(B1607*E1607,2)</f>
        <v>7.65</v>
      </c>
      <c r="H1607" s="29" t="n">
        <v>5.75</v>
      </c>
      <c r="I1607" s="30" t="n">
        <v>1.33</v>
      </c>
      <c r="J1607" s="31" t="n">
        <f aca="false">ROUND(H1607*I1607,2)</f>
        <v>7.65</v>
      </c>
      <c r="L1607" s="53"/>
      <c r="M1607" s="53"/>
      <c r="N1607" s="53"/>
      <c r="P1607" s="43" t="s">
        <v>261</v>
      </c>
    </row>
    <row r="1608" customFormat="false" ht="15" hidden="false" customHeight="false" outlineLevel="0" collapsed="false">
      <c r="A1608" s="24" t="s">
        <v>262</v>
      </c>
      <c r="B1608" s="25" t="n">
        <v>0.151</v>
      </c>
      <c r="C1608" s="25" t="n">
        <v>30</v>
      </c>
      <c r="D1608" s="26" t="n">
        <v>0.181739</v>
      </c>
      <c r="E1608" s="27" t="n">
        <v>0.13788</v>
      </c>
      <c r="F1608" s="28" t="n">
        <f aca="false">ROUND(B1608*E1608,2)</f>
        <v>0.02</v>
      </c>
      <c r="H1608" s="29" t="n">
        <v>43.529</v>
      </c>
      <c r="I1608" s="30" t="n">
        <v>0.13788</v>
      </c>
      <c r="J1608" s="31" t="n">
        <f aca="false">ROUND(H1608*I1608,2)</f>
        <v>6</v>
      </c>
      <c r="L1608" s="53"/>
      <c r="M1608" s="53"/>
      <c r="N1608" s="53"/>
    </row>
    <row r="1609" customFormat="false" ht="15" hidden="false" customHeight="false" outlineLevel="0" collapsed="false">
      <c r="A1609" s="24" t="s">
        <v>264</v>
      </c>
      <c r="B1609" s="25" t="n">
        <v>0.033</v>
      </c>
      <c r="C1609" s="25" t="n">
        <v>30</v>
      </c>
      <c r="D1609" s="26" t="n">
        <v>0.181739</v>
      </c>
      <c r="E1609" s="27" t="n">
        <v>0.13788</v>
      </c>
      <c r="F1609" s="28" t="n">
        <f aca="false">ROUND(B1609*E1609,2)</f>
        <v>0</v>
      </c>
      <c r="H1609" s="29" t="n">
        <v>58.212</v>
      </c>
      <c r="I1609" s="30" t="n">
        <v>0.13788</v>
      </c>
      <c r="J1609" s="31" t="n">
        <f aca="false">ROUND(H1609*I1609,2)</f>
        <v>8.03</v>
      </c>
      <c r="L1609" s="53"/>
      <c r="M1609" s="53"/>
      <c r="N1609" s="53"/>
    </row>
    <row r="1610" customFormat="false" ht="15" hidden="false" customHeight="false" outlineLevel="0" collapsed="false">
      <c r="A1610" s="24" t="s">
        <v>265</v>
      </c>
      <c r="B1610" s="25" t="n">
        <v>0.595</v>
      </c>
      <c r="C1610" s="25" t="n">
        <v>30</v>
      </c>
      <c r="D1610" s="26" t="n">
        <v>0.181739</v>
      </c>
      <c r="E1610" s="27" t="n">
        <v>0.13788</v>
      </c>
      <c r="F1610" s="28" t="n">
        <f aca="false">ROUND(B1610*E1610,2)</f>
        <v>0.08</v>
      </c>
      <c r="H1610" s="29" t="n">
        <v>84.687</v>
      </c>
      <c r="I1610" s="30" t="n">
        <v>0.13788</v>
      </c>
      <c r="J1610" s="31" t="n">
        <f aca="false">ROUND(H1610*I1610,2)</f>
        <v>11.68</v>
      </c>
      <c r="L1610" s="53"/>
      <c r="M1610" s="53"/>
      <c r="N1610" s="53"/>
    </row>
    <row r="1611" customFormat="false" ht="15" hidden="false" customHeight="false" outlineLevel="0" collapsed="false">
      <c r="A1611" s="24" t="s">
        <v>266</v>
      </c>
      <c r="B1611" s="25" t="n">
        <v>1</v>
      </c>
      <c r="C1611" s="25" t="n">
        <v>30</v>
      </c>
      <c r="D1611" s="26" t="n">
        <v>0.7989</v>
      </c>
      <c r="E1611" s="27" t="n">
        <v>3</v>
      </c>
      <c r="F1611" s="28" t="n">
        <f aca="false">ROUND(B1611*E1611,2)</f>
        <v>3</v>
      </c>
      <c r="H1611" s="29" t="n">
        <v>1</v>
      </c>
      <c r="I1611" s="30" t="n">
        <v>3</v>
      </c>
      <c r="J1611" s="31" t="n">
        <f aca="false">ROUND(H1611*I1611,2)</f>
        <v>3</v>
      </c>
      <c r="L1611" s="53"/>
      <c r="M1611" s="53"/>
      <c r="N1611" s="53"/>
    </row>
    <row r="1612" customFormat="false" ht="15" hidden="false" customHeight="false" outlineLevel="0" collapsed="false">
      <c r="A1612" s="24" t="s">
        <v>267</v>
      </c>
      <c r="B1612" s="25" t="n">
        <v>30</v>
      </c>
      <c r="C1612" s="25" t="n">
        <v>30</v>
      </c>
      <c r="D1612" s="26" t="n">
        <v>0.5736</v>
      </c>
      <c r="E1612" s="27" t="n">
        <v>0.01274</v>
      </c>
      <c r="F1612" s="28" t="n">
        <f aca="false">ROUND(B1612*E1612,2)</f>
        <v>0.38</v>
      </c>
      <c r="H1612" s="29" t="n">
        <v>30</v>
      </c>
      <c r="I1612" s="30" t="n">
        <v>0.01274</v>
      </c>
      <c r="J1612" s="31" t="n">
        <f aca="false">ROUND(H1612*I1612,2)</f>
        <v>0.38</v>
      </c>
      <c r="L1612" s="53"/>
      <c r="M1612" s="53"/>
      <c r="N1612" s="53"/>
    </row>
    <row r="1613" customFormat="false" ht="15" hidden="false" customHeight="false" outlineLevel="0" collapsed="false">
      <c r="A1613" s="24" t="s">
        <v>268</v>
      </c>
      <c r="B1613" s="25" t="n">
        <v>1.53</v>
      </c>
      <c r="C1613" s="25" t="n">
        <v>30</v>
      </c>
      <c r="D1613" s="26" t="n">
        <v>0.02697</v>
      </c>
      <c r="E1613" s="27" t="n">
        <v>1</v>
      </c>
      <c r="F1613" s="28" t="n">
        <f aca="false">ROUND(B1613*E1613,2)</f>
        <v>1.53</v>
      </c>
      <c r="H1613" s="29" t="n">
        <v>2.4</v>
      </c>
      <c r="I1613" s="30" t="n">
        <v>1</v>
      </c>
      <c r="J1613" s="31" t="n">
        <f aca="false">ROUND(H1613*I1613,2)</f>
        <v>2.4</v>
      </c>
      <c r="L1613" s="53"/>
      <c r="M1613" s="53"/>
      <c r="N1613" s="53"/>
    </row>
    <row r="1614" customFormat="false" ht="15" hidden="false" customHeight="false" outlineLevel="0" collapsed="false">
      <c r="A1614" s="37" t="s">
        <v>269</v>
      </c>
      <c r="F1614" s="38" t="n">
        <f aca="false">ROUND((SUM(F1606:F1613)-F1613)*1.1+F1613,2)</f>
        <v>38.13</v>
      </c>
      <c r="J1614" s="39" t="n">
        <f aca="false">ROUND(SUM(J1606:J1613),2)</f>
        <v>61.28</v>
      </c>
      <c r="N1614" s="54"/>
    </row>
    <row r="1615" customFormat="false" ht="15" hidden="false" customHeight="false" outlineLevel="0" collapsed="false">
      <c r="A1615" s="15" t="s">
        <v>270</v>
      </c>
      <c r="B1615" s="41" t="n">
        <f aca="false">IF((F1608+F1606+F1610+F1607+F1609)=0,"",((F1608+F1606+F1610+F1607+F1609)-(B1608*D1608+B1606*D1606+B1610*D1610+B1607*D1607+B1609*D1609))/(F1608+F1606+F1610+F1607+F1609))</f>
        <v>0.0623899404148545</v>
      </c>
      <c r="D1615" s="42" t="str">
        <f aca="false">IF(B1615="","SIN PC",IF(B1615&gt;=Detalle!$G$1,"APROBAR",IF(B1615&gt;=0.2,"REVISAR","RECHAZAR")))</f>
        <v>RECHAZAR</v>
      </c>
      <c r="E1615" s="42"/>
      <c r="F1615" s="42"/>
    </row>
    <row r="1616" customFormat="false" ht="15" hidden="false" customHeight="false" outlineLevel="0" collapsed="false">
      <c r="A1616" s="44" t="s">
        <v>379</v>
      </c>
      <c r="B1616" s="44"/>
      <c r="C1616" s="44"/>
      <c r="D1616" s="44"/>
      <c r="E1616" s="44"/>
      <c r="F1616" s="44"/>
    </row>
    <row r="1617" customFormat="false" ht="15" hidden="false" customHeight="false" outlineLevel="0" collapsed="false">
      <c r="A1617" s="45" t="s">
        <v>247</v>
      </c>
      <c r="B1617" s="45" t="s">
        <v>380</v>
      </c>
      <c r="D1617" s="45" t="s">
        <v>381</v>
      </c>
      <c r="E1617" s="45" t="s">
        <v>382</v>
      </c>
      <c r="F1617" s="45" t="s">
        <v>256</v>
      </c>
    </row>
    <row r="1618" customFormat="false" ht="15" hidden="false" customHeight="false" outlineLevel="0" collapsed="false">
      <c r="A1618" s="46" t="s">
        <v>383</v>
      </c>
      <c r="B1618" s="47" t="n">
        <v>481</v>
      </c>
      <c r="C1618" s="48"/>
      <c r="D1618" s="26" t="n">
        <v>0.001532</v>
      </c>
      <c r="E1618" s="48"/>
      <c r="F1618" s="49" t="n">
        <f aca="false">ROUND(B1618*D1618,2)</f>
        <v>0.74</v>
      </c>
      <c r="H1618" s="56" t="s">
        <v>952</v>
      </c>
    </row>
    <row r="1619" customFormat="false" ht="15" hidden="false" customHeight="false" outlineLevel="0" collapsed="false">
      <c r="A1619" s="46" t="s">
        <v>384</v>
      </c>
      <c r="B1619" s="48"/>
      <c r="C1619" s="48"/>
      <c r="D1619" s="48"/>
      <c r="E1619" s="48"/>
      <c r="F1619" s="49" t="n">
        <v>0.1</v>
      </c>
    </row>
    <row r="1620" customFormat="false" ht="15" hidden="false" customHeight="false" outlineLevel="0" collapsed="false">
      <c r="A1620" s="51" t="s">
        <v>385</v>
      </c>
      <c r="B1620" s="48"/>
      <c r="C1620" s="48"/>
      <c r="D1620" s="48"/>
      <c r="E1620" s="48"/>
      <c r="F1620" s="52" t="n">
        <f aca="false">F1618-F1619</f>
        <v>0.64</v>
      </c>
    </row>
    <row r="1622" customFormat="false" ht="15" hidden="false" customHeight="false" outlineLevel="0" collapsed="false">
      <c r="A1622" s="11" t="s">
        <v>953</v>
      </c>
      <c r="B1622" s="11"/>
      <c r="C1622" s="11"/>
      <c r="D1622" s="11"/>
      <c r="E1622" s="11"/>
      <c r="F1622" s="11"/>
      <c r="H1622" s="11" t="s">
        <v>954</v>
      </c>
      <c r="I1622" s="11"/>
      <c r="J1622" s="11"/>
      <c r="K1622" s="11"/>
      <c r="L1622" s="11"/>
      <c r="M1622" s="11"/>
      <c r="N1622" s="11"/>
      <c r="P1622" s="14" t="s">
        <v>246</v>
      </c>
    </row>
    <row r="1623" customFormat="false" ht="15" hidden="false" customHeight="false" outlineLevel="0" collapsed="false">
      <c r="A1623" s="15" t="s">
        <v>247</v>
      </c>
      <c r="B1623" s="16" t="s">
        <v>248</v>
      </c>
      <c r="C1623" s="17"/>
      <c r="D1623" s="17"/>
      <c r="E1623" s="17"/>
      <c r="F1623" s="17"/>
      <c r="H1623" s="18" t="s">
        <v>955</v>
      </c>
      <c r="I1623" s="19"/>
      <c r="J1623" s="19"/>
      <c r="L1623" s="20" t="s">
        <v>428</v>
      </c>
      <c r="M1623" s="21"/>
      <c r="N1623" s="21"/>
      <c r="P1623" s="14" t="s">
        <v>937</v>
      </c>
    </row>
    <row r="1624" customFormat="false" ht="15" hidden="false" customHeight="false" outlineLevel="0" collapsed="false">
      <c r="B1624" s="3" t="s">
        <v>252</v>
      </c>
      <c r="C1624" s="3" t="s">
        <v>253</v>
      </c>
      <c r="D1624" s="3" t="s">
        <v>254</v>
      </c>
      <c r="E1624" s="3" t="s">
        <v>255</v>
      </c>
      <c r="F1624" s="3" t="s">
        <v>256</v>
      </c>
      <c r="H1624" s="22" t="s">
        <v>252</v>
      </c>
      <c r="I1624" s="22" t="s">
        <v>255</v>
      </c>
      <c r="J1624" s="22" t="s">
        <v>256</v>
      </c>
      <c r="L1624" s="23" t="s">
        <v>252</v>
      </c>
      <c r="M1624" s="23" t="s">
        <v>255</v>
      </c>
      <c r="N1624" s="23" t="s">
        <v>256</v>
      </c>
      <c r="P1624" s="14" t="s">
        <v>399</v>
      </c>
    </row>
    <row r="1625" customFormat="false" ht="15" hidden="false" customHeight="false" outlineLevel="0" collapsed="false">
      <c r="A1625" s="24" t="s">
        <v>258</v>
      </c>
      <c r="B1625" s="25" t="n">
        <v>14.49</v>
      </c>
      <c r="C1625" s="25" t="n">
        <v>30</v>
      </c>
      <c r="D1625" s="26" t="n">
        <v>3.68919</v>
      </c>
      <c r="E1625" s="27" t="n">
        <v>3.85</v>
      </c>
      <c r="F1625" s="28" t="n">
        <f aca="false">ROUND(B1625*E1625,2)</f>
        <v>55.79</v>
      </c>
      <c r="H1625" s="29" t="n">
        <v>14.49</v>
      </c>
      <c r="I1625" s="30" t="n">
        <v>3.85</v>
      </c>
      <c r="J1625" s="31" t="n">
        <f aca="false">ROUND(H1625*I1625,2)</f>
        <v>55.79</v>
      </c>
      <c r="L1625" s="53"/>
      <c r="M1625" s="53"/>
      <c r="N1625" s="53"/>
      <c r="P1625" s="35" t="s">
        <v>938</v>
      </c>
    </row>
    <row r="1626" customFormat="false" ht="15" hidden="false" customHeight="false" outlineLevel="0" collapsed="false">
      <c r="A1626" s="24" t="s">
        <v>260</v>
      </c>
      <c r="B1626" s="25" t="n">
        <v>14.49</v>
      </c>
      <c r="C1626" s="25" t="n">
        <v>30</v>
      </c>
      <c r="D1626" s="26" t="n">
        <v>1.31928</v>
      </c>
      <c r="E1626" s="27" t="n">
        <v>1.33</v>
      </c>
      <c r="F1626" s="28" t="n">
        <f aca="false">ROUND(B1626*E1626,2)</f>
        <v>19.27</v>
      </c>
      <c r="H1626" s="29" t="n">
        <v>14.49</v>
      </c>
      <c r="I1626" s="30" t="n">
        <v>1.33</v>
      </c>
      <c r="J1626" s="31" t="n">
        <f aca="false">ROUND(H1626*I1626,2)</f>
        <v>19.27</v>
      </c>
      <c r="L1626" s="53"/>
      <c r="M1626" s="53"/>
      <c r="N1626" s="53"/>
      <c r="P1626" s="43" t="s">
        <v>261</v>
      </c>
    </row>
    <row r="1627" customFormat="false" ht="15" hidden="false" customHeight="false" outlineLevel="0" collapsed="false">
      <c r="A1627" s="24" t="s">
        <v>262</v>
      </c>
      <c r="B1627" s="25" t="n">
        <v>428.614</v>
      </c>
      <c r="C1627" s="25" t="n">
        <v>30</v>
      </c>
      <c r="D1627" s="26" t="n">
        <v>0.111171</v>
      </c>
      <c r="E1627" s="27" t="n">
        <v>0.13788</v>
      </c>
      <c r="F1627" s="28" t="n">
        <f aca="false">ROUND(B1627*E1627,2)</f>
        <v>59.1</v>
      </c>
      <c r="H1627" s="29" t="n">
        <v>325.707</v>
      </c>
      <c r="I1627" s="30" t="n">
        <v>0.13788</v>
      </c>
      <c r="J1627" s="31" t="n">
        <f aca="false">ROUND(H1627*I1627,2)</f>
        <v>44.91</v>
      </c>
      <c r="L1627" s="53"/>
      <c r="M1627" s="53"/>
      <c r="N1627" s="53"/>
    </row>
    <row r="1628" customFormat="false" ht="15" hidden="false" customHeight="false" outlineLevel="0" collapsed="false">
      <c r="A1628" s="24" t="s">
        <v>264</v>
      </c>
      <c r="B1628" s="25" t="n">
        <v>393.29</v>
      </c>
      <c r="C1628" s="25" t="n">
        <v>30</v>
      </c>
      <c r="D1628" s="26" t="n">
        <v>0.111171</v>
      </c>
      <c r="E1628" s="27" t="n">
        <v>0.13788</v>
      </c>
      <c r="F1628" s="28" t="n">
        <f aca="false">ROUND(B1628*E1628,2)</f>
        <v>54.23</v>
      </c>
      <c r="H1628" s="29" t="n">
        <v>282.443</v>
      </c>
      <c r="I1628" s="30" t="n">
        <v>0.13788</v>
      </c>
      <c r="J1628" s="31" t="n">
        <f aca="false">ROUND(H1628*I1628,2)</f>
        <v>38.94</v>
      </c>
      <c r="L1628" s="53"/>
      <c r="M1628" s="53"/>
      <c r="N1628" s="53"/>
    </row>
    <row r="1629" customFormat="false" ht="15" hidden="false" customHeight="false" outlineLevel="0" collapsed="false">
      <c r="A1629" s="24" t="s">
        <v>265</v>
      </c>
      <c r="B1629" s="25" t="n">
        <v>776.899</v>
      </c>
      <c r="C1629" s="25" t="n">
        <v>30</v>
      </c>
      <c r="D1629" s="26" t="n">
        <v>0.111171</v>
      </c>
      <c r="E1629" s="27" t="n">
        <v>0.13788</v>
      </c>
      <c r="F1629" s="28" t="n">
        <f aca="false">ROUND(B1629*E1629,2)</f>
        <v>107.12</v>
      </c>
      <c r="H1629" s="29" t="n">
        <v>553.849</v>
      </c>
      <c r="I1629" s="30" t="n">
        <v>0.13788</v>
      </c>
      <c r="J1629" s="31" t="n">
        <f aca="false">ROUND(H1629*I1629,2)</f>
        <v>76.36</v>
      </c>
      <c r="L1629" s="53"/>
      <c r="M1629" s="53"/>
      <c r="N1629" s="53"/>
    </row>
    <row r="1630" customFormat="false" ht="15" hidden="false" customHeight="false" outlineLevel="0" collapsed="false">
      <c r="A1630" s="24" t="s">
        <v>266</v>
      </c>
      <c r="B1630" s="25" t="n">
        <v>1</v>
      </c>
      <c r="C1630" s="25" t="n">
        <v>30</v>
      </c>
      <c r="D1630" s="26" t="n">
        <v>0.7989</v>
      </c>
      <c r="E1630" s="27" t="n">
        <v>3</v>
      </c>
      <c r="F1630" s="28" t="n">
        <f aca="false">ROUND(B1630*E1630,2)</f>
        <v>3</v>
      </c>
      <c r="H1630" s="29" t="n">
        <v>1</v>
      </c>
      <c r="I1630" s="30" t="n">
        <v>3</v>
      </c>
      <c r="J1630" s="31" t="n">
        <f aca="false">ROUND(H1630*I1630,2)</f>
        <v>3</v>
      </c>
      <c r="L1630" s="53"/>
      <c r="M1630" s="53"/>
      <c r="N1630" s="53"/>
    </row>
    <row r="1631" customFormat="false" ht="15" hidden="false" customHeight="false" outlineLevel="0" collapsed="false">
      <c r="A1631" s="24" t="s">
        <v>267</v>
      </c>
      <c r="B1631" s="25" t="n">
        <v>30</v>
      </c>
      <c r="C1631" s="25" t="n">
        <v>30</v>
      </c>
      <c r="D1631" s="26" t="n">
        <v>0.5736</v>
      </c>
      <c r="E1631" s="27" t="n">
        <v>0.01274</v>
      </c>
      <c r="F1631" s="28" t="n">
        <f aca="false">ROUND(B1631*E1631,2)</f>
        <v>0.38</v>
      </c>
      <c r="H1631" s="29" t="n">
        <v>30</v>
      </c>
      <c r="I1631" s="30" t="n">
        <v>0.01274</v>
      </c>
      <c r="J1631" s="31" t="n">
        <f aca="false">ROUND(H1631*I1631,2)</f>
        <v>0.38</v>
      </c>
      <c r="L1631" s="53"/>
      <c r="M1631" s="53"/>
      <c r="N1631" s="53"/>
    </row>
    <row r="1632" customFormat="false" ht="15" hidden="false" customHeight="false" outlineLevel="0" collapsed="false">
      <c r="A1632" s="24" t="s">
        <v>268</v>
      </c>
      <c r="B1632" s="25" t="n">
        <v>15.96</v>
      </c>
      <c r="C1632" s="25" t="n">
        <v>30</v>
      </c>
      <c r="D1632" s="26" t="n">
        <v>0.27312</v>
      </c>
      <c r="E1632" s="27" t="n">
        <v>1</v>
      </c>
      <c r="F1632" s="28" t="n">
        <f aca="false">ROUND(B1632*E1632,2)</f>
        <v>15.96</v>
      </c>
      <c r="H1632" s="29" t="n">
        <v>12.03</v>
      </c>
      <c r="I1632" s="30" t="n">
        <v>1</v>
      </c>
      <c r="J1632" s="31" t="n">
        <f aca="false">ROUND(H1632*I1632,2)</f>
        <v>12.03</v>
      </c>
      <c r="L1632" s="53"/>
      <c r="M1632" s="53"/>
      <c r="N1632" s="53"/>
    </row>
    <row r="1633" customFormat="false" ht="15" hidden="false" customHeight="false" outlineLevel="0" collapsed="false">
      <c r="A1633" s="37" t="s">
        <v>269</v>
      </c>
      <c r="F1633" s="38" t="n">
        <f aca="false">ROUND((SUM(F1625:F1632)-F1632)*1.1+F1632,2)</f>
        <v>344.74</v>
      </c>
      <c r="J1633" s="39" t="n">
        <f aca="false">ROUND(SUM(J1625:J1632),2)</f>
        <v>250.68</v>
      </c>
      <c r="N1633" s="54"/>
    </row>
    <row r="1634" customFormat="false" ht="15" hidden="false" customHeight="false" outlineLevel="0" collapsed="false">
      <c r="A1634" s="15" t="s">
        <v>270</v>
      </c>
      <c r="B1634" s="41" t="n">
        <f aca="false">IF((F1627+F1625+F1629+F1626+F1628)=0,"",((F1627+F1625+F1629+F1626+F1628)-(B1627*D1627+B1625*D1625+B1629*D1629+B1626*D1626+B1628*D1628))/(F1627+F1625+F1629+F1626+F1628))</f>
        <v>0.152944879655511</v>
      </c>
      <c r="D1634" s="42" t="str">
        <f aca="false">IF(B1634="","SIN PC",IF(B1634&gt;=Detalle!$G$1,"APROBAR",IF(B1634&gt;=0.2,"REVISAR","RECHAZAR")))</f>
        <v>RECHAZAR</v>
      </c>
      <c r="E1634" s="42"/>
      <c r="F1634" s="42"/>
    </row>
    <row r="1636" customFormat="false" ht="15" hidden="false" customHeight="false" outlineLevel="0" collapsed="false">
      <c r="A1636" s="11" t="s">
        <v>956</v>
      </c>
      <c r="B1636" s="11"/>
      <c r="C1636" s="11"/>
      <c r="D1636" s="11"/>
      <c r="E1636" s="11"/>
      <c r="F1636" s="11"/>
      <c r="H1636" s="11" t="s">
        <v>957</v>
      </c>
      <c r="I1636" s="11"/>
      <c r="J1636" s="11"/>
      <c r="K1636" s="11"/>
      <c r="L1636" s="11"/>
      <c r="M1636" s="11"/>
      <c r="N1636" s="11"/>
      <c r="P1636" s="14" t="s">
        <v>246</v>
      </c>
    </row>
    <row r="1637" customFormat="false" ht="15" hidden="false" customHeight="false" outlineLevel="0" collapsed="false">
      <c r="A1637" s="15" t="s">
        <v>247</v>
      </c>
      <c r="B1637" s="16" t="s">
        <v>248</v>
      </c>
      <c r="C1637" s="17"/>
      <c r="D1637" s="17"/>
      <c r="E1637" s="17"/>
      <c r="F1637" s="17"/>
      <c r="H1637" s="18" t="s">
        <v>958</v>
      </c>
      <c r="I1637" s="19"/>
      <c r="J1637" s="19"/>
      <c r="L1637" s="20" t="s">
        <v>428</v>
      </c>
      <c r="M1637" s="21"/>
      <c r="N1637" s="21"/>
      <c r="P1637" s="14" t="s">
        <v>429</v>
      </c>
    </row>
    <row r="1638" customFormat="false" ht="15" hidden="false" customHeight="false" outlineLevel="0" collapsed="false">
      <c r="B1638" s="3" t="s">
        <v>252</v>
      </c>
      <c r="C1638" s="3" t="s">
        <v>253</v>
      </c>
      <c r="D1638" s="3" t="s">
        <v>254</v>
      </c>
      <c r="E1638" s="3" t="s">
        <v>255</v>
      </c>
      <c r="F1638" s="3" t="s">
        <v>256</v>
      </c>
      <c r="H1638" s="22" t="s">
        <v>252</v>
      </c>
      <c r="I1638" s="22" t="s">
        <v>255</v>
      </c>
      <c r="J1638" s="22" t="s">
        <v>256</v>
      </c>
      <c r="L1638" s="23" t="s">
        <v>252</v>
      </c>
      <c r="M1638" s="23" t="s">
        <v>255</v>
      </c>
      <c r="N1638" s="23" t="s">
        <v>256</v>
      </c>
      <c r="P1638" s="14" t="s">
        <v>399</v>
      </c>
    </row>
    <row r="1639" customFormat="false" ht="15" hidden="false" customHeight="false" outlineLevel="0" collapsed="false">
      <c r="A1639" s="24" t="s">
        <v>258</v>
      </c>
      <c r="B1639" s="25" t="n">
        <v>5.75</v>
      </c>
      <c r="C1639" s="25" t="n">
        <v>30</v>
      </c>
      <c r="D1639" s="26" t="n">
        <v>2.98056</v>
      </c>
      <c r="E1639" s="27" t="n">
        <v>3.85</v>
      </c>
      <c r="F1639" s="28" t="n">
        <f aca="false">ROUND(B1639*E1639,2)</f>
        <v>22.14</v>
      </c>
      <c r="H1639" s="29" t="n">
        <v>5.75</v>
      </c>
      <c r="I1639" s="30" t="n">
        <v>3.85</v>
      </c>
      <c r="J1639" s="31" t="n">
        <f aca="false">ROUND(H1639*I1639,2)</f>
        <v>22.14</v>
      </c>
      <c r="L1639" s="53"/>
      <c r="M1639" s="53"/>
      <c r="N1639" s="53"/>
      <c r="P1639" s="35" t="s">
        <v>430</v>
      </c>
    </row>
    <row r="1640" customFormat="false" ht="15" hidden="false" customHeight="false" outlineLevel="0" collapsed="false">
      <c r="A1640" s="24" t="s">
        <v>260</v>
      </c>
      <c r="B1640" s="25" t="n">
        <v>5.75</v>
      </c>
      <c r="C1640" s="25" t="n">
        <v>30</v>
      </c>
      <c r="D1640" s="26" t="n">
        <v>0.09228</v>
      </c>
      <c r="E1640" s="27" t="n">
        <v>1.33</v>
      </c>
      <c r="F1640" s="28" t="n">
        <f aca="false">ROUND(B1640*E1640,2)</f>
        <v>7.65</v>
      </c>
      <c r="H1640" s="29" t="n">
        <v>5.75</v>
      </c>
      <c r="I1640" s="30" t="n">
        <v>1.33</v>
      </c>
      <c r="J1640" s="31" t="n">
        <f aca="false">ROUND(H1640*I1640,2)</f>
        <v>7.65</v>
      </c>
      <c r="L1640" s="53"/>
      <c r="M1640" s="53"/>
      <c r="N1640" s="53"/>
      <c r="P1640" s="43" t="s">
        <v>261</v>
      </c>
    </row>
    <row r="1641" customFormat="false" ht="15" hidden="false" customHeight="false" outlineLevel="0" collapsed="false">
      <c r="A1641" s="24" t="s">
        <v>262</v>
      </c>
      <c r="B1641" s="25" t="n">
        <v>31.863</v>
      </c>
      <c r="C1641" s="25" t="n">
        <v>30</v>
      </c>
      <c r="D1641" s="26" t="n">
        <v>0.222799</v>
      </c>
      <c r="E1641" s="27" t="n">
        <v>0.13788</v>
      </c>
      <c r="F1641" s="28" t="n">
        <f aca="false">ROUND(B1641*E1641,2)</f>
        <v>4.39</v>
      </c>
      <c r="H1641" s="29" t="n">
        <v>28.333</v>
      </c>
      <c r="I1641" s="30" t="n">
        <v>0.13788</v>
      </c>
      <c r="J1641" s="31" t="n">
        <f aca="false">ROUND(H1641*I1641,2)</f>
        <v>3.91</v>
      </c>
      <c r="L1641" s="53"/>
      <c r="M1641" s="53"/>
      <c r="N1641" s="53"/>
    </row>
    <row r="1642" customFormat="false" ht="15" hidden="false" customHeight="false" outlineLevel="0" collapsed="false">
      <c r="A1642" s="24" t="s">
        <v>264</v>
      </c>
      <c r="B1642" s="25" t="n">
        <v>17.294</v>
      </c>
      <c r="C1642" s="25" t="n">
        <v>30</v>
      </c>
      <c r="D1642" s="26" t="n">
        <v>0.222799</v>
      </c>
      <c r="E1642" s="27" t="n">
        <v>0.13788</v>
      </c>
      <c r="F1642" s="28" t="n">
        <f aca="false">ROUND(B1642*E1642,2)</f>
        <v>2.38</v>
      </c>
      <c r="H1642" s="29" t="n">
        <v>17.821</v>
      </c>
      <c r="I1642" s="30" t="n">
        <v>0.13788</v>
      </c>
      <c r="J1642" s="31" t="n">
        <f aca="false">ROUND(H1642*I1642,2)</f>
        <v>2.46</v>
      </c>
      <c r="L1642" s="53"/>
      <c r="M1642" s="53"/>
      <c r="N1642" s="53"/>
    </row>
    <row r="1643" customFormat="false" ht="15" hidden="false" customHeight="false" outlineLevel="0" collapsed="false">
      <c r="A1643" s="24" t="s">
        <v>265</v>
      </c>
      <c r="B1643" s="25" t="n">
        <v>36.275</v>
      </c>
      <c r="C1643" s="25" t="n">
        <v>30</v>
      </c>
      <c r="D1643" s="26" t="n">
        <v>0.222799</v>
      </c>
      <c r="E1643" s="27" t="n">
        <v>0.13788</v>
      </c>
      <c r="F1643" s="28" t="n">
        <f aca="false">ROUND(B1643*E1643,2)</f>
        <v>5</v>
      </c>
      <c r="H1643" s="29" t="n">
        <v>42.064</v>
      </c>
      <c r="I1643" s="30" t="n">
        <v>0.13788</v>
      </c>
      <c r="J1643" s="31" t="n">
        <f aca="false">ROUND(H1643*I1643,2)</f>
        <v>5.8</v>
      </c>
      <c r="L1643" s="53"/>
      <c r="M1643" s="53"/>
      <c r="N1643" s="53"/>
    </row>
    <row r="1644" customFormat="false" ht="15" hidden="false" customHeight="false" outlineLevel="0" collapsed="false">
      <c r="A1644" s="24" t="s">
        <v>266</v>
      </c>
      <c r="B1644" s="25" t="n">
        <v>1</v>
      </c>
      <c r="C1644" s="25" t="n">
        <v>30</v>
      </c>
      <c r="D1644" s="26" t="n">
        <v>0.7989</v>
      </c>
      <c r="E1644" s="27" t="n">
        <v>3</v>
      </c>
      <c r="F1644" s="28" t="n">
        <f aca="false">ROUND(B1644*E1644,2)</f>
        <v>3</v>
      </c>
      <c r="H1644" s="29" t="n">
        <v>1</v>
      </c>
      <c r="I1644" s="30" t="n">
        <v>3</v>
      </c>
      <c r="J1644" s="31" t="n">
        <f aca="false">ROUND(H1644*I1644,2)</f>
        <v>3</v>
      </c>
      <c r="L1644" s="53"/>
      <c r="M1644" s="53"/>
      <c r="N1644" s="53"/>
    </row>
    <row r="1645" customFormat="false" ht="15" hidden="false" customHeight="false" outlineLevel="0" collapsed="false">
      <c r="A1645" s="24" t="s">
        <v>267</v>
      </c>
      <c r="B1645" s="25" t="n">
        <v>30</v>
      </c>
      <c r="C1645" s="25" t="n">
        <v>30</v>
      </c>
      <c r="D1645" s="26" t="n">
        <v>0.5736</v>
      </c>
      <c r="E1645" s="27" t="n">
        <v>0.01274</v>
      </c>
      <c r="F1645" s="28" t="n">
        <f aca="false">ROUND(B1645*E1645,2)</f>
        <v>0.38</v>
      </c>
      <c r="H1645" s="29" t="n">
        <v>30</v>
      </c>
      <c r="I1645" s="30" t="n">
        <v>0.01274</v>
      </c>
      <c r="J1645" s="31" t="n">
        <f aca="false">ROUND(H1645*I1645,2)</f>
        <v>0.38</v>
      </c>
      <c r="L1645" s="53"/>
      <c r="M1645" s="53"/>
      <c r="N1645" s="53"/>
    </row>
    <row r="1646" customFormat="false" ht="15" hidden="false" customHeight="false" outlineLevel="0" collapsed="false">
      <c r="A1646" s="24" t="s">
        <v>268</v>
      </c>
      <c r="B1646" s="25" t="n">
        <v>2.13</v>
      </c>
      <c r="C1646" s="25" t="n">
        <v>30</v>
      </c>
      <c r="D1646" s="26" t="n">
        <v>0.01871</v>
      </c>
      <c r="E1646" s="27" t="n">
        <v>1</v>
      </c>
      <c r="F1646" s="28" t="n">
        <f aca="false">ROUND(B1646*E1646,2)</f>
        <v>2.13</v>
      </c>
      <c r="H1646" s="29" t="n">
        <v>2.15</v>
      </c>
      <c r="I1646" s="30" t="n">
        <v>1</v>
      </c>
      <c r="J1646" s="31" t="n">
        <f aca="false">ROUND(H1646*I1646,2)</f>
        <v>2.15</v>
      </c>
      <c r="L1646" s="53"/>
      <c r="M1646" s="53"/>
      <c r="N1646" s="53"/>
    </row>
    <row r="1647" customFormat="false" ht="15" hidden="false" customHeight="false" outlineLevel="0" collapsed="false">
      <c r="A1647" s="37" t="s">
        <v>269</v>
      </c>
      <c r="F1647" s="38" t="n">
        <f aca="false">ROUND((SUM(F1639:F1646)-F1646)*1.1+F1646,2)</f>
        <v>51.56</v>
      </c>
      <c r="J1647" s="39" t="n">
        <f aca="false">ROUND(SUM(J1639:J1646),2)</f>
        <v>47.49</v>
      </c>
      <c r="N1647" s="54"/>
    </row>
    <row r="1648" customFormat="false" ht="15" hidden="false" customHeight="false" outlineLevel="0" collapsed="false">
      <c r="A1648" s="15" t="s">
        <v>270</v>
      </c>
      <c r="B1648" s="41" t="n">
        <f aca="false">IF((F1641+F1639+F1643+F1640+F1642)=0,"",((F1641+F1639+F1643+F1640+F1642)-(B1641*D1641+B1639*D1639+B1643*D1643+B1640*D1640+B1642*D1642))/(F1641+F1639+F1643+F1640+F1642))</f>
        <v>0.116867320307988</v>
      </c>
      <c r="D1648" s="42" t="str">
        <f aca="false">IF(B1648="","SIN PC",IF(B1648&gt;=Detalle!$G$1,"APROBAR",IF(B1648&gt;=0.2,"REVISAR","RECHAZAR")))</f>
        <v>RECHAZAR</v>
      </c>
      <c r="E1648" s="42"/>
      <c r="F1648" s="42"/>
    </row>
    <row r="1650" customFormat="false" ht="15" hidden="false" customHeight="false" outlineLevel="0" collapsed="false">
      <c r="A1650" s="11" t="s">
        <v>959</v>
      </c>
      <c r="B1650" s="11"/>
      <c r="C1650" s="11"/>
      <c r="D1650" s="11"/>
      <c r="E1650" s="11"/>
      <c r="F1650" s="11"/>
      <c r="H1650" s="11" t="s">
        <v>960</v>
      </c>
      <c r="I1650" s="11"/>
      <c r="J1650" s="11"/>
      <c r="K1650" s="11"/>
      <c r="L1650" s="11"/>
      <c r="M1650" s="11"/>
      <c r="N1650" s="11"/>
      <c r="P1650" s="14" t="s">
        <v>246</v>
      </c>
    </row>
    <row r="1651" customFormat="false" ht="15" hidden="false" customHeight="false" outlineLevel="0" collapsed="false">
      <c r="A1651" s="15" t="s">
        <v>247</v>
      </c>
      <c r="B1651" s="16" t="s">
        <v>248</v>
      </c>
      <c r="C1651" s="17"/>
      <c r="D1651" s="17"/>
      <c r="E1651" s="17"/>
      <c r="F1651" s="17"/>
      <c r="H1651" s="18" t="s">
        <v>961</v>
      </c>
      <c r="I1651" s="19"/>
      <c r="J1651" s="19"/>
      <c r="L1651" s="20" t="s">
        <v>428</v>
      </c>
      <c r="M1651" s="21"/>
      <c r="N1651" s="21"/>
      <c r="P1651" s="14" t="s">
        <v>429</v>
      </c>
    </row>
    <row r="1652" customFormat="false" ht="15" hidden="false" customHeight="false" outlineLevel="0" collapsed="false">
      <c r="B1652" s="3" t="s">
        <v>252</v>
      </c>
      <c r="C1652" s="3" t="s">
        <v>253</v>
      </c>
      <c r="D1652" s="3" t="s">
        <v>254</v>
      </c>
      <c r="E1652" s="3" t="s">
        <v>255</v>
      </c>
      <c r="F1652" s="3" t="s">
        <v>256</v>
      </c>
      <c r="H1652" s="22" t="s">
        <v>252</v>
      </c>
      <c r="I1652" s="22" t="s">
        <v>255</v>
      </c>
      <c r="J1652" s="22" t="s">
        <v>256</v>
      </c>
      <c r="L1652" s="23" t="s">
        <v>252</v>
      </c>
      <c r="M1652" s="23" t="s">
        <v>255</v>
      </c>
      <c r="N1652" s="23" t="s">
        <v>256</v>
      </c>
      <c r="P1652" s="14" t="s">
        <v>399</v>
      </c>
    </row>
    <row r="1653" customFormat="false" ht="15" hidden="false" customHeight="false" outlineLevel="0" collapsed="false">
      <c r="A1653" s="24" t="s">
        <v>258</v>
      </c>
      <c r="B1653" s="25" t="n">
        <v>4.4</v>
      </c>
      <c r="C1653" s="25" t="n">
        <v>30</v>
      </c>
      <c r="D1653" s="26" t="n">
        <v>3.68919</v>
      </c>
      <c r="E1653" s="27" t="n">
        <v>3.85</v>
      </c>
      <c r="F1653" s="28" t="n">
        <f aca="false">ROUND(B1653*E1653,2)</f>
        <v>16.94</v>
      </c>
      <c r="H1653" s="29" t="n">
        <v>4.4</v>
      </c>
      <c r="I1653" s="30" t="n">
        <v>3.85</v>
      </c>
      <c r="J1653" s="31" t="n">
        <f aca="false">ROUND(H1653*I1653,2)</f>
        <v>16.94</v>
      </c>
      <c r="L1653" s="53"/>
      <c r="M1653" s="53"/>
      <c r="N1653" s="53"/>
      <c r="P1653" s="35" t="s">
        <v>430</v>
      </c>
    </row>
    <row r="1654" customFormat="false" ht="15" hidden="false" customHeight="false" outlineLevel="0" collapsed="false">
      <c r="A1654" s="24" t="s">
        <v>260</v>
      </c>
      <c r="B1654" s="25" t="n">
        <v>4.4</v>
      </c>
      <c r="C1654" s="25" t="n">
        <v>30</v>
      </c>
      <c r="D1654" s="26" t="n">
        <v>1.31928</v>
      </c>
      <c r="E1654" s="27" t="n">
        <v>1.33</v>
      </c>
      <c r="F1654" s="28" t="n">
        <f aca="false">ROUND(B1654*E1654,2)</f>
        <v>5.85</v>
      </c>
      <c r="H1654" s="29" t="n">
        <v>4.4</v>
      </c>
      <c r="I1654" s="30" t="n">
        <v>1.33</v>
      </c>
      <c r="J1654" s="31" t="n">
        <f aca="false">ROUND(H1654*I1654,2)</f>
        <v>5.85</v>
      </c>
      <c r="L1654" s="53"/>
      <c r="M1654" s="53"/>
      <c r="N1654" s="53"/>
      <c r="P1654" s="43" t="s">
        <v>261</v>
      </c>
    </row>
    <row r="1655" customFormat="false" ht="15" hidden="false" customHeight="false" outlineLevel="0" collapsed="false">
      <c r="A1655" s="24" t="s">
        <v>262</v>
      </c>
      <c r="B1655" s="25" t="n">
        <v>43.044</v>
      </c>
      <c r="C1655" s="25" t="n">
        <v>30</v>
      </c>
      <c r="D1655" s="26" t="n">
        <v>0.111171</v>
      </c>
      <c r="E1655" s="27" t="n">
        <v>0.13788</v>
      </c>
      <c r="F1655" s="28" t="n">
        <f aca="false">ROUND(B1655*E1655,2)</f>
        <v>5.93</v>
      </c>
      <c r="H1655" s="29" t="n">
        <v>48.267</v>
      </c>
      <c r="I1655" s="30" t="n">
        <v>0.13788</v>
      </c>
      <c r="J1655" s="31" t="n">
        <f aca="false">ROUND(H1655*I1655,2)</f>
        <v>6.66</v>
      </c>
      <c r="L1655" s="53"/>
      <c r="M1655" s="53"/>
      <c r="N1655" s="53"/>
    </row>
    <row r="1656" customFormat="false" ht="15" hidden="false" customHeight="false" outlineLevel="0" collapsed="false">
      <c r="A1656" s="24" t="s">
        <v>264</v>
      </c>
      <c r="B1656" s="25" t="n">
        <v>38.124</v>
      </c>
      <c r="C1656" s="25" t="n">
        <v>30</v>
      </c>
      <c r="D1656" s="26" t="n">
        <v>0.111171</v>
      </c>
      <c r="E1656" s="27" t="n">
        <v>0.13788</v>
      </c>
      <c r="F1656" s="28" t="n">
        <f aca="false">ROUND(B1656*E1656,2)</f>
        <v>5.26</v>
      </c>
      <c r="H1656" s="29" t="n">
        <v>51.181</v>
      </c>
      <c r="I1656" s="30" t="n">
        <v>0.13788</v>
      </c>
      <c r="J1656" s="31" t="n">
        <f aca="false">ROUND(H1656*I1656,2)</f>
        <v>7.06</v>
      </c>
      <c r="L1656" s="53"/>
      <c r="M1656" s="53"/>
      <c r="N1656" s="53"/>
    </row>
    <row r="1657" customFormat="false" ht="15" hidden="false" customHeight="false" outlineLevel="0" collapsed="false">
      <c r="A1657" s="24" t="s">
        <v>265</v>
      </c>
      <c r="B1657" s="25" t="n">
        <v>71.483</v>
      </c>
      <c r="C1657" s="25" t="n">
        <v>30</v>
      </c>
      <c r="D1657" s="26" t="n">
        <v>0.111171</v>
      </c>
      <c r="E1657" s="27" t="n">
        <v>0.13788</v>
      </c>
      <c r="F1657" s="28" t="n">
        <f aca="false">ROUND(B1657*E1657,2)</f>
        <v>9.86</v>
      </c>
      <c r="H1657" s="29" t="n">
        <v>76.515</v>
      </c>
      <c r="I1657" s="30" t="n">
        <v>0.13788</v>
      </c>
      <c r="J1657" s="31" t="n">
        <f aca="false">ROUND(H1657*I1657,2)</f>
        <v>10.55</v>
      </c>
      <c r="L1657" s="53"/>
      <c r="M1657" s="53"/>
      <c r="N1657" s="53"/>
    </row>
    <row r="1658" customFormat="false" ht="15" hidden="false" customHeight="false" outlineLevel="0" collapsed="false">
      <c r="A1658" s="24" t="s">
        <v>266</v>
      </c>
      <c r="B1658" s="25" t="n">
        <v>1</v>
      </c>
      <c r="C1658" s="25" t="n">
        <v>30</v>
      </c>
      <c r="D1658" s="26" t="n">
        <v>0.7989</v>
      </c>
      <c r="E1658" s="27" t="n">
        <v>3</v>
      </c>
      <c r="F1658" s="28" t="n">
        <f aca="false">ROUND(B1658*E1658,2)</f>
        <v>3</v>
      </c>
      <c r="H1658" s="29" t="n">
        <v>1</v>
      </c>
      <c r="I1658" s="30" t="n">
        <v>3</v>
      </c>
      <c r="J1658" s="31" t="n">
        <f aca="false">ROUND(H1658*I1658,2)</f>
        <v>3</v>
      </c>
      <c r="L1658" s="53"/>
      <c r="M1658" s="53"/>
      <c r="N1658" s="53"/>
    </row>
    <row r="1659" customFormat="false" ht="15" hidden="false" customHeight="false" outlineLevel="0" collapsed="false">
      <c r="A1659" s="24" t="s">
        <v>267</v>
      </c>
      <c r="B1659" s="25" t="n">
        <v>30</v>
      </c>
      <c r="C1659" s="25" t="n">
        <v>30</v>
      </c>
      <c r="D1659" s="26" t="n">
        <v>0.5736</v>
      </c>
      <c r="E1659" s="27" t="n">
        <v>0.01274</v>
      </c>
      <c r="F1659" s="28" t="n">
        <f aca="false">ROUND(B1659*E1659,2)</f>
        <v>0.38</v>
      </c>
      <c r="H1659" s="29" t="n">
        <v>30</v>
      </c>
      <c r="I1659" s="30" t="n">
        <v>0.01274</v>
      </c>
      <c r="J1659" s="31" t="n">
        <f aca="false">ROUND(H1659*I1659,2)</f>
        <v>0.38</v>
      </c>
      <c r="L1659" s="53"/>
      <c r="M1659" s="53"/>
      <c r="N1659" s="53"/>
    </row>
    <row r="1660" customFormat="false" ht="15" hidden="false" customHeight="false" outlineLevel="0" collapsed="false">
      <c r="A1660" s="24" t="s">
        <v>268</v>
      </c>
      <c r="B1660" s="25" t="n">
        <v>2.25</v>
      </c>
      <c r="C1660" s="25" t="n">
        <v>30</v>
      </c>
      <c r="D1660" s="26" t="n">
        <v>0.27312</v>
      </c>
      <c r="E1660" s="27" t="n">
        <v>1</v>
      </c>
      <c r="F1660" s="28" t="n">
        <f aca="false">ROUND(B1660*E1660,2)</f>
        <v>2.25</v>
      </c>
      <c r="H1660" s="29" t="n">
        <v>2.41</v>
      </c>
      <c r="I1660" s="30" t="n">
        <v>1</v>
      </c>
      <c r="J1660" s="31" t="n">
        <f aca="false">ROUND(H1660*I1660,2)</f>
        <v>2.41</v>
      </c>
      <c r="L1660" s="53"/>
      <c r="M1660" s="53"/>
      <c r="N1660" s="53"/>
    </row>
    <row r="1661" customFormat="false" ht="15" hidden="false" customHeight="false" outlineLevel="0" collapsed="false">
      <c r="A1661" s="37" t="s">
        <v>269</v>
      </c>
      <c r="F1661" s="38" t="n">
        <f aca="false">ROUND((SUM(F1653:F1660)-F1660)*1.1+F1660,2)</f>
        <v>54.19</v>
      </c>
      <c r="J1661" s="39" t="n">
        <f aca="false">ROUND(SUM(J1653:J1660),2)</f>
        <v>52.85</v>
      </c>
      <c r="N1661" s="54"/>
    </row>
    <row r="1662" customFormat="false" ht="15" hidden="false" customHeight="false" outlineLevel="0" collapsed="false">
      <c r="A1662" s="15" t="s">
        <v>270</v>
      </c>
      <c r="B1662" s="41" t="n">
        <f aca="false">IF((F1655+F1653+F1657+F1654+F1656)=0,"",((F1655+F1653+F1657+F1654+F1656)-(B1655*D1655+B1653*D1653+B1657*D1657+B1654*D1654+B1656*D1656))/(F1655+F1653+F1657+F1654+F1656))</f>
        <v>0.110227364940694</v>
      </c>
      <c r="D1662" s="42" t="str">
        <f aca="false">IF(B1662="","SIN PC",IF(B1662&gt;=Detalle!$G$1,"APROBAR",IF(B1662&gt;=0.2,"REVISAR","RECHAZAR")))</f>
        <v>RECHAZAR</v>
      </c>
      <c r="E1662" s="42"/>
      <c r="F1662" s="42"/>
    </row>
    <row r="1664" customFormat="false" ht="15" hidden="false" customHeight="false" outlineLevel="0" collapsed="false">
      <c r="A1664" s="11" t="s">
        <v>962</v>
      </c>
      <c r="B1664" s="11"/>
      <c r="C1664" s="11"/>
      <c r="D1664" s="11"/>
      <c r="E1664" s="11"/>
      <c r="F1664" s="11"/>
      <c r="H1664" s="11" t="s">
        <v>963</v>
      </c>
      <c r="I1664" s="11"/>
      <c r="J1664" s="11"/>
      <c r="K1664" s="11"/>
      <c r="L1664" s="11"/>
      <c r="M1664" s="11"/>
      <c r="N1664" s="11"/>
      <c r="P1664" s="14" t="s">
        <v>246</v>
      </c>
    </row>
    <row r="1665" customFormat="false" ht="15" hidden="false" customHeight="false" outlineLevel="0" collapsed="false">
      <c r="A1665" s="15" t="s">
        <v>247</v>
      </c>
      <c r="B1665" s="16" t="s">
        <v>248</v>
      </c>
      <c r="C1665" s="17"/>
      <c r="D1665" s="17"/>
      <c r="E1665" s="17"/>
      <c r="F1665" s="17"/>
      <c r="H1665" s="18" t="s">
        <v>964</v>
      </c>
      <c r="I1665" s="19"/>
      <c r="J1665" s="19"/>
      <c r="L1665" s="20" t="s">
        <v>428</v>
      </c>
      <c r="M1665" s="21"/>
      <c r="N1665" s="21"/>
      <c r="P1665" s="14" t="s">
        <v>937</v>
      </c>
    </row>
    <row r="1666" customFormat="false" ht="15" hidden="false" customHeight="false" outlineLevel="0" collapsed="false">
      <c r="B1666" s="3" t="s">
        <v>252</v>
      </c>
      <c r="C1666" s="3" t="s">
        <v>253</v>
      </c>
      <c r="D1666" s="3" t="s">
        <v>254</v>
      </c>
      <c r="E1666" s="3" t="s">
        <v>255</v>
      </c>
      <c r="F1666" s="3" t="s">
        <v>256</v>
      </c>
      <c r="H1666" s="22" t="s">
        <v>252</v>
      </c>
      <c r="I1666" s="22" t="s">
        <v>255</v>
      </c>
      <c r="J1666" s="22" t="s">
        <v>256</v>
      </c>
      <c r="L1666" s="23" t="s">
        <v>252</v>
      </c>
      <c r="M1666" s="23" t="s">
        <v>255</v>
      </c>
      <c r="N1666" s="23" t="s">
        <v>256</v>
      </c>
      <c r="P1666" s="14" t="s">
        <v>399</v>
      </c>
    </row>
    <row r="1667" customFormat="false" ht="15" hidden="false" customHeight="false" outlineLevel="0" collapsed="false">
      <c r="A1667" s="24" t="s">
        <v>258</v>
      </c>
      <c r="B1667" s="25" t="n">
        <v>3.45</v>
      </c>
      <c r="C1667" s="25" t="n">
        <v>30</v>
      </c>
      <c r="D1667" s="26" t="n">
        <v>3.68919</v>
      </c>
      <c r="E1667" s="27" t="n">
        <v>3.85</v>
      </c>
      <c r="F1667" s="28" t="n">
        <f aca="false">ROUND(B1667*E1667,2)</f>
        <v>13.28</v>
      </c>
      <c r="H1667" s="29" t="n">
        <v>3.45</v>
      </c>
      <c r="I1667" s="30" t="n">
        <v>3.85</v>
      </c>
      <c r="J1667" s="31" t="n">
        <f aca="false">ROUND(H1667*I1667,2)</f>
        <v>13.28</v>
      </c>
      <c r="L1667" s="53"/>
      <c r="M1667" s="53"/>
      <c r="N1667" s="53"/>
      <c r="P1667" s="35" t="s">
        <v>938</v>
      </c>
    </row>
    <row r="1668" customFormat="false" ht="15" hidden="false" customHeight="false" outlineLevel="0" collapsed="false">
      <c r="A1668" s="24" t="s">
        <v>260</v>
      </c>
      <c r="B1668" s="25" t="n">
        <v>3.45</v>
      </c>
      <c r="C1668" s="25" t="n">
        <v>30</v>
      </c>
      <c r="D1668" s="26" t="n">
        <v>1.31928</v>
      </c>
      <c r="E1668" s="27" t="n">
        <v>1.33</v>
      </c>
      <c r="F1668" s="28" t="n">
        <f aca="false">ROUND(B1668*E1668,2)</f>
        <v>4.59</v>
      </c>
      <c r="H1668" s="29" t="n">
        <v>3.45</v>
      </c>
      <c r="I1668" s="30" t="n">
        <v>1.33</v>
      </c>
      <c r="J1668" s="31" t="n">
        <f aca="false">ROUND(H1668*I1668,2)</f>
        <v>4.59</v>
      </c>
      <c r="L1668" s="53"/>
      <c r="M1668" s="53"/>
      <c r="N1668" s="53"/>
      <c r="P1668" s="43" t="s">
        <v>261</v>
      </c>
    </row>
    <row r="1669" customFormat="false" ht="15" hidden="false" customHeight="false" outlineLevel="0" collapsed="false">
      <c r="A1669" s="24" t="s">
        <v>262</v>
      </c>
      <c r="B1669" s="25" t="n">
        <v>138.931</v>
      </c>
      <c r="C1669" s="25" t="n">
        <v>30</v>
      </c>
      <c r="D1669" s="26" t="n">
        <v>0.111171</v>
      </c>
      <c r="E1669" s="27" t="n">
        <v>0.13788</v>
      </c>
      <c r="F1669" s="28" t="n">
        <f aca="false">ROUND(B1669*E1669,2)</f>
        <v>19.16</v>
      </c>
      <c r="H1669" s="29" t="n">
        <v>174.503</v>
      </c>
      <c r="I1669" s="30" t="n">
        <v>0.13788</v>
      </c>
      <c r="J1669" s="31" t="n">
        <f aca="false">ROUND(H1669*I1669,2)</f>
        <v>24.06</v>
      </c>
      <c r="L1669" s="53"/>
      <c r="M1669" s="53"/>
      <c r="N1669" s="53"/>
    </row>
    <row r="1670" customFormat="false" ht="15" hidden="false" customHeight="false" outlineLevel="0" collapsed="false">
      <c r="A1670" s="24" t="s">
        <v>264</v>
      </c>
      <c r="B1670" s="25" t="n">
        <v>133.252</v>
      </c>
      <c r="C1670" s="25" t="n">
        <v>30</v>
      </c>
      <c r="D1670" s="26" t="n">
        <v>0.111171</v>
      </c>
      <c r="E1670" s="27" t="n">
        <v>0.13788</v>
      </c>
      <c r="F1670" s="28" t="n">
        <f aca="false">ROUND(B1670*E1670,2)</f>
        <v>18.37</v>
      </c>
      <c r="H1670" s="29" t="n">
        <v>169.289</v>
      </c>
      <c r="I1670" s="30" t="n">
        <v>0.13788</v>
      </c>
      <c r="J1670" s="31" t="n">
        <f aca="false">ROUND(H1670*I1670,2)</f>
        <v>23.34</v>
      </c>
      <c r="L1670" s="53"/>
      <c r="M1670" s="53"/>
      <c r="N1670" s="53"/>
    </row>
    <row r="1671" customFormat="false" ht="15" hidden="false" customHeight="false" outlineLevel="0" collapsed="false">
      <c r="A1671" s="24" t="s">
        <v>265</v>
      </c>
      <c r="B1671" s="25" t="n">
        <v>214.909</v>
      </c>
      <c r="C1671" s="25" t="n">
        <v>30</v>
      </c>
      <c r="D1671" s="26" t="n">
        <v>0.111171</v>
      </c>
      <c r="E1671" s="27" t="n">
        <v>0.13788</v>
      </c>
      <c r="F1671" s="28" t="n">
        <f aca="false">ROUND(B1671*E1671,2)</f>
        <v>29.63</v>
      </c>
      <c r="H1671" s="29" t="n">
        <v>259.872</v>
      </c>
      <c r="I1671" s="30" t="n">
        <v>0.13788</v>
      </c>
      <c r="J1671" s="31" t="n">
        <f aca="false">ROUND(H1671*I1671,2)</f>
        <v>35.83</v>
      </c>
      <c r="L1671" s="53"/>
      <c r="M1671" s="53"/>
      <c r="N1671" s="53"/>
    </row>
    <row r="1672" customFormat="false" ht="15" hidden="false" customHeight="false" outlineLevel="0" collapsed="false">
      <c r="A1672" s="24" t="s">
        <v>266</v>
      </c>
      <c r="B1672" s="25" t="n">
        <v>1</v>
      </c>
      <c r="C1672" s="25" t="n">
        <v>30</v>
      </c>
      <c r="D1672" s="26" t="n">
        <v>0.7989</v>
      </c>
      <c r="E1672" s="27" t="n">
        <v>3</v>
      </c>
      <c r="F1672" s="28" t="n">
        <f aca="false">ROUND(B1672*E1672,2)</f>
        <v>3</v>
      </c>
      <c r="H1672" s="29" t="n">
        <v>1</v>
      </c>
      <c r="I1672" s="30" t="n">
        <v>3</v>
      </c>
      <c r="J1672" s="31" t="n">
        <f aca="false">ROUND(H1672*I1672,2)</f>
        <v>3</v>
      </c>
      <c r="L1672" s="53"/>
      <c r="M1672" s="53"/>
      <c r="N1672" s="53"/>
    </row>
    <row r="1673" customFormat="false" ht="15" hidden="false" customHeight="false" outlineLevel="0" collapsed="false">
      <c r="A1673" s="24" t="s">
        <v>267</v>
      </c>
      <c r="B1673" s="25" t="n">
        <v>30</v>
      </c>
      <c r="C1673" s="25" t="n">
        <v>30</v>
      </c>
      <c r="D1673" s="26" t="n">
        <v>0.5736</v>
      </c>
      <c r="E1673" s="27" t="n">
        <v>0.01274</v>
      </c>
      <c r="F1673" s="28" t="n">
        <f aca="false">ROUND(B1673*E1673,2)</f>
        <v>0.38</v>
      </c>
      <c r="H1673" s="29" t="n">
        <v>30</v>
      </c>
      <c r="I1673" s="30" t="n">
        <v>0.01274</v>
      </c>
      <c r="J1673" s="31" t="n">
        <f aca="false">ROUND(H1673*I1673,2)</f>
        <v>0.38</v>
      </c>
      <c r="L1673" s="53"/>
      <c r="M1673" s="53"/>
      <c r="N1673" s="53"/>
    </row>
    <row r="1674" customFormat="false" ht="15" hidden="false" customHeight="false" outlineLevel="0" collapsed="false">
      <c r="A1674" s="24" t="s">
        <v>268</v>
      </c>
      <c r="B1674" s="25" t="n">
        <v>4.35</v>
      </c>
      <c r="C1674" s="25" t="n">
        <v>30</v>
      </c>
      <c r="D1674" s="26" t="n">
        <v>0.27312</v>
      </c>
      <c r="E1674" s="27" t="n">
        <v>1</v>
      </c>
      <c r="F1674" s="28" t="n">
        <f aca="false">ROUND(B1674*E1674,2)</f>
        <v>4.35</v>
      </c>
      <c r="H1674" s="29" t="n">
        <v>5.18</v>
      </c>
      <c r="I1674" s="30" t="n">
        <v>1</v>
      </c>
      <c r="J1674" s="31" t="n">
        <f aca="false">ROUND(H1674*I1674,2)</f>
        <v>5.18</v>
      </c>
      <c r="L1674" s="53"/>
      <c r="M1674" s="53"/>
      <c r="N1674" s="53"/>
    </row>
    <row r="1675" customFormat="false" ht="15" hidden="false" customHeight="false" outlineLevel="0" collapsed="false">
      <c r="A1675" s="37" t="s">
        <v>269</v>
      </c>
      <c r="F1675" s="38" t="n">
        <f aca="false">ROUND((SUM(F1667:F1674)-F1674)*1.1+F1674,2)</f>
        <v>101.6</v>
      </c>
      <c r="J1675" s="39" t="n">
        <f aca="false">ROUND(SUM(J1667:J1674),2)</f>
        <v>109.66</v>
      </c>
      <c r="N1675" s="54"/>
    </row>
    <row r="1676" customFormat="false" ht="15" hidden="false" customHeight="false" outlineLevel="0" collapsed="false">
      <c r="A1676" s="15" t="s">
        <v>270</v>
      </c>
      <c r="B1676" s="41" t="n">
        <f aca="false">IF((F1669+F1667+F1671+F1668+F1670)=0,"",((F1669+F1667+F1671+F1668+F1670)-(B1669*D1669+B1667*D1667+B1671*D1671+B1668*D1668+B1670*D1670))/(F1669+F1667+F1671+F1668+F1670))</f>
        <v>0.159946768999177</v>
      </c>
      <c r="D1676" s="42" t="str">
        <f aca="false">IF(B1676="","SIN PC",IF(B1676&gt;=Detalle!$G$1,"APROBAR",IF(B1676&gt;=0.2,"REVISAR","RECHAZAR")))</f>
        <v>RECHAZAR</v>
      </c>
      <c r="E1676" s="42"/>
      <c r="F1676" s="42"/>
    </row>
    <row r="1678" customFormat="false" ht="15" hidden="false" customHeight="false" outlineLevel="0" collapsed="false">
      <c r="A1678" s="11" t="s">
        <v>965</v>
      </c>
      <c r="B1678" s="11"/>
      <c r="C1678" s="11"/>
      <c r="D1678" s="11"/>
      <c r="E1678" s="11"/>
      <c r="F1678" s="11"/>
      <c r="H1678" s="11" t="s">
        <v>966</v>
      </c>
      <c r="I1678" s="11"/>
      <c r="J1678" s="11"/>
      <c r="K1678" s="11"/>
      <c r="L1678" s="11"/>
      <c r="M1678" s="11"/>
      <c r="N1678" s="11"/>
      <c r="P1678" s="14" t="s">
        <v>246</v>
      </c>
    </row>
    <row r="1679" customFormat="false" ht="15" hidden="false" customHeight="false" outlineLevel="0" collapsed="false">
      <c r="A1679" s="15" t="s">
        <v>247</v>
      </c>
      <c r="B1679" s="16" t="s">
        <v>248</v>
      </c>
      <c r="C1679" s="17"/>
      <c r="D1679" s="17"/>
      <c r="E1679" s="17"/>
      <c r="F1679" s="17"/>
      <c r="H1679" s="18" t="s">
        <v>967</v>
      </c>
      <c r="I1679" s="19"/>
      <c r="J1679" s="19"/>
      <c r="L1679" s="20" t="s">
        <v>428</v>
      </c>
      <c r="M1679" s="21"/>
      <c r="N1679" s="21"/>
      <c r="P1679" s="14" t="s">
        <v>429</v>
      </c>
    </row>
    <row r="1680" customFormat="false" ht="15" hidden="false" customHeight="false" outlineLevel="0" collapsed="false">
      <c r="B1680" s="3" t="s">
        <v>252</v>
      </c>
      <c r="C1680" s="3" t="s">
        <v>253</v>
      </c>
      <c r="D1680" s="3" t="s">
        <v>254</v>
      </c>
      <c r="E1680" s="3" t="s">
        <v>255</v>
      </c>
      <c r="F1680" s="3" t="s">
        <v>256</v>
      </c>
      <c r="H1680" s="22" t="s">
        <v>252</v>
      </c>
      <c r="I1680" s="22" t="s">
        <v>255</v>
      </c>
      <c r="J1680" s="22" t="s">
        <v>256</v>
      </c>
      <c r="L1680" s="23" t="s">
        <v>252</v>
      </c>
      <c r="M1680" s="23" t="s">
        <v>255</v>
      </c>
      <c r="N1680" s="23" t="s">
        <v>256</v>
      </c>
      <c r="P1680" s="14" t="s">
        <v>399</v>
      </c>
    </row>
    <row r="1681" customFormat="false" ht="15" hidden="false" customHeight="false" outlineLevel="0" collapsed="false">
      <c r="A1681" s="24" t="s">
        <v>258</v>
      </c>
      <c r="B1681" s="25" t="n">
        <v>5.75</v>
      </c>
      <c r="C1681" s="25" t="n">
        <v>30</v>
      </c>
      <c r="D1681" s="26" t="n">
        <v>3.68919</v>
      </c>
      <c r="E1681" s="27" t="n">
        <v>3.85</v>
      </c>
      <c r="F1681" s="28" t="n">
        <f aca="false">ROUND(B1681*E1681,2)</f>
        <v>22.14</v>
      </c>
      <c r="H1681" s="29" t="n">
        <v>5.75</v>
      </c>
      <c r="I1681" s="30" t="n">
        <v>3.85</v>
      </c>
      <c r="J1681" s="31" t="n">
        <f aca="false">ROUND(H1681*I1681,2)</f>
        <v>22.14</v>
      </c>
      <c r="L1681" s="53"/>
      <c r="M1681" s="53"/>
      <c r="N1681" s="53"/>
      <c r="P1681" s="35" t="s">
        <v>430</v>
      </c>
    </row>
    <row r="1682" customFormat="false" ht="15" hidden="false" customHeight="false" outlineLevel="0" collapsed="false">
      <c r="A1682" s="24" t="s">
        <v>260</v>
      </c>
      <c r="B1682" s="25" t="n">
        <v>5.75</v>
      </c>
      <c r="C1682" s="25" t="n">
        <v>30</v>
      </c>
      <c r="D1682" s="26" t="n">
        <v>1.31928</v>
      </c>
      <c r="E1682" s="27" t="n">
        <v>1.33</v>
      </c>
      <c r="F1682" s="28" t="n">
        <f aca="false">ROUND(B1682*E1682,2)</f>
        <v>7.65</v>
      </c>
      <c r="H1682" s="29" t="n">
        <v>5.75</v>
      </c>
      <c r="I1682" s="30" t="n">
        <v>1.33</v>
      </c>
      <c r="J1682" s="31" t="n">
        <f aca="false">ROUND(H1682*I1682,2)</f>
        <v>7.65</v>
      </c>
      <c r="L1682" s="53"/>
      <c r="M1682" s="53"/>
      <c r="N1682" s="53"/>
      <c r="P1682" s="43" t="s">
        <v>261</v>
      </c>
    </row>
    <row r="1683" customFormat="false" ht="15" hidden="false" customHeight="false" outlineLevel="0" collapsed="false">
      <c r="A1683" s="24" t="s">
        <v>262</v>
      </c>
      <c r="B1683" s="25" t="n">
        <v>9.517</v>
      </c>
      <c r="C1683" s="25" t="n">
        <v>30</v>
      </c>
      <c r="D1683" s="26" t="n">
        <v>0.111171</v>
      </c>
      <c r="E1683" s="27" t="n">
        <v>0.13788</v>
      </c>
      <c r="F1683" s="28" t="n">
        <f aca="false">ROUND(B1683*E1683,2)</f>
        <v>1.31</v>
      </c>
      <c r="H1683" s="29" t="n">
        <v>25.441</v>
      </c>
      <c r="I1683" s="30" t="n">
        <v>0.13788</v>
      </c>
      <c r="J1683" s="31" t="n">
        <f aca="false">ROUND(H1683*I1683,2)</f>
        <v>3.51</v>
      </c>
      <c r="L1683" s="53"/>
      <c r="M1683" s="53"/>
      <c r="N1683" s="53"/>
    </row>
    <row r="1684" customFormat="false" ht="15" hidden="false" customHeight="false" outlineLevel="0" collapsed="false">
      <c r="A1684" s="24" t="s">
        <v>264</v>
      </c>
      <c r="B1684" s="25" t="n">
        <v>15.845</v>
      </c>
      <c r="C1684" s="25" t="n">
        <v>30</v>
      </c>
      <c r="D1684" s="26" t="n">
        <v>0.111171</v>
      </c>
      <c r="E1684" s="27" t="n">
        <v>0.13788</v>
      </c>
      <c r="F1684" s="28" t="n">
        <f aca="false">ROUND(B1684*E1684,2)</f>
        <v>2.18</v>
      </c>
      <c r="H1684" s="29" t="n">
        <v>16.664</v>
      </c>
      <c r="I1684" s="30" t="n">
        <v>0.13788</v>
      </c>
      <c r="J1684" s="31" t="n">
        <f aca="false">ROUND(H1684*I1684,2)</f>
        <v>2.3</v>
      </c>
      <c r="L1684" s="53"/>
      <c r="M1684" s="53"/>
      <c r="N1684" s="53"/>
    </row>
    <row r="1685" customFormat="false" ht="15" hidden="false" customHeight="false" outlineLevel="0" collapsed="false">
      <c r="A1685" s="24" t="s">
        <v>265</v>
      </c>
      <c r="B1685" s="25" t="n">
        <v>24.544</v>
      </c>
      <c r="C1685" s="25" t="n">
        <v>30</v>
      </c>
      <c r="D1685" s="26" t="n">
        <v>0.111171</v>
      </c>
      <c r="E1685" s="27" t="n">
        <v>0.13788</v>
      </c>
      <c r="F1685" s="28" t="n">
        <f aca="false">ROUND(B1685*E1685,2)</f>
        <v>3.38</v>
      </c>
      <c r="H1685" s="29" t="n">
        <v>21.789</v>
      </c>
      <c r="I1685" s="30" t="n">
        <v>0.13788</v>
      </c>
      <c r="J1685" s="31" t="n">
        <f aca="false">ROUND(H1685*I1685,2)</f>
        <v>3</v>
      </c>
      <c r="L1685" s="53"/>
      <c r="M1685" s="53"/>
      <c r="N1685" s="53"/>
    </row>
    <row r="1686" customFormat="false" ht="15" hidden="false" customHeight="false" outlineLevel="0" collapsed="false">
      <c r="A1686" s="24" t="s">
        <v>266</v>
      </c>
      <c r="B1686" s="25" t="n">
        <v>1</v>
      </c>
      <c r="C1686" s="25" t="n">
        <v>30</v>
      </c>
      <c r="D1686" s="26" t="n">
        <v>0.7989</v>
      </c>
      <c r="E1686" s="27" t="n">
        <v>3</v>
      </c>
      <c r="F1686" s="28" t="n">
        <f aca="false">ROUND(B1686*E1686,2)</f>
        <v>3</v>
      </c>
      <c r="H1686" s="29" t="n">
        <v>1</v>
      </c>
      <c r="I1686" s="30" t="n">
        <v>3</v>
      </c>
      <c r="J1686" s="31" t="n">
        <f aca="false">ROUND(H1686*I1686,2)</f>
        <v>3</v>
      </c>
      <c r="L1686" s="53"/>
      <c r="M1686" s="53"/>
      <c r="N1686" s="53"/>
    </row>
    <row r="1687" customFormat="false" ht="15" hidden="false" customHeight="false" outlineLevel="0" collapsed="false">
      <c r="A1687" s="24" t="s">
        <v>267</v>
      </c>
      <c r="B1687" s="25" t="n">
        <v>30</v>
      </c>
      <c r="C1687" s="25" t="n">
        <v>30</v>
      </c>
      <c r="D1687" s="26" t="n">
        <v>0.5736</v>
      </c>
      <c r="E1687" s="27" t="n">
        <v>0.01274</v>
      </c>
      <c r="F1687" s="28" t="n">
        <f aca="false">ROUND(B1687*E1687,2)</f>
        <v>0.38</v>
      </c>
      <c r="H1687" s="29" t="n">
        <v>30</v>
      </c>
      <c r="I1687" s="30" t="n">
        <v>0.01274</v>
      </c>
      <c r="J1687" s="31" t="n">
        <f aca="false">ROUND(H1687*I1687,2)</f>
        <v>0.38</v>
      </c>
      <c r="L1687" s="53"/>
      <c r="M1687" s="53"/>
      <c r="N1687" s="53"/>
    </row>
    <row r="1688" customFormat="false" ht="15" hidden="false" customHeight="false" outlineLevel="0" collapsed="false">
      <c r="A1688" s="24" t="s">
        <v>268</v>
      </c>
      <c r="B1688" s="25" t="n">
        <v>1.88</v>
      </c>
      <c r="C1688" s="25" t="n">
        <v>30</v>
      </c>
      <c r="D1688" s="26" t="n">
        <v>0.02671</v>
      </c>
      <c r="E1688" s="27" t="n">
        <v>1</v>
      </c>
      <c r="F1688" s="28" t="n">
        <f aca="false">ROUND(B1688*E1688,2)</f>
        <v>1.88</v>
      </c>
      <c r="H1688" s="29" t="n">
        <v>1.98</v>
      </c>
      <c r="I1688" s="30" t="n">
        <v>1</v>
      </c>
      <c r="J1688" s="31" t="n">
        <f aca="false">ROUND(H1688*I1688,2)</f>
        <v>1.98</v>
      </c>
      <c r="L1688" s="53"/>
      <c r="M1688" s="53"/>
      <c r="N1688" s="53"/>
    </row>
    <row r="1689" customFormat="false" ht="15" hidden="false" customHeight="false" outlineLevel="0" collapsed="false">
      <c r="A1689" s="37" t="s">
        <v>269</v>
      </c>
      <c r="F1689" s="38" t="n">
        <f aca="false">ROUND((SUM(F1681:F1688)-F1688)*1.1+F1688,2)</f>
        <v>45.92</v>
      </c>
      <c r="J1689" s="39" t="n">
        <f aca="false">ROUND(SUM(J1681:J1688),2)</f>
        <v>43.96</v>
      </c>
      <c r="N1689" s="54"/>
    </row>
    <row r="1690" customFormat="false" ht="15" hidden="false" customHeight="false" outlineLevel="0" collapsed="false">
      <c r="A1690" s="15" t="s">
        <v>270</v>
      </c>
      <c r="B1690" s="41" t="n">
        <f aca="false">IF((F1683+F1681+F1685+F1682+F1684)=0,"",((F1683+F1681+F1685+F1682+F1684)-(B1683*D1683+B1681*D1681+B1685*D1685+B1682*D1682+B1684*D1684))/(F1683+F1681+F1685+F1682+F1684))</f>
        <v>0.0630986790507365</v>
      </c>
      <c r="D1690" s="42" t="str">
        <f aca="false">IF(B1690="","SIN PC",IF(B1690&gt;=Detalle!$G$1,"APROBAR",IF(B1690&gt;=0.2,"REVISAR","RECHAZAR")))</f>
        <v>RECHAZAR</v>
      </c>
      <c r="E1690" s="42"/>
      <c r="F1690" s="42"/>
    </row>
    <row r="1692" customFormat="false" ht="15" hidden="false" customHeight="false" outlineLevel="0" collapsed="false">
      <c r="A1692" s="11" t="s">
        <v>968</v>
      </c>
      <c r="B1692" s="11"/>
      <c r="C1692" s="11"/>
      <c r="D1692" s="11"/>
      <c r="E1692" s="11"/>
      <c r="F1692" s="11"/>
      <c r="H1692" s="11" t="s">
        <v>969</v>
      </c>
      <c r="I1692" s="11"/>
      <c r="J1692" s="11"/>
      <c r="K1692" s="11"/>
      <c r="L1692" s="11"/>
      <c r="M1692" s="11"/>
      <c r="N1692" s="11"/>
      <c r="P1692" s="14" t="s">
        <v>246</v>
      </c>
    </row>
    <row r="1693" customFormat="false" ht="15" hidden="false" customHeight="false" outlineLevel="0" collapsed="false">
      <c r="A1693" s="15" t="s">
        <v>247</v>
      </c>
      <c r="B1693" s="16" t="s">
        <v>248</v>
      </c>
      <c r="C1693" s="17"/>
      <c r="D1693" s="17"/>
      <c r="E1693" s="17"/>
      <c r="F1693" s="17"/>
      <c r="H1693" s="18" t="s">
        <v>970</v>
      </c>
      <c r="I1693" s="19"/>
      <c r="J1693" s="19"/>
      <c r="L1693" s="20" t="s">
        <v>428</v>
      </c>
      <c r="M1693" s="21"/>
      <c r="N1693" s="21"/>
      <c r="P1693" s="14" t="s">
        <v>429</v>
      </c>
    </row>
    <row r="1694" customFormat="false" ht="15" hidden="false" customHeight="false" outlineLevel="0" collapsed="false">
      <c r="B1694" s="3" t="s">
        <v>252</v>
      </c>
      <c r="C1694" s="3" t="s">
        <v>253</v>
      </c>
      <c r="D1694" s="3" t="s">
        <v>254</v>
      </c>
      <c r="E1694" s="3" t="s">
        <v>255</v>
      </c>
      <c r="F1694" s="3" t="s">
        <v>256</v>
      </c>
      <c r="H1694" s="22" t="s">
        <v>252</v>
      </c>
      <c r="I1694" s="22" t="s">
        <v>255</v>
      </c>
      <c r="J1694" s="22" t="s">
        <v>256</v>
      </c>
      <c r="L1694" s="23" t="s">
        <v>252</v>
      </c>
      <c r="M1694" s="23" t="s">
        <v>255</v>
      </c>
      <c r="N1694" s="23" t="s">
        <v>256</v>
      </c>
      <c r="P1694" s="14" t="s">
        <v>399</v>
      </c>
    </row>
    <row r="1695" customFormat="false" ht="15" hidden="false" customHeight="false" outlineLevel="0" collapsed="false">
      <c r="A1695" s="24" t="s">
        <v>258</v>
      </c>
      <c r="B1695" s="25" t="n">
        <v>5.75</v>
      </c>
      <c r="C1695" s="25" t="n">
        <v>30</v>
      </c>
      <c r="D1695" s="26" t="n">
        <v>3.68919</v>
      </c>
      <c r="E1695" s="27" t="n">
        <v>3.85</v>
      </c>
      <c r="F1695" s="28" t="n">
        <f aca="false">ROUND(B1695*E1695,2)</f>
        <v>22.14</v>
      </c>
      <c r="H1695" s="29" t="n">
        <v>5.75</v>
      </c>
      <c r="I1695" s="30" t="n">
        <v>3.85</v>
      </c>
      <c r="J1695" s="31" t="n">
        <f aca="false">ROUND(H1695*I1695,2)</f>
        <v>22.14</v>
      </c>
      <c r="L1695" s="53"/>
      <c r="M1695" s="53"/>
      <c r="N1695" s="53"/>
      <c r="P1695" s="35" t="s">
        <v>430</v>
      </c>
    </row>
    <row r="1696" customFormat="false" ht="15" hidden="false" customHeight="false" outlineLevel="0" collapsed="false">
      <c r="A1696" s="24" t="s">
        <v>260</v>
      </c>
      <c r="B1696" s="25" t="n">
        <v>5.75</v>
      </c>
      <c r="C1696" s="25" t="n">
        <v>30</v>
      </c>
      <c r="D1696" s="26" t="n">
        <v>1.31928</v>
      </c>
      <c r="E1696" s="27" t="n">
        <v>1.33</v>
      </c>
      <c r="F1696" s="28" t="n">
        <f aca="false">ROUND(B1696*E1696,2)</f>
        <v>7.65</v>
      </c>
      <c r="H1696" s="29" t="n">
        <v>5.75</v>
      </c>
      <c r="I1696" s="30" t="n">
        <v>1.33</v>
      </c>
      <c r="J1696" s="31" t="n">
        <f aca="false">ROUND(H1696*I1696,2)</f>
        <v>7.65</v>
      </c>
      <c r="L1696" s="53"/>
      <c r="M1696" s="53"/>
      <c r="N1696" s="53"/>
      <c r="P1696" s="43" t="s">
        <v>261</v>
      </c>
    </row>
    <row r="1697" customFormat="false" ht="15" hidden="false" customHeight="false" outlineLevel="0" collapsed="false">
      <c r="A1697" s="24" t="s">
        <v>262</v>
      </c>
      <c r="B1697" s="25" t="n">
        <v>0.727</v>
      </c>
      <c r="C1697" s="25" t="n">
        <v>30</v>
      </c>
      <c r="D1697" s="26" t="n">
        <v>0.111171</v>
      </c>
      <c r="E1697" s="27" t="n">
        <v>0.13788</v>
      </c>
      <c r="F1697" s="28" t="n">
        <f aca="false">ROUND(B1697*E1697,2)</f>
        <v>0.1</v>
      </c>
      <c r="H1697" s="29" t="n">
        <v>17.646</v>
      </c>
      <c r="I1697" s="30" t="n">
        <v>0.13788</v>
      </c>
      <c r="J1697" s="31" t="n">
        <f aca="false">ROUND(H1697*I1697,2)</f>
        <v>2.43</v>
      </c>
      <c r="L1697" s="53"/>
      <c r="M1697" s="53"/>
      <c r="N1697" s="53"/>
    </row>
    <row r="1698" customFormat="false" ht="15" hidden="false" customHeight="false" outlineLevel="0" collapsed="false">
      <c r="A1698" s="24" t="s">
        <v>264</v>
      </c>
      <c r="B1698" s="25" t="n">
        <v>0.221</v>
      </c>
      <c r="C1698" s="25" t="n">
        <v>30</v>
      </c>
      <c r="D1698" s="26" t="n">
        <v>0.111171</v>
      </c>
      <c r="E1698" s="27" t="n">
        <v>0.13788</v>
      </c>
      <c r="F1698" s="28" t="n">
        <f aca="false">ROUND(B1698*E1698,2)</f>
        <v>0.03</v>
      </c>
      <c r="H1698" s="29" t="n">
        <v>19.589</v>
      </c>
      <c r="I1698" s="30" t="n">
        <v>0.13788</v>
      </c>
      <c r="J1698" s="31" t="n">
        <f aca="false">ROUND(H1698*I1698,2)</f>
        <v>2.7</v>
      </c>
      <c r="L1698" s="53"/>
      <c r="M1698" s="53"/>
      <c r="N1698" s="53"/>
    </row>
    <row r="1699" customFormat="false" ht="15" hidden="false" customHeight="false" outlineLevel="0" collapsed="false">
      <c r="A1699" s="24" t="s">
        <v>265</v>
      </c>
      <c r="B1699" s="25" t="n">
        <v>0.122</v>
      </c>
      <c r="C1699" s="25" t="n">
        <v>30</v>
      </c>
      <c r="D1699" s="26" t="n">
        <v>0.111171</v>
      </c>
      <c r="E1699" s="27" t="n">
        <v>0.13788</v>
      </c>
      <c r="F1699" s="28" t="n">
        <f aca="false">ROUND(B1699*E1699,2)</f>
        <v>0.02</v>
      </c>
      <c r="H1699" s="29" t="n">
        <v>3.689</v>
      </c>
      <c r="I1699" s="30" t="n">
        <v>0.13788</v>
      </c>
      <c r="J1699" s="31" t="n">
        <f aca="false">ROUND(H1699*I1699,2)</f>
        <v>0.51</v>
      </c>
      <c r="L1699" s="53"/>
      <c r="M1699" s="53"/>
      <c r="N1699" s="53"/>
    </row>
    <row r="1700" customFormat="false" ht="15" hidden="false" customHeight="false" outlineLevel="0" collapsed="false">
      <c r="A1700" s="24" t="s">
        <v>266</v>
      </c>
      <c r="B1700" s="25" t="n">
        <v>1</v>
      </c>
      <c r="C1700" s="25" t="n">
        <v>30</v>
      </c>
      <c r="D1700" s="26" t="n">
        <v>0.7989</v>
      </c>
      <c r="E1700" s="27" t="n">
        <v>3</v>
      </c>
      <c r="F1700" s="28" t="n">
        <f aca="false">ROUND(B1700*E1700,2)</f>
        <v>3</v>
      </c>
      <c r="H1700" s="29" t="n">
        <v>1</v>
      </c>
      <c r="I1700" s="30" t="n">
        <v>3</v>
      </c>
      <c r="J1700" s="31" t="n">
        <f aca="false">ROUND(H1700*I1700,2)</f>
        <v>3</v>
      </c>
      <c r="L1700" s="53"/>
      <c r="M1700" s="53"/>
      <c r="N1700" s="53"/>
    </row>
    <row r="1701" customFormat="false" ht="15" hidden="false" customHeight="false" outlineLevel="0" collapsed="false">
      <c r="A1701" s="24" t="s">
        <v>267</v>
      </c>
      <c r="B1701" s="25" t="n">
        <v>30</v>
      </c>
      <c r="C1701" s="25" t="n">
        <v>30</v>
      </c>
      <c r="D1701" s="26" t="n">
        <v>0.5736</v>
      </c>
      <c r="E1701" s="27" t="n">
        <v>0.01274</v>
      </c>
      <c r="F1701" s="28" t="n">
        <f aca="false">ROUND(B1701*E1701,2)</f>
        <v>0.38</v>
      </c>
      <c r="H1701" s="29" t="n">
        <v>30</v>
      </c>
      <c r="I1701" s="30" t="n">
        <v>0.01274</v>
      </c>
      <c r="J1701" s="31" t="n">
        <f aca="false">ROUND(H1701*I1701,2)</f>
        <v>0.38</v>
      </c>
      <c r="L1701" s="53"/>
      <c r="M1701" s="53"/>
      <c r="N1701" s="53"/>
    </row>
    <row r="1702" customFormat="false" ht="15" hidden="false" customHeight="false" outlineLevel="0" collapsed="false">
      <c r="A1702" s="24" t="s">
        <v>268</v>
      </c>
      <c r="B1702" s="25" t="n">
        <v>1.54</v>
      </c>
      <c r="C1702" s="25" t="n">
        <v>30</v>
      </c>
      <c r="D1702" s="26" t="n">
        <v>0.02671</v>
      </c>
      <c r="E1702" s="27" t="n">
        <v>1</v>
      </c>
      <c r="F1702" s="28" t="n">
        <f aca="false">ROUND(B1702*E1702,2)</f>
        <v>1.54</v>
      </c>
      <c r="H1702" s="29" t="n">
        <v>1.82</v>
      </c>
      <c r="I1702" s="30" t="n">
        <v>1</v>
      </c>
      <c r="J1702" s="31" t="n">
        <f aca="false">ROUND(H1702*I1702,2)</f>
        <v>1.82</v>
      </c>
      <c r="L1702" s="53"/>
      <c r="M1702" s="53"/>
      <c r="N1702" s="53"/>
    </row>
    <row r="1703" customFormat="false" ht="15" hidden="false" customHeight="false" outlineLevel="0" collapsed="false">
      <c r="A1703" s="37" t="s">
        <v>269</v>
      </c>
      <c r="F1703" s="38" t="n">
        <f aca="false">ROUND((SUM(F1695:F1702)-F1702)*1.1+F1702,2)</f>
        <v>38.19</v>
      </c>
      <c r="J1703" s="39" t="n">
        <f aca="false">ROUND(SUM(J1695:J1702),2)</f>
        <v>40.63</v>
      </c>
      <c r="N1703" s="54"/>
    </row>
    <row r="1704" customFormat="false" ht="15" hidden="false" customHeight="false" outlineLevel="0" collapsed="false">
      <c r="A1704" s="15" t="s">
        <v>270</v>
      </c>
      <c r="B1704" s="41" t="n">
        <f aca="false">IF((F1697+F1695+F1699+F1696+F1698)=0,"",((F1697+F1695+F1699+F1696+F1698)-(B1697*D1697+B1695*D1695+B1699*D1699+B1696*D1696+B1698*D1698))/(F1697+F1695+F1699+F1696+F1698))</f>
        <v>0.0341464438877756</v>
      </c>
      <c r="D1704" s="42" t="str">
        <f aca="false">IF(B1704="","SIN PC",IF(B1704&gt;=Detalle!$G$1,"APROBAR",IF(B1704&gt;=0.2,"REVISAR","RECHAZAR")))</f>
        <v>RECHAZAR</v>
      </c>
      <c r="E1704" s="42"/>
      <c r="F1704" s="42"/>
    </row>
    <row r="1706" customFormat="false" ht="15" hidden="false" customHeight="false" outlineLevel="0" collapsed="false">
      <c r="A1706" s="11" t="s">
        <v>971</v>
      </c>
      <c r="B1706" s="11"/>
      <c r="C1706" s="11"/>
      <c r="D1706" s="11"/>
      <c r="E1706" s="11"/>
      <c r="F1706" s="11"/>
      <c r="H1706" s="11" t="s">
        <v>972</v>
      </c>
      <c r="I1706" s="11"/>
      <c r="J1706" s="11"/>
      <c r="K1706" s="11"/>
      <c r="L1706" s="11"/>
      <c r="M1706" s="11"/>
      <c r="N1706" s="11"/>
      <c r="P1706" s="14" t="s">
        <v>246</v>
      </c>
    </row>
    <row r="1707" customFormat="false" ht="15" hidden="false" customHeight="false" outlineLevel="0" collapsed="false">
      <c r="A1707" s="15" t="s">
        <v>247</v>
      </c>
      <c r="B1707" s="16" t="s">
        <v>248</v>
      </c>
      <c r="C1707" s="17"/>
      <c r="D1707" s="17"/>
      <c r="E1707" s="17"/>
      <c r="F1707" s="17"/>
      <c r="H1707" s="18" t="s">
        <v>973</v>
      </c>
      <c r="I1707" s="19"/>
      <c r="J1707" s="19"/>
      <c r="L1707" s="20" t="s">
        <v>428</v>
      </c>
      <c r="M1707" s="21"/>
      <c r="N1707" s="21"/>
      <c r="P1707" s="14" t="s">
        <v>950</v>
      </c>
    </row>
    <row r="1708" customFormat="false" ht="15" hidden="false" customHeight="false" outlineLevel="0" collapsed="false">
      <c r="B1708" s="3" t="s">
        <v>252</v>
      </c>
      <c r="C1708" s="3" t="s">
        <v>253</v>
      </c>
      <c r="D1708" s="3" t="s">
        <v>254</v>
      </c>
      <c r="E1708" s="3" t="s">
        <v>255</v>
      </c>
      <c r="F1708" s="3" t="s">
        <v>256</v>
      </c>
      <c r="H1708" s="22" t="s">
        <v>252</v>
      </c>
      <c r="I1708" s="22" t="s">
        <v>255</v>
      </c>
      <c r="J1708" s="22" t="s">
        <v>256</v>
      </c>
      <c r="L1708" s="23" t="s">
        <v>252</v>
      </c>
      <c r="M1708" s="23" t="s">
        <v>255</v>
      </c>
      <c r="N1708" s="23" t="s">
        <v>256</v>
      </c>
      <c r="P1708" s="14" t="s">
        <v>399</v>
      </c>
    </row>
    <row r="1709" customFormat="false" ht="15" hidden="false" customHeight="false" outlineLevel="0" collapsed="false">
      <c r="A1709" s="24" t="s">
        <v>258</v>
      </c>
      <c r="B1709" s="25" t="n">
        <v>3.3</v>
      </c>
      <c r="C1709" s="25" t="n">
        <v>30</v>
      </c>
      <c r="D1709" s="26" t="n">
        <v>3.4086</v>
      </c>
      <c r="E1709" s="27" t="n">
        <v>3.85</v>
      </c>
      <c r="F1709" s="28" t="n">
        <f aca="false">ROUND(B1709*E1709,2)</f>
        <v>12.71</v>
      </c>
      <c r="H1709" s="29" t="n">
        <v>3.3</v>
      </c>
      <c r="I1709" s="30" t="n">
        <v>3.85</v>
      </c>
      <c r="J1709" s="31" t="n">
        <f aca="false">ROUND(H1709*I1709,2)</f>
        <v>12.71</v>
      </c>
      <c r="L1709" s="53"/>
      <c r="M1709" s="53"/>
      <c r="N1709" s="53"/>
      <c r="P1709" s="35" t="s">
        <v>951</v>
      </c>
    </row>
    <row r="1710" customFormat="false" ht="15" hidden="false" customHeight="false" outlineLevel="0" collapsed="false">
      <c r="A1710" s="24" t="s">
        <v>260</v>
      </c>
      <c r="B1710" s="25" t="n">
        <v>3.3</v>
      </c>
      <c r="C1710" s="25" t="n">
        <v>30</v>
      </c>
      <c r="D1710" s="26" t="n">
        <v>1.20579</v>
      </c>
      <c r="E1710" s="27" t="n">
        <v>1.33</v>
      </c>
      <c r="F1710" s="28" t="n">
        <f aca="false">ROUND(B1710*E1710,2)</f>
        <v>4.39</v>
      </c>
      <c r="H1710" s="29" t="n">
        <v>3.3</v>
      </c>
      <c r="I1710" s="30" t="n">
        <v>1.33</v>
      </c>
      <c r="J1710" s="31" t="n">
        <f aca="false">ROUND(H1710*I1710,2)</f>
        <v>4.39</v>
      </c>
      <c r="L1710" s="53"/>
      <c r="M1710" s="53"/>
      <c r="N1710" s="53"/>
      <c r="P1710" s="43" t="s">
        <v>261</v>
      </c>
    </row>
    <row r="1711" customFormat="false" ht="15" hidden="false" customHeight="false" outlineLevel="0" collapsed="false">
      <c r="A1711" s="24" t="s">
        <v>262</v>
      </c>
      <c r="B1711" s="25" t="n">
        <v>46.116</v>
      </c>
      <c r="C1711" s="25" t="n">
        <v>30</v>
      </c>
      <c r="D1711" s="26" t="n">
        <v>0.108</v>
      </c>
      <c r="E1711" s="27" t="n">
        <v>0.13788</v>
      </c>
      <c r="F1711" s="28" t="n">
        <f aca="false">ROUND(B1711*E1711,2)</f>
        <v>6.36</v>
      </c>
      <c r="H1711" s="29" t="n">
        <v>31.827</v>
      </c>
      <c r="I1711" s="30" t="n">
        <v>0.13788</v>
      </c>
      <c r="J1711" s="31" t="n">
        <f aca="false">ROUND(H1711*I1711,2)</f>
        <v>4.39</v>
      </c>
      <c r="L1711" s="53"/>
      <c r="M1711" s="53"/>
      <c r="N1711" s="53"/>
    </row>
    <row r="1712" customFormat="false" ht="15" hidden="false" customHeight="false" outlineLevel="0" collapsed="false">
      <c r="A1712" s="24" t="s">
        <v>264</v>
      </c>
      <c r="B1712" s="25" t="n">
        <v>25.26</v>
      </c>
      <c r="C1712" s="25" t="n">
        <v>30</v>
      </c>
      <c r="D1712" s="26" t="n">
        <v>0.108</v>
      </c>
      <c r="E1712" s="27" t="n">
        <v>0.13788</v>
      </c>
      <c r="F1712" s="28" t="n">
        <f aca="false">ROUND(B1712*E1712,2)</f>
        <v>3.48</v>
      </c>
      <c r="H1712" s="29" t="n">
        <v>30.178</v>
      </c>
      <c r="I1712" s="30" t="n">
        <v>0.13788</v>
      </c>
      <c r="J1712" s="31" t="n">
        <f aca="false">ROUND(H1712*I1712,2)</f>
        <v>4.16</v>
      </c>
      <c r="L1712" s="53"/>
      <c r="M1712" s="53"/>
      <c r="N1712" s="53"/>
    </row>
    <row r="1713" customFormat="false" ht="15" hidden="false" customHeight="false" outlineLevel="0" collapsed="false">
      <c r="A1713" s="24" t="s">
        <v>265</v>
      </c>
      <c r="B1713" s="25" t="n">
        <v>40.53</v>
      </c>
      <c r="C1713" s="25" t="n">
        <v>30</v>
      </c>
      <c r="D1713" s="26" t="n">
        <v>0.108</v>
      </c>
      <c r="E1713" s="27" t="n">
        <v>0.13788</v>
      </c>
      <c r="F1713" s="28" t="n">
        <f aca="false">ROUND(B1713*E1713,2)</f>
        <v>5.59</v>
      </c>
      <c r="H1713" s="29" t="n">
        <v>28.651</v>
      </c>
      <c r="I1713" s="30" t="n">
        <v>0.13788</v>
      </c>
      <c r="J1713" s="31" t="n">
        <f aca="false">ROUND(H1713*I1713,2)</f>
        <v>3.95</v>
      </c>
      <c r="L1713" s="53"/>
      <c r="M1713" s="53"/>
      <c r="N1713" s="53"/>
    </row>
    <row r="1714" customFormat="false" ht="15" hidden="false" customHeight="false" outlineLevel="0" collapsed="false">
      <c r="A1714" s="24" t="s">
        <v>266</v>
      </c>
      <c r="B1714" s="25" t="n">
        <v>1</v>
      </c>
      <c r="C1714" s="25" t="n">
        <v>30</v>
      </c>
      <c r="D1714" s="26" t="n">
        <v>0.7989</v>
      </c>
      <c r="E1714" s="27" t="n">
        <v>3</v>
      </c>
      <c r="F1714" s="28" t="n">
        <f aca="false">ROUND(B1714*E1714,2)</f>
        <v>3</v>
      </c>
      <c r="H1714" s="29" t="n">
        <v>1</v>
      </c>
      <c r="I1714" s="30" t="n">
        <v>3</v>
      </c>
      <c r="J1714" s="31" t="n">
        <f aca="false">ROUND(H1714*I1714,2)</f>
        <v>3</v>
      </c>
      <c r="L1714" s="53"/>
      <c r="M1714" s="53"/>
      <c r="N1714" s="53"/>
    </row>
    <row r="1715" customFormat="false" ht="15" hidden="false" customHeight="false" outlineLevel="0" collapsed="false">
      <c r="A1715" s="24" t="s">
        <v>267</v>
      </c>
      <c r="B1715" s="25" t="n">
        <v>30</v>
      </c>
      <c r="C1715" s="25" t="n">
        <v>30</v>
      </c>
      <c r="D1715" s="26" t="n">
        <v>0.5736</v>
      </c>
      <c r="E1715" s="27" t="n">
        <v>0.01274</v>
      </c>
      <c r="F1715" s="28" t="n">
        <f aca="false">ROUND(B1715*E1715,2)</f>
        <v>0.38</v>
      </c>
      <c r="H1715" s="29" t="n">
        <v>30</v>
      </c>
      <c r="I1715" s="30" t="n">
        <v>0.01274</v>
      </c>
      <c r="J1715" s="31" t="n">
        <f aca="false">ROUND(H1715*I1715,2)</f>
        <v>0.38</v>
      </c>
      <c r="L1715" s="53"/>
      <c r="M1715" s="53"/>
      <c r="N1715" s="53"/>
    </row>
    <row r="1716" customFormat="false" ht="15" hidden="false" customHeight="false" outlineLevel="0" collapsed="false">
      <c r="A1716" s="24" t="s">
        <v>268</v>
      </c>
      <c r="B1716" s="25" t="n">
        <v>1.67</v>
      </c>
      <c r="C1716" s="25" t="n">
        <v>30</v>
      </c>
      <c r="D1716" s="26" t="n">
        <v>0.25248</v>
      </c>
      <c r="E1716" s="27" t="n">
        <v>1</v>
      </c>
      <c r="F1716" s="28" t="n">
        <f aca="false">ROUND(B1716*E1716,2)</f>
        <v>1.67</v>
      </c>
      <c r="H1716" s="29" t="n">
        <v>1.52</v>
      </c>
      <c r="I1716" s="30" t="n">
        <v>1</v>
      </c>
      <c r="J1716" s="31" t="n">
        <f aca="false">ROUND(H1716*I1716,2)</f>
        <v>1.52</v>
      </c>
      <c r="L1716" s="53"/>
      <c r="M1716" s="53"/>
      <c r="N1716" s="53"/>
    </row>
    <row r="1717" customFormat="false" ht="15" hidden="false" customHeight="false" outlineLevel="0" collapsed="false">
      <c r="A1717" s="37" t="s">
        <v>269</v>
      </c>
      <c r="F1717" s="38" t="n">
        <f aca="false">ROUND((SUM(F1709:F1716)-F1716)*1.1+F1716,2)</f>
        <v>41.17</v>
      </c>
      <c r="J1717" s="39" t="n">
        <f aca="false">ROUND(SUM(J1709:J1716),2)</f>
        <v>34.5</v>
      </c>
      <c r="N1717" s="54"/>
    </row>
    <row r="1718" customFormat="false" ht="15" hidden="false" customHeight="false" outlineLevel="0" collapsed="false">
      <c r="A1718" s="15" t="s">
        <v>270</v>
      </c>
      <c r="B1718" s="41" t="n">
        <f aca="false">IF((F1711+F1709+F1713+F1710+F1712)=0,"",((F1711+F1709+F1713+F1710+F1712)-(B1711*D1711+B1709*D1709+B1713*D1713+B1710*D1710+B1712*D1712))/(F1711+F1709+F1713+F1710+F1712))</f>
        <v>0.160364740239779</v>
      </c>
      <c r="D1718" s="42" t="str">
        <f aca="false">IF(B1718="","SIN PC",IF(B1718&gt;=Detalle!$G$1,"APROBAR",IF(B1718&gt;=0.2,"REVISAR","RECHAZAR")))</f>
        <v>RECHAZAR</v>
      </c>
      <c r="E1718" s="42"/>
      <c r="F1718" s="42"/>
    </row>
    <row r="1720" customFormat="false" ht="15" hidden="false" customHeight="false" outlineLevel="0" collapsed="false">
      <c r="A1720" s="11" t="s">
        <v>974</v>
      </c>
      <c r="B1720" s="11"/>
      <c r="C1720" s="11"/>
      <c r="D1720" s="11"/>
      <c r="E1720" s="11"/>
      <c r="F1720" s="11"/>
      <c r="H1720" s="11" t="s">
        <v>975</v>
      </c>
      <c r="I1720" s="11"/>
      <c r="J1720" s="11"/>
      <c r="K1720" s="11"/>
      <c r="L1720" s="11"/>
      <c r="M1720" s="11"/>
      <c r="N1720" s="11"/>
      <c r="P1720" s="14" t="s">
        <v>246</v>
      </c>
    </row>
    <row r="1721" customFormat="false" ht="15" hidden="false" customHeight="false" outlineLevel="0" collapsed="false">
      <c r="A1721" s="15" t="s">
        <v>247</v>
      </c>
      <c r="B1721" s="16" t="s">
        <v>248</v>
      </c>
      <c r="C1721" s="17"/>
      <c r="D1721" s="17"/>
      <c r="E1721" s="17"/>
      <c r="F1721" s="17"/>
      <c r="H1721" s="18" t="s">
        <v>976</v>
      </c>
      <c r="I1721" s="19"/>
      <c r="J1721" s="19"/>
      <c r="L1721" s="20" t="s">
        <v>428</v>
      </c>
      <c r="M1721" s="21"/>
      <c r="N1721" s="21"/>
      <c r="P1721" s="14" t="s">
        <v>937</v>
      </c>
    </row>
    <row r="1722" customFormat="false" ht="15" hidden="false" customHeight="false" outlineLevel="0" collapsed="false">
      <c r="B1722" s="3" t="s">
        <v>252</v>
      </c>
      <c r="C1722" s="3" t="s">
        <v>253</v>
      </c>
      <c r="D1722" s="3" t="s">
        <v>254</v>
      </c>
      <c r="E1722" s="3" t="s">
        <v>255</v>
      </c>
      <c r="F1722" s="3" t="s">
        <v>256</v>
      </c>
      <c r="H1722" s="22" t="s">
        <v>252</v>
      </c>
      <c r="I1722" s="22" t="s">
        <v>255</v>
      </c>
      <c r="J1722" s="22" t="s">
        <v>256</v>
      </c>
      <c r="L1722" s="23" t="s">
        <v>252</v>
      </c>
      <c r="M1722" s="23" t="s">
        <v>255</v>
      </c>
      <c r="N1722" s="23" t="s">
        <v>256</v>
      </c>
      <c r="P1722" s="14" t="s">
        <v>399</v>
      </c>
    </row>
    <row r="1723" customFormat="false" ht="15" hidden="false" customHeight="false" outlineLevel="0" collapsed="false">
      <c r="A1723" s="24" t="s">
        <v>258</v>
      </c>
      <c r="B1723" s="25" t="n">
        <v>9.2</v>
      </c>
      <c r="C1723" s="25" t="n">
        <v>30</v>
      </c>
      <c r="D1723" s="26" t="n">
        <v>3.68919</v>
      </c>
      <c r="E1723" s="27" t="n">
        <v>3.85</v>
      </c>
      <c r="F1723" s="28" t="n">
        <f aca="false">ROUND(B1723*E1723,2)</f>
        <v>35.42</v>
      </c>
      <c r="H1723" s="29" t="n">
        <v>9.2</v>
      </c>
      <c r="I1723" s="30" t="n">
        <v>3.85</v>
      </c>
      <c r="J1723" s="31" t="n">
        <f aca="false">ROUND(H1723*I1723,2)</f>
        <v>35.42</v>
      </c>
      <c r="L1723" s="53"/>
      <c r="M1723" s="53"/>
      <c r="N1723" s="53"/>
      <c r="P1723" s="35" t="s">
        <v>938</v>
      </c>
    </row>
    <row r="1724" customFormat="false" ht="15" hidden="false" customHeight="false" outlineLevel="0" collapsed="false">
      <c r="A1724" s="24" t="s">
        <v>260</v>
      </c>
      <c r="B1724" s="25" t="n">
        <v>9.2</v>
      </c>
      <c r="C1724" s="25" t="n">
        <v>30</v>
      </c>
      <c r="D1724" s="26" t="n">
        <v>1.31928</v>
      </c>
      <c r="E1724" s="27" t="n">
        <v>1.33</v>
      </c>
      <c r="F1724" s="28" t="n">
        <f aca="false">ROUND(B1724*E1724,2)</f>
        <v>12.24</v>
      </c>
      <c r="H1724" s="29" t="n">
        <v>9.2</v>
      </c>
      <c r="I1724" s="30" t="n">
        <v>1.33</v>
      </c>
      <c r="J1724" s="31" t="n">
        <f aca="false">ROUND(H1724*I1724,2)</f>
        <v>12.24</v>
      </c>
      <c r="L1724" s="53"/>
      <c r="M1724" s="53"/>
      <c r="N1724" s="53"/>
      <c r="P1724" s="43" t="s">
        <v>261</v>
      </c>
    </row>
    <row r="1725" customFormat="false" ht="15" hidden="false" customHeight="false" outlineLevel="0" collapsed="false">
      <c r="A1725" s="24" t="s">
        <v>262</v>
      </c>
      <c r="B1725" s="25" t="n">
        <v>204.787</v>
      </c>
      <c r="C1725" s="25" t="n">
        <v>30</v>
      </c>
      <c r="D1725" s="26" t="n">
        <v>0.111171</v>
      </c>
      <c r="E1725" s="27" t="n">
        <v>0.129</v>
      </c>
      <c r="F1725" s="28" t="n">
        <f aca="false">ROUND(B1725*E1725,2)</f>
        <v>26.42</v>
      </c>
      <c r="H1725" s="29" t="n">
        <v>318.188</v>
      </c>
      <c r="I1725" s="30" t="n">
        <v>0.13788</v>
      </c>
      <c r="J1725" s="31" t="n">
        <f aca="false">ROUND(H1725*I1725,2)</f>
        <v>43.87</v>
      </c>
      <c r="L1725" s="53"/>
      <c r="M1725" s="53"/>
      <c r="N1725" s="53"/>
    </row>
    <row r="1726" customFormat="false" ht="15" hidden="false" customHeight="false" outlineLevel="0" collapsed="false">
      <c r="A1726" s="24" t="s">
        <v>264</v>
      </c>
      <c r="B1726" s="25" t="n">
        <v>200.612</v>
      </c>
      <c r="C1726" s="25" t="n">
        <v>30</v>
      </c>
      <c r="D1726" s="26" t="n">
        <v>0.111171</v>
      </c>
      <c r="E1726" s="27" t="n">
        <v>0.129</v>
      </c>
      <c r="F1726" s="28" t="n">
        <f aca="false">ROUND(B1726*E1726,2)</f>
        <v>25.88</v>
      </c>
      <c r="H1726" s="29" t="n">
        <v>339.731</v>
      </c>
      <c r="I1726" s="30" t="n">
        <v>0.13788</v>
      </c>
      <c r="J1726" s="31" t="n">
        <f aca="false">ROUND(H1726*I1726,2)</f>
        <v>46.84</v>
      </c>
      <c r="L1726" s="53"/>
      <c r="M1726" s="53"/>
      <c r="N1726" s="53"/>
    </row>
    <row r="1727" customFormat="false" ht="15" hidden="false" customHeight="false" outlineLevel="0" collapsed="false">
      <c r="A1727" s="24" t="s">
        <v>265</v>
      </c>
      <c r="B1727" s="25" t="n">
        <v>1023.81</v>
      </c>
      <c r="C1727" s="25" t="n">
        <v>30</v>
      </c>
      <c r="D1727" s="26" t="n">
        <v>0.111171</v>
      </c>
      <c r="E1727" s="27" t="n">
        <v>0.129</v>
      </c>
      <c r="F1727" s="28" t="n">
        <f aca="false">ROUND(B1727*E1727,2)</f>
        <v>132.07</v>
      </c>
      <c r="H1727" s="29" t="n">
        <v>1049.76</v>
      </c>
      <c r="I1727" s="30" t="n">
        <v>0.13788</v>
      </c>
      <c r="J1727" s="31" t="n">
        <f aca="false">ROUND(H1727*I1727,2)</f>
        <v>144.74</v>
      </c>
      <c r="L1727" s="53"/>
      <c r="M1727" s="53"/>
      <c r="N1727" s="53"/>
    </row>
    <row r="1728" customFormat="false" ht="15" hidden="false" customHeight="false" outlineLevel="0" collapsed="false">
      <c r="A1728" s="24" t="s">
        <v>266</v>
      </c>
      <c r="B1728" s="25" t="n">
        <v>1</v>
      </c>
      <c r="C1728" s="25" t="n">
        <v>30</v>
      </c>
      <c r="D1728" s="26" t="n">
        <v>0.7989</v>
      </c>
      <c r="E1728" s="27" t="n">
        <v>3</v>
      </c>
      <c r="F1728" s="28" t="n">
        <f aca="false">ROUND(B1728*E1728,2)</f>
        <v>3</v>
      </c>
      <c r="H1728" s="29" t="n">
        <v>1</v>
      </c>
      <c r="I1728" s="30" t="n">
        <v>3</v>
      </c>
      <c r="J1728" s="31" t="n">
        <f aca="false">ROUND(H1728*I1728,2)</f>
        <v>3</v>
      </c>
      <c r="L1728" s="53"/>
      <c r="M1728" s="53"/>
      <c r="N1728" s="53"/>
    </row>
    <row r="1729" customFormat="false" ht="15" hidden="false" customHeight="false" outlineLevel="0" collapsed="false">
      <c r="A1729" s="24" t="s">
        <v>267</v>
      </c>
      <c r="B1729" s="25" t="n">
        <v>30</v>
      </c>
      <c r="C1729" s="25" t="n">
        <v>30</v>
      </c>
      <c r="D1729" s="26" t="n">
        <v>0.5736</v>
      </c>
      <c r="E1729" s="27" t="n">
        <v>0.01274</v>
      </c>
      <c r="F1729" s="28" t="n">
        <f aca="false">ROUND(B1729*E1729,2)</f>
        <v>0.38</v>
      </c>
      <c r="H1729" s="29" t="n">
        <v>30</v>
      </c>
      <c r="I1729" s="30" t="n">
        <v>0.01274</v>
      </c>
      <c r="J1729" s="31" t="n">
        <f aca="false">ROUND(H1729*I1729,2)</f>
        <v>0.38</v>
      </c>
      <c r="L1729" s="53"/>
      <c r="M1729" s="53"/>
      <c r="N1729" s="53"/>
    </row>
    <row r="1730" customFormat="false" ht="15" hidden="false" customHeight="false" outlineLevel="0" collapsed="false">
      <c r="A1730" s="24" t="s">
        <v>268</v>
      </c>
      <c r="B1730" s="25" t="n">
        <v>11.51</v>
      </c>
      <c r="C1730" s="25" t="n">
        <v>30</v>
      </c>
      <c r="D1730" s="26" t="n">
        <v>0.27312</v>
      </c>
      <c r="E1730" s="27" t="n">
        <v>1</v>
      </c>
      <c r="F1730" s="28" t="n">
        <f aca="false">ROUND(B1730*E1730,2)</f>
        <v>11.51</v>
      </c>
      <c r="H1730" s="29" t="n">
        <v>14.04</v>
      </c>
      <c r="I1730" s="30" t="n">
        <v>1</v>
      </c>
      <c r="J1730" s="31" t="n">
        <f aca="false">ROUND(H1730*I1730,2)</f>
        <v>14.04</v>
      </c>
      <c r="L1730" s="53"/>
      <c r="M1730" s="53"/>
      <c r="N1730" s="53"/>
    </row>
    <row r="1731" customFormat="false" ht="15" hidden="false" customHeight="false" outlineLevel="0" collapsed="false">
      <c r="A1731" s="37" t="s">
        <v>269</v>
      </c>
      <c r="F1731" s="38" t="n">
        <f aca="false">ROUND((SUM(F1723:F1730)-F1730)*1.1+F1730,2)</f>
        <v>270.46</v>
      </c>
      <c r="J1731" s="39" t="n">
        <f aca="false">ROUND(SUM(J1723:J1730),2)</f>
        <v>300.53</v>
      </c>
      <c r="N1731" s="54"/>
    </row>
    <row r="1732" customFormat="false" ht="15" hidden="false" customHeight="false" outlineLevel="0" collapsed="false">
      <c r="A1732" s="15" t="s">
        <v>270</v>
      </c>
      <c r="B1732" s="41" t="n">
        <f aca="false">IF((F1725+F1723+F1727+F1724+F1726)=0,"",((F1725+F1723+F1727+F1724+F1726)-(B1725*D1725+B1723*D1723+B1727*D1727+B1724*D1724+B1726*D1726))/(F1725+F1723+F1727+F1724+F1726))</f>
        <v>0.116646477873551</v>
      </c>
      <c r="D1732" s="42" t="str">
        <f aca="false">IF(B1732="","SIN PC",IF(B1732&gt;=Detalle!$G$1,"APROBAR",IF(B1732&gt;=0.2,"REVISAR","RECHAZAR")))</f>
        <v>RECHAZAR</v>
      </c>
      <c r="E1732" s="42"/>
      <c r="F1732" s="42"/>
    </row>
    <row r="1733" customFormat="false" ht="15" hidden="false" customHeight="false" outlineLevel="0" collapsed="false">
      <c r="A1733" s="44" t="s">
        <v>379</v>
      </c>
      <c r="B1733" s="44"/>
      <c r="C1733" s="44"/>
      <c r="D1733" s="44"/>
      <c r="E1733" s="44"/>
      <c r="F1733" s="44"/>
    </row>
    <row r="1734" customFormat="false" ht="15" hidden="false" customHeight="false" outlineLevel="0" collapsed="false">
      <c r="A1734" s="45" t="s">
        <v>247</v>
      </c>
      <c r="B1734" s="45" t="s">
        <v>380</v>
      </c>
      <c r="D1734" s="45" t="s">
        <v>381</v>
      </c>
      <c r="E1734" s="45" t="s">
        <v>382</v>
      </c>
      <c r="F1734" s="45" t="s">
        <v>256</v>
      </c>
    </row>
    <row r="1735" customFormat="false" ht="15" hidden="false" customHeight="false" outlineLevel="0" collapsed="false">
      <c r="A1735" s="46" t="s">
        <v>383</v>
      </c>
      <c r="B1735" s="47" t="n">
        <v>324</v>
      </c>
      <c r="C1735" s="48"/>
      <c r="D1735" s="26" t="n">
        <v>0.06</v>
      </c>
      <c r="E1735" s="48"/>
      <c r="F1735" s="49" t="n">
        <f aca="false">ROUND(B1735*D1735,2)</f>
        <v>19.44</v>
      </c>
    </row>
    <row r="1736" customFormat="false" ht="15" hidden="false" customHeight="false" outlineLevel="0" collapsed="false">
      <c r="A1736" s="46" t="s">
        <v>384</v>
      </c>
      <c r="B1736" s="48"/>
      <c r="C1736" s="48"/>
      <c r="D1736" s="48"/>
      <c r="E1736" s="50" t="n">
        <v>0.056</v>
      </c>
      <c r="F1736" s="49" t="n">
        <v>19.61</v>
      </c>
    </row>
    <row r="1737" customFormat="false" ht="15" hidden="false" customHeight="false" outlineLevel="0" collapsed="false">
      <c r="A1737" s="51" t="s">
        <v>385</v>
      </c>
      <c r="B1737" s="48"/>
      <c r="C1737" s="48"/>
      <c r="D1737" s="48"/>
      <c r="E1737" s="48"/>
      <c r="F1737" s="52" t="n">
        <f aca="false">F1735-F1736</f>
        <v>-0.169999999999998</v>
      </c>
    </row>
    <row r="1739" customFormat="false" ht="15" hidden="false" customHeight="false" outlineLevel="0" collapsed="false">
      <c r="A1739" s="11" t="s">
        <v>977</v>
      </c>
      <c r="B1739" s="11"/>
      <c r="C1739" s="11"/>
      <c r="D1739" s="11"/>
      <c r="E1739" s="11"/>
      <c r="F1739" s="11"/>
      <c r="H1739" s="11" t="s">
        <v>978</v>
      </c>
      <c r="I1739" s="11"/>
      <c r="J1739" s="11"/>
      <c r="K1739" s="11"/>
      <c r="L1739" s="11"/>
      <c r="M1739" s="11"/>
      <c r="N1739" s="11"/>
      <c r="P1739" s="14" t="s">
        <v>246</v>
      </c>
    </row>
    <row r="1740" customFormat="false" ht="15" hidden="false" customHeight="false" outlineLevel="0" collapsed="false">
      <c r="A1740" s="15" t="s">
        <v>247</v>
      </c>
      <c r="B1740" s="16" t="s">
        <v>248</v>
      </c>
      <c r="C1740" s="17"/>
      <c r="D1740" s="17"/>
      <c r="E1740" s="17"/>
      <c r="F1740" s="17"/>
      <c r="H1740" s="18" t="s">
        <v>979</v>
      </c>
      <c r="I1740" s="19"/>
      <c r="J1740" s="19"/>
      <c r="L1740" s="20" t="s">
        <v>428</v>
      </c>
      <c r="M1740" s="21"/>
      <c r="N1740" s="21"/>
      <c r="P1740" s="14" t="s">
        <v>429</v>
      </c>
    </row>
    <row r="1741" customFormat="false" ht="15" hidden="false" customHeight="false" outlineLevel="0" collapsed="false">
      <c r="B1741" s="3" t="s">
        <v>252</v>
      </c>
      <c r="C1741" s="3" t="s">
        <v>253</v>
      </c>
      <c r="D1741" s="3" t="s">
        <v>254</v>
      </c>
      <c r="E1741" s="3" t="s">
        <v>255</v>
      </c>
      <c r="F1741" s="3" t="s">
        <v>256</v>
      </c>
      <c r="H1741" s="22" t="s">
        <v>252</v>
      </c>
      <c r="I1741" s="22" t="s">
        <v>255</v>
      </c>
      <c r="J1741" s="22" t="s">
        <v>256</v>
      </c>
      <c r="L1741" s="23" t="s">
        <v>252</v>
      </c>
      <c r="M1741" s="23" t="s">
        <v>255</v>
      </c>
      <c r="N1741" s="23" t="s">
        <v>256</v>
      </c>
      <c r="P1741" s="14" t="s">
        <v>399</v>
      </c>
    </row>
    <row r="1742" customFormat="false" ht="15" hidden="false" customHeight="false" outlineLevel="0" collapsed="false">
      <c r="A1742" s="24" t="s">
        <v>258</v>
      </c>
      <c r="B1742" s="25" t="n">
        <v>5</v>
      </c>
      <c r="C1742" s="25" t="n">
        <v>30</v>
      </c>
      <c r="D1742" s="26" t="n">
        <v>3.68919</v>
      </c>
      <c r="E1742" s="27" t="n">
        <v>3.85</v>
      </c>
      <c r="F1742" s="28" t="n">
        <f aca="false">ROUND(B1742*E1742,2)</f>
        <v>19.25</v>
      </c>
      <c r="H1742" s="29" t="n">
        <v>5</v>
      </c>
      <c r="I1742" s="30" t="n">
        <v>3.85</v>
      </c>
      <c r="J1742" s="31" t="n">
        <f aca="false">ROUND(H1742*I1742,2)</f>
        <v>19.25</v>
      </c>
      <c r="L1742" s="53"/>
      <c r="M1742" s="53"/>
      <c r="N1742" s="53"/>
      <c r="P1742" s="35" t="s">
        <v>430</v>
      </c>
    </row>
    <row r="1743" customFormat="false" ht="15" hidden="false" customHeight="false" outlineLevel="0" collapsed="false">
      <c r="A1743" s="24" t="s">
        <v>260</v>
      </c>
      <c r="B1743" s="25" t="n">
        <v>5</v>
      </c>
      <c r="C1743" s="25" t="n">
        <v>30</v>
      </c>
      <c r="D1743" s="26" t="n">
        <v>1.31928</v>
      </c>
      <c r="E1743" s="27" t="n">
        <v>1.33</v>
      </c>
      <c r="F1743" s="28" t="n">
        <f aca="false">ROUND(B1743*E1743,2)</f>
        <v>6.65</v>
      </c>
      <c r="H1743" s="29" t="n">
        <v>5</v>
      </c>
      <c r="I1743" s="30" t="n">
        <v>1.33</v>
      </c>
      <c r="J1743" s="31" t="n">
        <f aca="false">ROUND(H1743*I1743,2)</f>
        <v>6.65</v>
      </c>
      <c r="L1743" s="53"/>
      <c r="M1743" s="53"/>
      <c r="N1743" s="53"/>
      <c r="P1743" s="43" t="s">
        <v>261</v>
      </c>
    </row>
    <row r="1744" customFormat="false" ht="15" hidden="false" customHeight="false" outlineLevel="0" collapsed="false">
      <c r="A1744" s="24" t="s">
        <v>262</v>
      </c>
      <c r="B1744" s="25" t="n">
        <v>73.135</v>
      </c>
      <c r="C1744" s="25" t="n">
        <v>30</v>
      </c>
      <c r="D1744" s="26" t="n">
        <v>0.111171</v>
      </c>
      <c r="E1744" s="27" t="n">
        <v>0.13788</v>
      </c>
      <c r="F1744" s="28" t="n">
        <f aca="false">ROUND(B1744*E1744,2)</f>
        <v>10.08</v>
      </c>
      <c r="H1744" s="29" t="n">
        <v>100.986</v>
      </c>
      <c r="I1744" s="30" t="n">
        <v>0.119</v>
      </c>
      <c r="J1744" s="31" t="n">
        <f aca="false">ROUND(H1744*I1744,2)</f>
        <v>12.02</v>
      </c>
      <c r="L1744" s="53"/>
      <c r="M1744" s="53"/>
      <c r="N1744" s="53"/>
    </row>
    <row r="1745" customFormat="false" ht="15" hidden="false" customHeight="false" outlineLevel="0" collapsed="false">
      <c r="A1745" s="24" t="s">
        <v>264</v>
      </c>
      <c r="B1745" s="25" t="n">
        <v>70.274</v>
      </c>
      <c r="C1745" s="25" t="n">
        <v>30</v>
      </c>
      <c r="D1745" s="26" t="n">
        <v>0.111171</v>
      </c>
      <c r="E1745" s="27" t="n">
        <v>0.13788</v>
      </c>
      <c r="F1745" s="28" t="n">
        <f aca="false">ROUND(B1745*E1745,2)</f>
        <v>9.69</v>
      </c>
      <c r="H1745" s="29" t="n">
        <v>84.974</v>
      </c>
      <c r="I1745" s="30" t="n">
        <v>0.119</v>
      </c>
      <c r="J1745" s="31" t="n">
        <f aca="false">ROUND(H1745*I1745,2)</f>
        <v>10.11</v>
      </c>
      <c r="L1745" s="53"/>
      <c r="M1745" s="53"/>
      <c r="N1745" s="53"/>
    </row>
    <row r="1746" customFormat="false" ht="15" hidden="false" customHeight="false" outlineLevel="0" collapsed="false">
      <c r="A1746" s="24" t="s">
        <v>265</v>
      </c>
      <c r="B1746" s="25" t="n">
        <v>263.534</v>
      </c>
      <c r="C1746" s="25" t="n">
        <v>30</v>
      </c>
      <c r="D1746" s="26" t="n">
        <v>0.111171</v>
      </c>
      <c r="E1746" s="27" t="n">
        <v>0.13788</v>
      </c>
      <c r="F1746" s="28" t="n">
        <f aca="false">ROUND(B1746*E1746,2)</f>
        <v>36.34</v>
      </c>
      <c r="H1746" s="29" t="n">
        <v>502.991</v>
      </c>
      <c r="I1746" s="30" t="n">
        <v>0.119</v>
      </c>
      <c r="J1746" s="31" t="n">
        <f aca="false">ROUND(H1746*I1746,2)</f>
        <v>59.86</v>
      </c>
      <c r="L1746" s="53"/>
      <c r="M1746" s="53"/>
      <c r="N1746" s="53"/>
    </row>
    <row r="1747" customFormat="false" ht="15" hidden="false" customHeight="false" outlineLevel="0" collapsed="false">
      <c r="A1747" s="24" t="s">
        <v>266</v>
      </c>
      <c r="B1747" s="25" t="n">
        <v>1</v>
      </c>
      <c r="C1747" s="25" t="n">
        <v>30</v>
      </c>
      <c r="D1747" s="26" t="n">
        <v>0.7989</v>
      </c>
      <c r="E1747" s="27" t="n">
        <v>3</v>
      </c>
      <c r="F1747" s="28" t="n">
        <f aca="false">ROUND(B1747*E1747,2)</f>
        <v>3</v>
      </c>
      <c r="H1747" s="29" t="n">
        <v>1</v>
      </c>
      <c r="I1747" s="30" t="n">
        <v>3</v>
      </c>
      <c r="J1747" s="31" t="n">
        <f aca="false">ROUND(H1747*I1747,2)</f>
        <v>3</v>
      </c>
      <c r="L1747" s="53"/>
      <c r="M1747" s="53"/>
      <c r="N1747" s="53"/>
    </row>
    <row r="1748" customFormat="false" ht="15" hidden="false" customHeight="false" outlineLevel="0" collapsed="false">
      <c r="A1748" s="24" t="s">
        <v>267</v>
      </c>
      <c r="B1748" s="25" t="n">
        <v>30</v>
      </c>
      <c r="C1748" s="25" t="n">
        <v>30</v>
      </c>
      <c r="D1748" s="26" t="n">
        <v>0.5736</v>
      </c>
      <c r="E1748" s="27" t="n">
        <v>0.01274</v>
      </c>
      <c r="F1748" s="28" t="n">
        <f aca="false">ROUND(B1748*E1748,2)</f>
        <v>0.38</v>
      </c>
      <c r="H1748" s="29" t="n">
        <v>30</v>
      </c>
      <c r="I1748" s="30" t="n">
        <v>0.01274</v>
      </c>
      <c r="J1748" s="31" t="n">
        <f aca="false">ROUND(H1748*I1748,2)</f>
        <v>0.38</v>
      </c>
      <c r="L1748" s="53"/>
      <c r="M1748" s="53"/>
      <c r="N1748" s="53"/>
    </row>
    <row r="1749" customFormat="false" ht="15" hidden="false" customHeight="false" outlineLevel="0" collapsed="false">
      <c r="A1749" s="24" t="s">
        <v>268</v>
      </c>
      <c r="B1749" s="25" t="n">
        <v>4.2</v>
      </c>
      <c r="C1749" s="25" t="n">
        <v>30</v>
      </c>
      <c r="D1749" s="26" t="n">
        <v>0.27312</v>
      </c>
      <c r="E1749" s="27" t="n">
        <v>1</v>
      </c>
      <c r="F1749" s="28" t="n">
        <f aca="false">ROUND(B1749*E1749,2)</f>
        <v>4.2</v>
      </c>
      <c r="H1749" s="29" t="n">
        <v>6</v>
      </c>
      <c r="I1749" s="30" t="n">
        <v>1</v>
      </c>
      <c r="J1749" s="31" t="n">
        <f aca="false">ROUND(H1749*I1749,2)</f>
        <v>6</v>
      </c>
      <c r="L1749" s="53"/>
      <c r="M1749" s="53"/>
      <c r="N1749" s="53"/>
    </row>
    <row r="1750" customFormat="false" ht="15" hidden="false" customHeight="false" outlineLevel="0" collapsed="false">
      <c r="A1750" s="37" t="s">
        <v>269</v>
      </c>
      <c r="F1750" s="38" t="n">
        <f aca="false">ROUND((SUM(F1742:F1749)-F1749)*1.1+F1749,2)</f>
        <v>98.13</v>
      </c>
      <c r="J1750" s="39" t="n">
        <f aca="false">ROUND(SUM(J1742:J1749),2)</f>
        <v>117.27</v>
      </c>
      <c r="N1750" s="54"/>
    </row>
    <row r="1751" customFormat="false" ht="15" hidden="false" customHeight="false" outlineLevel="0" collapsed="false">
      <c r="A1751" s="15" t="s">
        <v>270</v>
      </c>
      <c r="B1751" s="41" t="n">
        <f aca="false">IF((F1744+F1742+F1746+F1743+F1745)=0,"",((F1744+F1742+F1746+F1743+F1745)-(B1744*D1744+B1742*D1742+B1746*D1746+B1743*D1743+B1745*D1745))/(F1744+F1742+F1746+F1743+F1745))</f>
        <v>0.142999509169614</v>
      </c>
      <c r="D1751" s="42" t="str">
        <f aca="false">IF(B1751="","SIN PC",IF(B1751&gt;=Detalle!$G$1,"APROBAR",IF(B1751&gt;=0.2,"REVISAR","RECHAZAR")))</f>
        <v>RECHAZAR</v>
      </c>
      <c r="E1751" s="42"/>
      <c r="F1751" s="42"/>
    </row>
    <row r="1753" customFormat="false" ht="15" hidden="false" customHeight="false" outlineLevel="0" collapsed="false">
      <c r="A1753" s="11" t="s">
        <v>980</v>
      </c>
      <c r="B1753" s="11"/>
      <c r="C1753" s="11"/>
      <c r="D1753" s="11"/>
      <c r="E1753" s="11"/>
      <c r="F1753" s="11"/>
      <c r="H1753" s="11" t="s">
        <v>981</v>
      </c>
      <c r="I1753" s="11"/>
      <c r="J1753" s="11"/>
      <c r="K1753" s="11"/>
      <c r="L1753" s="11"/>
      <c r="M1753" s="11"/>
      <c r="N1753" s="11"/>
      <c r="P1753" s="14" t="s">
        <v>246</v>
      </c>
    </row>
    <row r="1754" customFormat="false" ht="15" hidden="false" customHeight="false" outlineLevel="0" collapsed="false">
      <c r="A1754" s="15" t="s">
        <v>247</v>
      </c>
      <c r="B1754" s="16" t="s">
        <v>248</v>
      </c>
      <c r="C1754" s="17"/>
      <c r="D1754" s="17"/>
      <c r="E1754" s="17"/>
      <c r="F1754" s="17"/>
      <c r="H1754" s="18" t="s">
        <v>982</v>
      </c>
      <c r="I1754" s="19"/>
      <c r="J1754" s="19"/>
      <c r="L1754" s="20" t="s">
        <v>428</v>
      </c>
      <c r="M1754" s="21"/>
      <c r="N1754" s="21"/>
      <c r="P1754" s="14" t="s">
        <v>429</v>
      </c>
    </row>
    <row r="1755" customFormat="false" ht="15" hidden="false" customHeight="false" outlineLevel="0" collapsed="false">
      <c r="B1755" s="3" t="s">
        <v>252</v>
      </c>
      <c r="C1755" s="3" t="s">
        <v>253</v>
      </c>
      <c r="D1755" s="3" t="s">
        <v>254</v>
      </c>
      <c r="E1755" s="3" t="s">
        <v>255</v>
      </c>
      <c r="F1755" s="3" t="s">
        <v>256</v>
      </c>
      <c r="H1755" s="22" t="s">
        <v>252</v>
      </c>
      <c r="I1755" s="22" t="s">
        <v>255</v>
      </c>
      <c r="J1755" s="22" t="s">
        <v>256</v>
      </c>
      <c r="L1755" s="23" t="s">
        <v>252</v>
      </c>
      <c r="M1755" s="23" t="s">
        <v>255</v>
      </c>
      <c r="N1755" s="23" t="s">
        <v>256</v>
      </c>
      <c r="P1755" s="14" t="s">
        <v>399</v>
      </c>
    </row>
    <row r="1756" customFormat="false" ht="15" hidden="false" customHeight="false" outlineLevel="0" collapsed="false">
      <c r="A1756" s="24" t="s">
        <v>258</v>
      </c>
      <c r="B1756" s="25" t="n">
        <v>9.2</v>
      </c>
      <c r="C1756" s="25" t="n">
        <v>30</v>
      </c>
      <c r="D1756" s="26" t="n">
        <v>3.68919</v>
      </c>
      <c r="E1756" s="27" t="n">
        <v>3.85</v>
      </c>
      <c r="F1756" s="28" t="n">
        <f aca="false">ROUND(B1756*E1756,2)</f>
        <v>35.42</v>
      </c>
      <c r="H1756" s="29" t="n">
        <v>9.2</v>
      </c>
      <c r="I1756" s="30" t="n">
        <v>3.85</v>
      </c>
      <c r="J1756" s="31" t="n">
        <f aca="false">ROUND(H1756*I1756,2)</f>
        <v>35.42</v>
      </c>
      <c r="L1756" s="53"/>
      <c r="M1756" s="53"/>
      <c r="N1756" s="53"/>
      <c r="P1756" s="35" t="s">
        <v>430</v>
      </c>
    </row>
    <row r="1757" customFormat="false" ht="15" hidden="false" customHeight="false" outlineLevel="0" collapsed="false">
      <c r="A1757" s="24" t="s">
        <v>260</v>
      </c>
      <c r="B1757" s="25" t="n">
        <v>9.2</v>
      </c>
      <c r="C1757" s="25" t="n">
        <v>30</v>
      </c>
      <c r="D1757" s="26" t="n">
        <v>1.31928</v>
      </c>
      <c r="E1757" s="27" t="n">
        <v>1.33</v>
      </c>
      <c r="F1757" s="28" t="n">
        <f aca="false">ROUND(B1757*E1757,2)</f>
        <v>12.24</v>
      </c>
      <c r="H1757" s="29" t="n">
        <v>9.2</v>
      </c>
      <c r="I1757" s="30" t="n">
        <v>1.33</v>
      </c>
      <c r="J1757" s="31" t="n">
        <f aca="false">ROUND(H1757*I1757,2)</f>
        <v>12.24</v>
      </c>
      <c r="L1757" s="53"/>
      <c r="M1757" s="53"/>
      <c r="N1757" s="53"/>
      <c r="P1757" s="43" t="s">
        <v>261</v>
      </c>
    </row>
    <row r="1758" customFormat="false" ht="15" hidden="false" customHeight="false" outlineLevel="0" collapsed="false">
      <c r="A1758" s="24" t="s">
        <v>262</v>
      </c>
      <c r="B1758" s="25" t="n">
        <v>118.653</v>
      </c>
      <c r="C1758" s="25" t="n">
        <v>30</v>
      </c>
      <c r="D1758" s="26" t="n">
        <v>0.111171</v>
      </c>
      <c r="E1758" s="27" t="n">
        <v>0.13788</v>
      </c>
      <c r="F1758" s="28" t="n">
        <f aca="false">ROUND(B1758*E1758,2)</f>
        <v>16.36</v>
      </c>
      <c r="H1758" s="29" t="n">
        <v>204.067</v>
      </c>
      <c r="I1758" s="30" t="n">
        <v>0.13788</v>
      </c>
      <c r="J1758" s="31" t="n">
        <f aca="false">ROUND(H1758*I1758,2)</f>
        <v>28.14</v>
      </c>
      <c r="L1758" s="53"/>
      <c r="M1758" s="53"/>
      <c r="N1758" s="53"/>
    </row>
    <row r="1759" customFormat="false" ht="15" hidden="false" customHeight="false" outlineLevel="0" collapsed="false">
      <c r="A1759" s="24" t="s">
        <v>264</v>
      </c>
      <c r="B1759" s="25" t="n">
        <v>153.269</v>
      </c>
      <c r="C1759" s="25" t="n">
        <v>30</v>
      </c>
      <c r="D1759" s="26" t="n">
        <v>0.111171</v>
      </c>
      <c r="E1759" s="27" t="n">
        <v>0.13788</v>
      </c>
      <c r="F1759" s="28" t="n">
        <f aca="false">ROUND(B1759*E1759,2)</f>
        <v>21.13</v>
      </c>
      <c r="H1759" s="29" t="n">
        <v>233.594</v>
      </c>
      <c r="I1759" s="30" t="n">
        <v>0.13788</v>
      </c>
      <c r="J1759" s="31" t="n">
        <f aca="false">ROUND(H1759*I1759,2)</f>
        <v>32.21</v>
      </c>
      <c r="L1759" s="53"/>
      <c r="M1759" s="53"/>
      <c r="N1759" s="53"/>
    </row>
    <row r="1760" customFormat="false" ht="15" hidden="false" customHeight="false" outlineLevel="0" collapsed="false">
      <c r="A1760" s="24" t="s">
        <v>265</v>
      </c>
      <c r="B1760" s="25" t="n">
        <v>339.843</v>
      </c>
      <c r="C1760" s="25" t="n">
        <v>30</v>
      </c>
      <c r="D1760" s="26" t="n">
        <v>0.111171</v>
      </c>
      <c r="E1760" s="27" t="n">
        <v>0.13788</v>
      </c>
      <c r="F1760" s="28" t="n">
        <f aca="false">ROUND(B1760*E1760,2)</f>
        <v>46.86</v>
      </c>
      <c r="H1760" s="29" t="n">
        <v>314.405</v>
      </c>
      <c r="I1760" s="30" t="n">
        <v>0.13788</v>
      </c>
      <c r="J1760" s="31" t="n">
        <f aca="false">ROUND(H1760*I1760,2)</f>
        <v>43.35</v>
      </c>
      <c r="L1760" s="53"/>
      <c r="M1760" s="53"/>
      <c r="N1760" s="53"/>
    </row>
    <row r="1761" customFormat="false" ht="15" hidden="false" customHeight="false" outlineLevel="0" collapsed="false">
      <c r="A1761" s="24" t="s">
        <v>266</v>
      </c>
      <c r="B1761" s="25" t="n">
        <v>1</v>
      </c>
      <c r="C1761" s="25" t="n">
        <v>30</v>
      </c>
      <c r="D1761" s="26" t="n">
        <v>0.7989</v>
      </c>
      <c r="E1761" s="27" t="n">
        <v>3</v>
      </c>
      <c r="F1761" s="28" t="n">
        <f aca="false">ROUND(B1761*E1761,2)</f>
        <v>3</v>
      </c>
      <c r="H1761" s="29" t="n">
        <v>1</v>
      </c>
      <c r="I1761" s="30" t="n">
        <v>3</v>
      </c>
      <c r="J1761" s="31" t="n">
        <f aca="false">ROUND(H1761*I1761,2)</f>
        <v>3</v>
      </c>
      <c r="L1761" s="53"/>
      <c r="M1761" s="53"/>
      <c r="N1761" s="53"/>
    </row>
    <row r="1762" customFormat="false" ht="15" hidden="false" customHeight="false" outlineLevel="0" collapsed="false">
      <c r="A1762" s="24" t="s">
        <v>267</v>
      </c>
      <c r="B1762" s="25" t="n">
        <v>30</v>
      </c>
      <c r="C1762" s="25" t="n">
        <v>30</v>
      </c>
      <c r="D1762" s="26" t="n">
        <v>0.5736</v>
      </c>
      <c r="E1762" s="27" t="n">
        <v>0.01274</v>
      </c>
      <c r="F1762" s="28" t="n">
        <f aca="false">ROUND(B1762*E1762,2)</f>
        <v>0.38</v>
      </c>
      <c r="H1762" s="29" t="n">
        <v>30</v>
      </c>
      <c r="I1762" s="30" t="n">
        <v>0.01274</v>
      </c>
      <c r="J1762" s="31" t="n">
        <f aca="false">ROUND(H1762*I1762,2)</f>
        <v>0.38</v>
      </c>
      <c r="L1762" s="53"/>
      <c r="M1762" s="53"/>
      <c r="N1762" s="53"/>
    </row>
    <row r="1763" customFormat="false" ht="15" hidden="false" customHeight="false" outlineLevel="0" collapsed="false">
      <c r="A1763" s="24" t="s">
        <v>268</v>
      </c>
      <c r="B1763" s="25" t="n">
        <v>6.76</v>
      </c>
      <c r="C1763" s="25" t="n">
        <v>30</v>
      </c>
      <c r="D1763" s="26" t="n">
        <v>0.27312</v>
      </c>
      <c r="E1763" s="27" t="n">
        <v>1</v>
      </c>
      <c r="F1763" s="28" t="n">
        <f aca="false">ROUND(B1763*E1763,2)</f>
        <v>6.76</v>
      </c>
      <c r="H1763" s="29" t="n">
        <v>7.74</v>
      </c>
      <c r="I1763" s="30" t="n">
        <v>1</v>
      </c>
      <c r="J1763" s="31" t="n">
        <f aca="false">ROUND(H1763*I1763,2)</f>
        <v>7.74</v>
      </c>
      <c r="L1763" s="53"/>
      <c r="M1763" s="53"/>
      <c r="N1763" s="53"/>
    </row>
    <row r="1764" customFormat="false" ht="15" hidden="false" customHeight="false" outlineLevel="0" collapsed="false">
      <c r="A1764" s="37" t="s">
        <v>269</v>
      </c>
      <c r="F1764" s="38" t="n">
        <f aca="false">ROUND((SUM(F1756:F1763)-F1763)*1.1+F1763,2)</f>
        <v>155.69</v>
      </c>
      <c r="J1764" s="39" t="n">
        <f aca="false">ROUND(SUM(J1756:J1763),2)</f>
        <v>162.48</v>
      </c>
      <c r="N1764" s="54"/>
    </row>
    <row r="1765" customFormat="false" ht="15" hidden="false" customHeight="false" outlineLevel="0" collapsed="false">
      <c r="A1765" s="15" t="s">
        <v>270</v>
      </c>
      <c r="B1765" s="41" t="n">
        <f aca="false">IF((F1758+F1756+F1760+F1757+F1759)=0,"",((F1758+F1756+F1760+F1757+F1759)-(B1758*D1758+B1756*D1756+B1760*D1760+B1757*D1757+B1759*D1759))/(F1758+F1756+F1760+F1757+F1759))</f>
        <v>0.135759027232785</v>
      </c>
      <c r="D1765" s="42" t="str">
        <f aca="false">IF(B1765="","SIN PC",IF(B1765&gt;=Detalle!$G$1,"APROBAR",IF(B1765&gt;=0.2,"REVISAR","RECHAZAR")))</f>
        <v>RECHAZAR</v>
      </c>
      <c r="E1765" s="42"/>
      <c r="F1765" s="42"/>
    </row>
    <row r="1767" customFormat="false" ht="15" hidden="false" customHeight="false" outlineLevel="0" collapsed="false">
      <c r="A1767" s="11" t="s">
        <v>983</v>
      </c>
      <c r="B1767" s="11"/>
      <c r="C1767" s="11"/>
      <c r="D1767" s="11"/>
      <c r="E1767" s="11"/>
      <c r="F1767" s="11"/>
      <c r="H1767" s="11" t="s">
        <v>984</v>
      </c>
      <c r="I1767" s="11"/>
      <c r="J1767" s="11"/>
      <c r="K1767" s="11"/>
      <c r="L1767" s="11"/>
      <c r="M1767" s="11"/>
      <c r="N1767" s="11"/>
      <c r="P1767" s="14" t="s">
        <v>246</v>
      </c>
    </row>
    <row r="1768" customFormat="false" ht="15" hidden="false" customHeight="false" outlineLevel="0" collapsed="false">
      <c r="A1768" s="15" t="s">
        <v>247</v>
      </c>
      <c r="B1768" s="16" t="s">
        <v>248</v>
      </c>
      <c r="C1768" s="17"/>
      <c r="D1768" s="17"/>
      <c r="E1768" s="17"/>
      <c r="F1768" s="17"/>
      <c r="H1768" s="18" t="s">
        <v>985</v>
      </c>
      <c r="I1768" s="19"/>
      <c r="J1768" s="19"/>
      <c r="L1768" s="20" t="s">
        <v>428</v>
      </c>
      <c r="M1768" s="21"/>
      <c r="N1768" s="21"/>
      <c r="P1768" s="14" t="s">
        <v>937</v>
      </c>
    </row>
    <row r="1769" customFormat="false" ht="15" hidden="false" customHeight="false" outlineLevel="0" collapsed="false">
      <c r="B1769" s="3" t="s">
        <v>252</v>
      </c>
      <c r="C1769" s="3" t="s">
        <v>253</v>
      </c>
      <c r="D1769" s="3" t="s">
        <v>254</v>
      </c>
      <c r="E1769" s="3" t="s">
        <v>255</v>
      </c>
      <c r="F1769" s="3" t="s">
        <v>256</v>
      </c>
      <c r="H1769" s="22" t="s">
        <v>252</v>
      </c>
      <c r="I1769" s="22" t="s">
        <v>255</v>
      </c>
      <c r="J1769" s="22" t="s">
        <v>256</v>
      </c>
      <c r="L1769" s="23" t="s">
        <v>252</v>
      </c>
      <c r="M1769" s="23" t="s">
        <v>255</v>
      </c>
      <c r="N1769" s="23" t="s">
        <v>256</v>
      </c>
      <c r="P1769" s="14" t="s">
        <v>399</v>
      </c>
    </row>
    <row r="1770" customFormat="false" ht="15" hidden="false" customHeight="false" outlineLevel="0" collapsed="false">
      <c r="A1770" s="24" t="s">
        <v>258</v>
      </c>
      <c r="B1770" s="25" t="n">
        <v>5.5</v>
      </c>
      <c r="C1770" s="25" t="n">
        <v>30</v>
      </c>
      <c r="D1770" s="26" t="n">
        <v>3.68919</v>
      </c>
      <c r="E1770" s="27" t="n">
        <v>3.85</v>
      </c>
      <c r="F1770" s="28" t="n">
        <f aca="false">ROUND(B1770*E1770,2)</f>
        <v>21.18</v>
      </c>
      <c r="H1770" s="29" t="n">
        <v>5.5</v>
      </c>
      <c r="I1770" s="30" t="n">
        <v>3.85</v>
      </c>
      <c r="J1770" s="31" t="n">
        <f aca="false">ROUND(H1770*I1770,2)</f>
        <v>21.18</v>
      </c>
      <c r="L1770" s="53"/>
      <c r="M1770" s="53"/>
      <c r="N1770" s="53"/>
      <c r="P1770" s="35" t="s">
        <v>938</v>
      </c>
    </row>
    <row r="1771" customFormat="false" ht="15" hidden="false" customHeight="false" outlineLevel="0" collapsed="false">
      <c r="A1771" s="24" t="s">
        <v>260</v>
      </c>
      <c r="B1771" s="25" t="n">
        <v>5.5</v>
      </c>
      <c r="C1771" s="25" t="n">
        <v>30</v>
      </c>
      <c r="D1771" s="26" t="n">
        <v>1.31928</v>
      </c>
      <c r="E1771" s="27" t="n">
        <v>1.33</v>
      </c>
      <c r="F1771" s="28" t="n">
        <f aca="false">ROUND(B1771*E1771,2)</f>
        <v>7.32</v>
      </c>
      <c r="H1771" s="29" t="n">
        <v>5.5</v>
      </c>
      <c r="I1771" s="30" t="n">
        <v>1.33</v>
      </c>
      <c r="J1771" s="31" t="n">
        <f aca="false">ROUND(H1771*I1771,2)</f>
        <v>7.32</v>
      </c>
      <c r="L1771" s="53"/>
      <c r="M1771" s="53"/>
      <c r="N1771" s="53"/>
      <c r="P1771" s="43" t="s">
        <v>261</v>
      </c>
    </row>
    <row r="1772" customFormat="false" ht="15" hidden="false" customHeight="false" outlineLevel="0" collapsed="false">
      <c r="A1772" s="24" t="s">
        <v>262</v>
      </c>
      <c r="B1772" s="25" t="n">
        <v>76.518</v>
      </c>
      <c r="C1772" s="25" t="n">
        <v>30</v>
      </c>
      <c r="D1772" s="26" t="n">
        <v>0.111171</v>
      </c>
      <c r="E1772" s="27" t="n">
        <v>0.13788</v>
      </c>
      <c r="F1772" s="28" t="n">
        <f aca="false">ROUND(B1772*E1772,2)</f>
        <v>10.55</v>
      </c>
      <c r="H1772" s="29" t="n">
        <v>104.922</v>
      </c>
      <c r="I1772" s="30" t="n">
        <v>0.13788</v>
      </c>
      <c r="J1772" s="31" t="n">
        <f aca="false">ROUND(H1772*I1772,2)</f>
        <v>14.47</v>
      </c>
      <c r="L1772" s="53"/>
      <c r="M1772" s="53"/>
      <c r="N1772" s="53"/>
    </row>
    <row r="1773" customFormat="false" ht="15" hidden="false" customHeight="false" outlineLevel="0" collapsed="false">
      <c r="A1773" s="24" t="s">
        <v>264</v>
      </c>
      <c r="B1773" s="25" t="n">
        <v>71.62</v>
      </c>
      <c r="C1773" s="25" t="n">
        <v>30</v>
      </c>
      <c r="D1773" s="26" t="n">
        <v>0.111171</v>
      </c>
      <c r="E1773" s="27" t="n">
        <v>0.13788</v>
      </c>
      <c r="F1773" s="28" t="n">
        <f aca="false">ROUND(B1773*E1773,2)</f>
        <v>9.87</v>
      </c>
      <c r="H1773" s="29" t="n">
        <v>82.978</v>
      </c>
      <c r="I1773" s="30" t="n">
        <v>0.13788</v>
      </c>
      <c r="J1773" s="31" t="n">
        <f aca="false">ROUND(H1773*I1773,2)</f>
        <v>11.44</v>
      </c>
      <c r="L1773" s="53"/>
      <c r="M1773" s="53"/>
      <c r="N1773" s="53"/>
    </row>
    <row r="1774" customFormat="false" ht="15" hidden="false" customHeight="false" outlineLevel="0" collapsed="false">
      <c r="A1774" s="24" t="s">
        <v>265</v>
      </c>
      <c r="B1774" s="25" t="n">
        <v>98.831</v>
      </c>
      <c r="C1774" s="25" t="n">
        <v>30</v>
      </c>
      <c r="D1774" s="26" t="n">
        <v>0.111171</v>
      </c>
      <c r="E1774" s="27" t="n">
        <v>0.13788</v>
      </c>
      <c r="F1774" s="28" t="n">
        <f aca="false">ROUND(B1774*E1774,2)</f>
        <v>13.63</v>
      </c>
      <c r="H1774" s="29" t="n">
        <v>120.424</v>
      </c>
      <c r="I1774" s="30" t="n">
        <v>0.13788</v>
      </c>
      <c r="J1774" s="31" t="n">
        <f aca="false">ROUND(H1774*I1774,2)</f>
        <v>16.6</v>
      </c>
      <c r="L1774" s="53"/>
      <c r="M1774" s="53"/>
      <c r="N1774" s="53"/>
    </row>
    <row r="1775" customFormat="false" ht="15" hidden="false" customHeight="false" outlineLevel="0" collapsed="false">
      <c r="A1775" s="24" t="s">
        <v>266</v>
      </c>
      <c r="B1775" s="25" t="n">
        <v>1</v>
      </c>
      <c r="C1775" s="25" t="n">
        <v>30</v>
      </c>
      <c r="D1775" s="26" t="n">
        <v>0.7989</v>
      </c>
      <c r="E1775" s="27" t="n">
        <v>3</v>
      </c>
      <c r="F1775" s="28" t="n">
        <f aca="false">ROUND(B1775*E1775,2)</f>
        <v>3</v>
      </c>
      <c r="H1775" s="29" t="n">
        <v>1</v>
      </c>
      <c r="I1775" s="30" t="n">
        <v>3</v>
      </c>
      <c r="J1775" s="31" t="n">
        <f aca="false">ROUND(H1775*I1775,2)</f>
        <v>3</v>
      </c>
      <c r="L1775" s="53"/>
      <c r="M1775" s="53"/>
      <c r="N1775" s="53"/>
    </row>
    <row r="1776" customFormat="false" ht="15" hidden="false" customHeight="false" outlineLevel="0" collapsed="false">
      <c r="A1776" s="24" t="s">
        <v>267</v>
      </c>
      <c r="B1776" s="25" t="n">
        <v>30</v>
      </c>
      <c r="C1776" s="25" t="n">
        <v>30</v>
      </c>
      <c r="D1776" s="26" t="n">
        <v>0.5736</v>
      </c>
      <c r="E1776" s="27" t="n">
        <v>0.01274</v>
      </c>
      <c r="F1776" s="28" t="n">
        <f aca="false">ROUND(B1776*E1776,2)</f>
        <v>0.38</v>
      </c>
      <c r="H1776" s="29" t="n">
        <v>30</v>
      </c>
      <c r="I1776" s="30" t="n">
        <v>0.01274</v>
      </c>
      <c r="J1776" s="31" t="n">
        <f aca="false">ROUND(H1776*I1776,2)</f>
        <v>0.38</v>
      </c>
      <c r="L1776" s="53"/>
      <c r="M1776" s="53"/>
      <c r="N1776" s="53"/>
    </row>
    <row r="1777" customFormat="false" ht="15" hidden="false" customHeight="false" outlineLevel="0" collapsed="false">
      <c r="A1777" s="24" t="s">
        <v>268</v>
      </c>
      <c r="B1777" s="25" t="n">
        <v>3.21</v>
      </c>
      <c r="C1777" s="25" t="n">
        <v>30</v>
      </c>
      <c r="D1777" s="26" t="n">
        <v>0.02671</v>
      </c>
      <c r="E1777" s="27" t="n">
        <v>1</v>
      </c>
      <c r="F1777" s="28" t="n">
        <f aca="false">ROUND(B1777*E1777,2)</f>
        <v>3.21</v>
      </c>
      <c r="H1777" s="29" t="n">
        <v>3.64</v>
      </c>
      <c r="I1777" s="30" t="n">
        <v>1</v>
      </c>
      <c r="J1777" s="31" t="n">
        <f aca="false">ROUND(H1777*I1777,2)</f>
        <v>3.64</v>
      </c>
      <c r="L1777" s="53"/>
      <c r="M1777" s="53"/>
      <c r="N1777" s="53"/>
    </row>
    <row r="1778" customFormat="false" ht="15" hidden="false" customHeight="false" outlineLevel="0" collapsed="false">
      <c r="A1778" s="37" t="s">
        <v>269</v>
      </c>
      <c r="F1778" s="38" t="n">
        <f aca="false">ROUND((SUM(F1770:F1777)-F1777)*1.1+F1777,2)</f>
        <v>75.73</v>
      </c>
      <c r="J1778" s="39" t="n">
        <f aca="false">ROUND(SUM(J1770:J1777),2)</f>
        <v>78.03</v>
      </c>
      <c r="N1778" s="54"/>
    </row>
    <row r="1779" customFormat="false" ht="15" hidden="false" customHeight="false" outlineLevel="0" collapsed="false">
      <c r="A1779" s="15" t="s">
        <v>270</v>
      </c>
      <c r="B1779" s="41" t="n">
        <f aca="false">IF((F1772+F1770+F1774+F1771+F1773)=0,"",((F1772+F1770+F1774+F1771+F1773)-(B1772*D1772+B1770*D1770+B1774*D1774+B1771*D1771+B1773*D1773))/(F1772+F1770+F1774+F1771+F1773))</f>
        <v>0.120665456450839</v>
      </c>
      <c r="D1779" s="42" t="str">
        <f aca="false">IF(B1779="","SIN PC",IF(B1779&gt;=Detalle!$G$1,"APROBAR",IF(B1779&gt;=0.2,"REVISAR","RECHAZAR")))</f>
        <v>RECHAZAR</v>
      </c>
      <c r="E1779" s="42"/>
      <c r="F1779" s="42"/>
    </row>
    <row r="1781" customFormat="false" ht="15" hidden="false" customHeight="false" outlineLevel="0" collapsed="false">
      <c r="A1781" s="11" t="s">
        <v>986</v>
      </c>
      <c r="B1781" s="11"/>
      <c r="C1781" s="11"/>
      <c r="D1781" s="11"/>
      <c r="E1781" s="11"/>
      <c r="F1781" s="11"/>
      <c r="H1781" s="11" t="s">
        <v>987</v>
      </c>
      <c r="I1781" s="11"/>
      <c r="J1781" s="11"/>
      <c r="K1781" s="11"/>
      <c r="L1781" s="11"/>
      <c r="M1781" s="11"/>
      <c r="N1781" s="11"/>
      <c r="P1781" s="14" t="s">
        <v>246</v>
      </c>
    </row>
    <row r="1782" customFormat="false" ht="15" hidden="false" customHeight="false" outlineLevel="0" collapsed="false">
      <c r="A1782" s="15" t="s">
        <v>247</v>
      </c>
      <c r="B1782" s="16" t="s">
        <v>248</v>
      </c>
      <c r="C1782" s="17"/>
      <c r="D1782" s="17"/>
      <c r="E1782" s="17"/>
      <c r="F1782" s="17"/>
      <c r="H1782" s="18" t="s">
        <v>988</v>
      </c>
      <c r="I1782" s="19"/>
      <c r="J1782" s="19"/>
      <c r="L1782" s="20" t="s">
        <v>428</v>
      </c>
      <c r="M1782" s="21"/>
      <c r="N1782" s="21"/>
      <c r="P1782" s="14" t="s">
        <v>429</v>
      </c>
    </row>
    <row r="1783" customFormat="false" ht="15" hidden="false" customHeight="false" outlineLevel="0" collapsed="false">
      <c r="B1783" s="3" t="s">
        <v>252</v>
      </c>
      <c r="C1783" s="3" t="s">
        <v>253</v>
      </c>
      <c r="D1783" s="3" t="s">
        <v>254</v>
      </c>
      <c r="E1783" s="3" t="s">
        <v>255</v>
      </c>
      <c r="F1783" s="3" t="s">
        <v>256</v>
      </c>
      <c r="H1783" s="22" t="s">
        <v>252</v>
      </c>
      <c r="I1783" s="22" t="s">
        <v>255</v>
      </c>
      <c r="J1783" s="22" t="s">
        <v>256</v>
      </c>
      <c r="L1783" s="23" t="s">
        <v>252</v>
      </c>
      <c r="M1783" s="23" t="s">
        <v>255</v>
      </c>
      <c r="N1783" s="23" t="s">
        <v>256</v>
      </c>
      <c r="P1783" s="14" t="s">
        <v>399</v>
      </c>
    </row>
    <row r="1784" customFormat="false" ht="15" hidden="false" customHeight="false" outlineLevel="0" collapsed="false">
      <c r="A1784" s="24" t="s">
        <v>258</v>
      </c>
      <c r="B1784" s="25" t="n">
        <v>9.2</v>
      </c>
      <c r="C1784" s="25" t="n">
        <v>30</v>
      </c>
      <c r="D1784" s="26" t="n">
        <v>3.68919</v>
      </c>
      <c r="E1784" s="27" t="n">
        <v>3.85</v>
      </c>
      <c r="F1784" s="28" t="n">
        <f aca="false">ROUND(B1784*E1784,2)</f>
        <v>35.42</v>
      </c>
      <c r="H1784" s="29" t="n">
        <v>9.2</v>
      </c>
      <c r="I1784" s="30" t="n">
        <v>3.85</v>
      </c>
      <c r="J1784" s="31" t="n">
        <f aca="false">ROUND(H1784*I1784,2)</f>
        <v>35.42</v>
      </c>
      <c r="L1784" s="53"/>
      <c r="M1784" s="53"/>
      <c r="N1784" s="53"/>
      <c r="P1784" s="35" t="s">
        <v>430</v>
      </c>
    </row>
    <row r="1785" customFormat="false" ht="15" hidden="false" customHeight="false" outlineLevel="0" collapsed="false">
      <c r="A1785" s="24" t="s">
        <v>260</v>
      </c>
      <c r="B1785" s="25" t="n">
        <v>9.2</v>
      </c>
      <c r="C1785" s="25" t="n">
        <v>30</v>
      </c>
      <c r="D1785" s="26" t="n">
        <v>1.31928</v>
      </c>
      <c r="E1785" s="27" t="n">
        <v>1.33</v>
      </c>
      <c r="F1785" s="28" t="n">
        <f aca="false">ROUND(B1785*E1785,2)</f>
        <v>12.24</v>
      </c>
      <c r="H1785" s="29" t="n">
        <v>9.2</v>
      </c>
      <c r="I1785" s="30" t="n">
        <v>1.33</v>
      </c>
      <c r="J1785" s="31" t="n">
        <f aca="false">ROUND(H1785*I1785,2)</f>
        <v>12.24</v>
      </c>
      <c r="L1785" s="53"/>
      <c r="M1785" s="53"/>
      <c r="N1785" s="53"/>
      <c r="P1785" s="43" t="s">
        <v>261</v>
      </c>
    </row>
    <row r="1786" customFormat="false" ht="15" hidden="false" customHeight="false" outlineLevel="0" collapsed="false">
      <c r="A1786" s="24" t="s">
        <v>262</v>
      </c>
      <c r="B1786" s="25" t="n">
        <v>2.366</v>
      </c>
      <c r="C1786" s="25" t="n">
        <v>30</v>
      </c>
      <c r="D1786" s="26" t="n">
        <v>0.111171</v>
      </c>
      <c r="E1786" s="27" t="n">
        <v>0.13788</v>
      </c>
      <c r="F1786" s="28" t="n">
        <f aca="false">ROUND(B1786*E1786,2)</f>
        <v>0.33</v>
      </c>
      <c r="H1786" s="29" t="n">
        <v>6.943</v>
      </c>
      <c r="I1786" s="30" t="n">
        <v>0.13788</v>
      </c>
      <c r="J1786" s="31" t="n">
        <f aca="false">ROUND(H1786*I1786,2)</f>
        <v>0.96</v>
      </c>
      <c r="L1786" s="53"/>
      <c r="M1786" s="53"/>
      <c r="N1786" s="53"/>
    </row>
    <row r="1787" customFormat="false" ht="15" hidden="false" customHeight="false" outlineLevel="0" collapsed="false">
      <c r="A1787" s="24" t="s">
        <v>264</v>
      </c>
      <c r="B1787" s="25" t="n">
        <v>2.34</v>
      </c>
      <c r="C1787" s="25" t="n">
        <v>30</v>
      </c>
      <c r="D1787" s="26" t="n">
        <v>0.111171</v>
      </c>
      <c r="E1787" s="27" t="n">
        <v>0.13788</v>
      </c>
      <c r="F1787" s="28" t="n">
        <f aca="false">ROUND(B1787*E1787,2)</f>
        <v>0.32</v>
      </c>
      <c r="H1787" s="29" t="n">
        <v>2.317</v>
      </c>
      <c r="I1787" s="30" t="n">
        <v>0.13788</v>
      </c>
      <c r="J1787" s="31" t="n">
        <f aca="false">ROUND(H1787*I1787,2)</f>
        <v>0.32</v>
      </c>
      <c r="L1787" s="53"/>
      <c r="M1787" s="53"/>
      <c r="N1787" s="53"/>
    </row>
    <row r="1788" customFormat="false" ht="15" hidden="false" customHeight="false" outlineLevel="0" collapsed="false">
      <c r="A1788" s="24" t="s">
        <v>265</v>
      </c>
      <c r="B1788" s="25" t="n">
        <v>13.509</v>
      </c>
      <c r="C1788" s="25" t="n">
        <v>30</v>
      </c>
      <c r="D1788" s="26" t="n">
        <v>0.111171</v>
      </c>
      <c r="E1788" s="27" t="n">
        <v>0.13788</v>
      </c>
      <c r="F1788" s="28" t="n">
        <f aca="false">ROUND(B1788*E1788,2)</f>
        <v>1.86</v>
      </c>
      <c r="H1788" s="29" t="n">
        <v>16.696</v>
      </c>
      <c r="I1788" s="30" t="n">
        <v>0.13788</v>
      </c>
      <c r="J1788" s="31" t="n">
        <f aca="false">ROUND(H1788*I1788,2)</f>
        <v>2.3</v>
      </c>
      <c r="L1788" s="53"/>
      <c r="M1788" s="53"/>
      <c r="N1788" s="53"/>
    </row>
    <row r="1789" customFormat="false" ht="15" hidden="false" customHeight="false" outlineLevel="0" collapsed="false">
      <c r="A1789" s="24" t="s">
        <v>266</v>
      </c>
      <c r="B1789" s="25" t="n">
        <v>1</v>
      </c>
      <c r="C1789" s="25" t="n">
        <v>30</v>
      </c>
      <c r="D1789" s="26" t="n">
        <v>0.7989</v>
      </c>
      <c r="E1789" s="27" t="n">
        <v>3</v>
      </c>
      <c r="F1789" s="28" t="n">
        <f aca="false">ROUND(B1789*E1789,2)</f>
        <v>3</v>
      </c>
      <c r="H1789" s="29" t="n">
        <v>1</v>
      </c>
      <c r="I1789" s="30" t="n">
        <v>3</v>
      </c>
      <c r="J1789" s="31" t="n">
        <f aca="false">ROUND(H1789*I1789,2)</f>
        <v>3</v>
      </c>
      <c r="L1789" s="53"/>
      <c r="M1789" s="53"/>
      <c r="N1789" s="53"/>
    </row>
    <row r="1790" customFormat="false" ht="15" hidden="false" customHeight="false" outlineLevel="0" collapsed="false">
      <c r="A1790" s="24" t="s">
        <v>267</v>
      </c>
      <c r="B1790" s="25" t="n">
        <v>30</v>
      </c>
      <c r="C1790" s="25" t="n">
        <v>30</v>
      </c>
      <c r="D1790" s="26" t="n">
        <v>0.5736</v>
      </c>
      <c r="E1790" s="27" t="n">
        <v>0.01274</v>
      </c>
      <c r="F1790" s="28" t="n">
        <f aca="false">ROUND(B1790*E1790,2)</f>
        <v>0.38</v>
      </c>
      <c r="H1790" s="29" t="n">
        <v>30</v>
      </c>
      <c r="I1790" s="30" t="n">
        <v>0.01274</v>
      </c>
      <c r="J1790" s="31" t="n">
        <f aca="false">ROUND(H1790*I1790,2)</f>
        <v>0.38</v>
      </c>
      <c r="L1790" s="53"/>
      <c r="M1790" s="53"/>
      <c r="N1790" s="53"/>
    </row>
    <row r="1791" customFormat="false" ht="15" hidden="false" customHeight="false" outlineLevel="0" collapsed="false">
      <c r="A1791" s="24" t="s">
        <v>268</v>
      </c>
      <c r="B1791" s="25" t="n">
        <v>2.57</v>
      </c>
      <c r="C1791" s="25" t="n">
        <v>30</v>
      </c>
      <c r="D1791" s="26" t="n">
        <v>0.27312</v>
      </c>
      <c r="E1791" s="27" t="n">
        <v>1</v>
      </c>
      <c r="F1791" s="28" t="n">
        <f aca="false">ROUND(B1791*E1791,2)</f>
        <v>2.57</v>
      </c>
      <c r="H1791" s="29" t="n">
        <v>2.63</v>
      </c>
      <c r="I1791" s="30" t="n">
        <v>1</v>
      </c>
      <c r="J1791" s="31" t="n">
        <f aca="false">ROUND(H1791*I1791,2)</f>
        <v>2.63</v>
      </c>
      <c r="L1791" s="53"/>
      <c r="M1791" s="53"/>
      <c r="N1791" s="53"/>
    </row>
    <row r="1792" customFormat="false" ht="15" hidden="false" customHeight="false" outlineLevel="0" collapsed="false">
      <c r="A1792" s="37" t="s">
        <v>269</v>
      </c>
      <c r="F1792" s="38" t="n">
        <f aca="false">ROUND((SUM(F1784:F1791)-F1791)*1.1+F1791,2)</f>
        <v>61.48</v>
      </c>
      <c r="J1792" s="39" t="n">
        <f aca="false">ROUND(SUM(J1784:J1791),2)</f>
        <v>57.25</v>
      </c>
      <c r="N1792" s="54"/>
    </row>
    <row r="1793" customFormat="false" ht="15" hidden="false" customHeight="false" outlineLevel="0" collapsed="false">
      <c r="A1793" s="15" t="s">
        <v>270</v>
      </c>
      <c r="B1793" s="41" t="n">
        <f aca="false">IF((F1786+F1784+F1788+F1785+F1787)=0,"",((F1786+F1784+F1788+F1785+F1787)-(B1786*D1786+B1784*D1784+B1788*D1788+B1785*D1785+B1787*D1787))/(F1786+F1784+F1788+F1785+F1787))</f>
        <v>0.0412018384492725</v>
      </c>
      <c r="D1793" s="42" t="str">
        <f aca="false">IF(B1793="","SIN PC",IF(B1793&gt;=Detalle!$G$1,"APROBAR",IF(B1793&gt;=0.2,"REVISAR","RECHAZAR")))</f>
        <v>RECHAZAR</v>
      </c>
      <c r="E1793" s="42"/>
      <c r="F1793" s="42"/>
    </row>
    <row r="1795" customFormat="false" ht="15" hidden="false" customHeight="false" outlineLevel="0" collapsed="false">
      <c r="A1795" s="11" t="s">
        <v>989</v>
      </c>
      <c r="B1795" s="11"/>
      <c r="C1795" s="11"/>
      <c r="D1795" s="11"/>
      <c r="E1795" s="11"/>
      <c r="F1795" s="11"/>
      <c r="H1795" s="11" t="s">
        <v>990</v>
      </c>
      <c r="I1795" s="11"/>
      <c r="J1795" s="11"/>
      <c r="K1795" s="11"/>
      <c r="L1795" s="11"/>
      <c r="M1795" s="11"/>
      <c r="N1795" s="11"/>
      <c r="P1795" s="14" t="s">
        <v>246</v>
      </c>
    </row>
    <row r="1796" customFormat="false" ht="15" hidden="false" customHeight="false" outlineLevel="0" collapsed="false">
      <c r="A1796" s="15" t="s">
        <v>247</v>
      </c>
      <c r="B1796" s="16" t="s">
        <v>248</v>
      </c>
      <c r="C1796" s="17"/>
      <c r="D1796" s="17"/>
      <c r="E1796" s="17"/>
      <c r="F1796" s="17"/>
      <c r="H1796" s="18" t="s">
        <v>991</v>
      </c>
      <c r="I1796" s="19"/>
      <c r="J1796" s="19"/>
      <c r="L1796" s="20" t="s">
        <v>428</v>
      </c>
      <c r="M1796" s="21"/>
      <c r="N1796" s="21"/>
      <c r="P1796" s="14" t="s">
        <v>429</v>
      </c>
    </row>
    <row r="1797" customFormat="false" ht="15" hidden="false" customHeight="false" outlineLevel="0" collapsed="false">
      <c r="B1797" s="3" t="s">
        <v>252</v>
      </c>
      <c r="C1797" s="3" t="s">
        <v>253</v>
      </c>
      <c r="D1797" s="3" t="s">
        <v>254</v>
      </c>
      <c r="E1797" s="3" t="s">
        <v>255</v>
      </c>
      <c r="F1797" s="3" t="s">
        <v>256</v>
      </c>
      <c r="H1797" s="22" t="s">
        <v>252</v>
      </c>
      <c r="I1797" s="22" t="s">
        <v>255</v>
      </c>
      <c r="J1797" s="22" t="s">
        <v>256</v>
      </c>
      <c r="L1797" s="23" t="s">
        <v>252</v>
      </c>
      <c r="M1797" s="23" t="s">
        <v>255</v>
      </c>
      <c r="N1797" s="23" t="s">
        <v>256</v>
      </c>
      <c r="P1797" s="14" t="s">
        <v>399</v>
      </c>
    </row>
    <row r="1798" customFormat="false" ht="15" hidden="false" customHeight="false" outlineLevel="0" collapsed="false">
      <c r="A1798" s="24" t="s">
        <v>258</v>
      </c>
      <c r="B1798" s="25" t="n">
        <v>3.45</v>
      </c>
      <c r="C1798" s="25" t="n">
        <v>30</v>
      </c>
      <c r="D1798" s="26" t="n">
        <v>3.68919</v>
      </c>
      <c r="E1798" s="27" t="n">
        <v>3.85</v>
      </c>
      <c r="F1798" s="28" t="n">
        <f aca="false">ROUND(B1798*E1798,2)</f>
        <v>13.28</v>
      </c>
      <c r="H1798" s="29" t="n">
        <v>3.45</v>
      </c>
      <c r="I1798" s="30" t="n">
        <v>3.85</v>
      </c>
      <c r="J1798" s="31" t="n">
        <f aca="false">ROUND(H1798*I1798,2)</f>
        <v>13.28</v>
      </c>
      <c r="L1798" s="53"/>
      <c r="M1798" s="53"/>
      <c r="N1798" s="53"/>
      <c r="P1798" s="35" t="s">
        <v>430</v>
      </c>
    </row>
    <row r="1799" customFormat="false" ht="15" hidden="false" customHeight="false" outlineLevel="0" collapsed="false">
      <c r="A1799" s="24" t="s">
        <v>260</v>
      </c>
      <c r="B1799" s="25" t="n">
        <v>3.45</v>
      </c>
      <c r="C1799" s="25" t="n">
        <v>30</v>
      </c>
      <c r="D1799" s="26" t="n">
        <v>1.31928</v>
      </c>
      <c r="E1799" s="27" t="n">
        <v>1.33</v>
      </c>
      <c r="F1799" s="28" t="n">
        <f aca="false">ROUND(B1799*E1799,2)</f>
        <v>4.59</v>
      </c>
      <c r="H1799" s="29" t="n">
        <v>3.45</v>
      </c>
      <c r="I1799" s="30" t="n">
        <v>1.33</v>
      </c>
      <c r="J1799" s="31" t="n">
        <f aca="false">ROUND(H1799*I1799,2)</f>
        <v>4.59</v>
      </c>
      <c r="L1799" s="53"/>
      <c r="M1799" s="53"/>
      <c r="N1799" s="53"/>
      <c r="P1799" s="43" t="s">
        <v>261</v>
      </c>
    </row>
    <row r="1800" customFormat="false" ht="15" hidden="false" customHeight="false" outlineLevel="0" collapsed="false">
      <c r="A1800" s="24" t="s">
        <v>262</v>
      </c>
      <c r="B1800" s="25" t="n">
        <v>49.947</v>
      </c>
      <c r="C1800" s="25" t="n">
        <v>30</v>
      </c>
      <c r="D1800" s="26" t="n">
        <v>0.111171</v>
      </c>
      <c r="E1800" s="27" t="n">
        <v>0.13788</v>
      </c>
      <c r="F1800" s="28" t="n">
        <f aca="false">ROUND(B1800*E1800,2)</f>
        <v>6.89</v>
      </c>
      <c r="H1800" s="29" t="n">
        <v>81.08</v>
      </c>
      <c r="I1800" s="30" t="n">
        <v>0.13788</v>
      </c>
      <c r="J1800" s="31" t="n">
        <f aca="false">ROUND(H1800*I1800,2)</f>
        <v>11.18</v>
      </c>
      <c r="L1800" s="53"/>
      <c r="M1800" s="53"/>
      <c r="N1800" s="53"/>
    </row>
    <row r="1801" customFormat="false" ht="15" hidden="false" customHeight="false" outlineLevel="0" collapsed="false">
      <c r="A1801" s="24" t="s">
        <v>264</v>
      </c>
      <c r="B1801" s="25" t="n">
        <v>34.961</v>
      </c>
      <c r="C1801" s="25" t="n">
        <v>30</v>
      </c>
      <c r="D1801" s="26" t="n">
        <v>0.111171</v>
      </c>
      <c r="E1801" s="27" t="n">
        <v>0.13788</v>
      </c>
      <c r="F1801" s="28" t="n">
        <f aca="false">ROUND(B1801*E1801,2)</f>
        <v>4.82</v>
      </c>
      <c r="H1801" s="29" t="n">
        <v>46.491</v>
      </c>
      <c r="I1801" s="30" t="n">
        <v>0.13788</v>
      </c>
      <c r="J1801" s="31" t="n">
        <f aca="false">ROUND(H1801*I1801,2)</f>
        <v>6.41</v>
      </c>
      <c r="L1801" s="53"/>
      <c r="M1801" s="53"/>
      <c r="N1801" s="53"/>
    </row>
    <row r="1802" customFormat="false" ht="15" hidden="false" customHeight="false" outlineLevel="0" collapsed="false">
      <c r="A1802" s="24" t="s">
        <v>265</v>
      </c>
      <c r="B1802" s="25" t="n">
        <v>44.204</v>
      </c>
      <c r="C1802" s="25" t="n">
        <v>30</v>
      </c>
      <c r="D1802" s="26" t="n">
        <v>0.111171</v>
      </c>
      <c r="E1802" s="27" t="n">
        <v>0.13788</v>
      </c>
      <c r="F1802" s="28" t="n">
        <f aca="false">ROUND(B1802*E1802,2)</f>
        <v>6.09</v>
      </c>
      <c r="H1802" s="29" t="n">
        <v>61.626</v>
      </c>
      <c r="I1802" s="30" t="n">
        <v>0.13788</v>
      </c>
      <c r="J1802" s="31" t="n">
        <f aca="false">ROUND(H1802*I1802,2)</f>
        <v>8.5</v>
      </c>
      <c r="L1802" s="53"/>
      <c r="M1802" s="53"/>
      <c r="N1802" s="53"/>
    </row>
    <row r="1803" customFormat="false" ht="15" hidden="false" customHeight="false" outlineLevel="0" collapsed="false">
      <c r="A1803" s="24" t="s">
        <v>266</v>
      </c>
      <c r="B1803" s="25" t="n">
        <v>1</v>
      </c>
      <c r="C1803" s="25" t="n">
        <v>30</v>
      </c>
      <c r="D1803" s="26" t="n">
        <v>0.7989</v>
      </c>
      <c r="E1803" s="27" t="n">
        <v>3</v>
      </c>
      <c r="F1803" s="28" t="n">
        <f aca="false">ROUND(B1803*E1803,2)</f>
        <v>3</v>
      </c>
      <c r="H1803" s="29" t="n">
        <v>1</v>
      </c>
      <c r="I1803" s="30" t="n">
        <v>3</v>
      </c>
      <c r="J1803" s="31" t="n">
        <f aca="false">ROUND(H1803*I1803,2)</f>
        <v>3</v>
      </c>
      <c r="L1803" s="53"/>
      <c r="M1803" s="53"/>
      <c r="N1803" s="53"/>
    </row>
    <row r="1804" customFormat="false" ht="15" hidden="false" customHeight="false" outlineLevel="0" collapsed="false">
      <c r="A1804" s="24" t="s">
        <v>267</v>
      </c>
      <c r="B1804" s="25" t="n">
        <v>30</v>
      </c>
      <c r="C1804" s="25" t="n">
        <v>30</v>
      </c>
      <c r="D1804" s="26" t="n">
        <v>0.5736</v>
      </c>
      <c r="E1804" s="27" t="n">
        <v>0.01274</v>
      </c>
      <c r="F1804" s="28" t="n">
        <f aca="false">ROUND(B1804*E1804,2)</f>
        <v>0.38</v>
      </c>
      <c r="H1804" s="29" t="n">
        <v>30</v>
      </c>
      <c r="I1804" s="30" t="n">
        <v>0.01274</v>
      </c>
      <c r="J1804" s="31" t="n">
        <f aca="false">ROUND(H1804*I1804,2)</f>
        <v>0.38</v>
      </c>
      <c r="L1804" s="53"/>
      <c r="M1804" s="53"/>
      <c r="N1804" s="53"/>
    </row>
    <row r="1805" customFormat="false" ht="15" hidden="false" customHeight="false" outlineLevel="0" collapsed="false">
      <c r="A1805" s="24" t="s">
        <v>268</v>
      </c>
      <c r="B1805" s="25" t="n">
        <v>1.83</v>
      </c>
      <c r="C1805" s="25" t="n">
        <v>30</v>
      </c>
      <c r="D1805" s="26" t="n">
        <v>0.02671</v>
      </c>
      <c r="E1805" s="27" t="n">
        <v>1</v>
      </c>
      <c r="F1805" s="28" t="n">
        <f aca="false">ROUND(B1805*E1805,2)</f>
        <v>1.83</v>
      </c>
      <c r="H1805" s="29" t="n">
        <v>2.26</v>
      </c>
      <c r="I1805" s="30" t="n">
        <v>1</v>
      </c>
      <c r="J1805" s="31" t="n">
        <f aca="false">ROUND(H1805*I1805,2)</f>
        <v>2.26</v>
      </c>
      <c r="L1805" s="53"/>
      <c r="M1805" s="53"/>
      <c r="N1805" s="53"/>
    </row>
    <row r="1806" customFormat="false" ht="15" hidden="false" customHeight="false" outlineLevel="0" collapsed="false">
      <c r="A1806" s="37" t="s">
        <v>269</v>
      </c>
      <c r="F1806" s="38" t="n">
        <f aca="false">ROUND((SUM(F1798:F1805)-F1805)*1.1+F1805,2)</f>
        <v>44.79</v>
      </c>
      <c r="J1806" s="39" t="n">
        <f aca="false">ROUND(SUM(J1798:J1805),2)</f>
        <v>49.6</v>
      </c>
      <c r="N1806" s="54"/>
    </row>
    <row r="1807" customFormat="false" ht="15" hidden="false" customHeight="false" outlineLevel="0" collapsed="false">
      <c r="A1807" s="15" t="s">
        <v>270</v>
      </c>
      <c r="B1807" s="41" t="n">
        <f aca="false">IF((F1800+F1798+F1802+F1799+F1801)=0,"",((F1800+F1798+F1802+F1799+F1801)-(B1800*D1800+B1798*D1798+B1802*D1802+B1799*D1799+B1801*D1801))/(F1800+F1798+F1802+F1799+F1801))</f>
        <v>0.113183861732548</v>
      </c>
      <c r="D1807" s="42" t="str">
        <f aca="false">IF(B1807="","SIN PC",IF(B1807&gt;=Detalle!$G$1,"APROBAR",IF(B1807&gt;=0.2,"REVISAR","RECHAZAR")))</f>
        <v>RECHAZAR</v>
      </c>
      <c r="E1807" s="42"/>
      <c r="F1807" s="42"/>
    </row>
    <row r="1809" customFormat="false" ht="15" hidden="false" customHeight="false" outlineLevel="0" collapsed="false">
      <c r="A1809" s="11" t="s">
        <v>992</v>
      </c>
      <c r="B1809" s="11"/>
      <c r="C1809" s="11"/>
      <c r="D1809" s="11"/>
      <c r="E1809" s="11"/>
      <c r="F1809" s="11"/>
      <c r="H1809" s="11" t="s">
        <v>993</v>
      </c>
      <c r="I1809" s="11"/>
      <c r="J1809" s="11"/>
      <c r="K1809" s="11"/>
      <c r="L1809" s="11"/>
      <c r="M1809" s="11"/>
      <c r="N1809" s="11"/>
      <c r="P1809" s="14" t="s">
        <v>246</v>
      </c>
    </row>
    <row r="1810" customFormat="false" ht="15" hidden="false" customHeight="false" outlineLevel="0" collapsed="false">
      <c r="A1810" s="15" t="s">
        <v>247</v>
      </c>
      <c r="B1810" s="16" t="s">
        <v>248</v>
      </c>
      <c r="C1810" s="17"/>
      <c r="D1810" s="17"/>
      <c r="E1810" s="17"/>
      <c r="F1810" s="17"/>
      <c r="H1810" s="18" t="s">
        <v>994</v>
      </c>
      <c r="I1810" s="19"/>
      <c r="J1810" s="19"/>
      <c r="L1810" s="20" t="s">
        <v>428</v>
      </c>
      <c r="M1810" s="21"/>
      <c r="N1810" s="21"/>
      <c r="P1810" s="14" t="s">
        <v>429</v>
      </c>
    </row>
    <row r="1811" customFormat="false" ht="15" hidden="false" customHeight="false" outlineLevel="0" collapsed="false">
      <c r="B1811" s="3" t="s">
        <v>252</v>
      </c>
      <c r="C1811" s="3" t="s">
        <v>253</v>
      </c>
      <c r="D1811" s="3" t="s">
        <v>254</v>
      </c>
      <c r="E1811" s="3" t="s">
        <v>255</v>
      </c>
      <c r="F1811" s="3" t="s">
        <v>256</v>
      </c>
      <c r="H1811" s="22" t="s">
        <v>252</v>
      </c>
      <c r="I1811" s="22" t="s">
        <v>255</v>
      </c>
      <c r="J1811" s="22" t="s">
        <v>256</v>
      </c>
      <c r="L1811" s="23" t="s">
        <v>252</v>
      </c>
      <c r="M1811" s="23" t="s">
        <v>255</v>
      </c>
      <c r="N1811" s="23" t="s">
        <v>256</v>
      </c>
      <c r="P1811" s="14" t="s">
        <v>399</v>
      </c>
    </row>
    <row r="1812" customFormat="false" ht="15" hidden="false" customHeight="false" outlineLevel="0" collapsed="false">
      <c r="A1812" s="24" t="s">
        <v>258</v>
      </c>
      <c r="B1812" s="25" t="n">
        <v>9.9</v>
      </c>
      <c r="C1812" s="25" t="n">
        <v>30</v>
      </c>
      <c r="D1812" s="26" t="n">
        <v>3.68919</v>
      </c>
      <c r="E1812" s="27" t="n">
        <v>2.2</v>
      </c>
      <c r="F1812" s="28" t="n">
        <f aca="false">ROUND(B1812*E1812,2)</f>
        <v>21.78</v>
      </c>
      <c r="H1812" s="29" t="n">
        <v>9.9</v>
      </c>
      <c r="I1812" s="30" t="n">
        <v>3.85</v>
      </c>
      <c r="J1812" s="31" t="n">
        <f aca="false">ROUND(H1812*I1812,2)</f>
        <v>38.12</v>
      </c>
      <c r="L1812" s="53"/>
      <c r="M1812" s="53"/>
      <c r="N1812" s="53"/>
      <c r="P1812" s="35" t="s">
        <v>430</v>
      </c>
    </row>
    <row r="1813" customFormat="false" ht="15" hidden="false" customHeight="false" outlineLevel="0" collapsed="false">
      <c r="A1813" s="24" t="s">
        <v>260</v>
      </c>
      <c r="B1813" s="25" t="n">
        <v>9.9</v>
      </c>
      <c r="C1813" s="25" t="n">
        <v>30</v>
      </c>
      <c r="D1813" s="26" t="n">
        <v>1.31928</v>
      </c>
      <c r="E1813" s="27" t="n">
        <v>1.33</v>
      </c>
      <c r="F1813" s="28" t="n">
        <f aca="false">ROUND(B1813*E1813,2)</f>
        <v>13.17</v>
      </c>
      <c r="H1813" s="29" t="n">
        <v>9.9</v>
      </c>
      <c r="I1813" s="30" t="n">
        <v>1.33</v>
      </c>
      <c r="J1813" s="31" t="n">
        <f aca="false">ROUND(H1813*I1813,2)</f>
        <v>13.17</v>
      </c>
      <c r="L1813" s="53"/>
      <c r="M1813" s="53"/>
      <c r="N1813" s="53"/>
      <c r="P1813" s="43" t="s">
        <v>261</v>
      </c>
    </row>
    <row r="1814" customFormat="false" ht="15" hidden="false" customHeight="false" outlineLevel="0" collapsed="false">
      <c r="A1814" s="24" t="s">
        <v>262</v>
      </c>
      <c r="B1814" s="25" t="n">
        <v>136.065</v>
      </c>
      <c r="C1814" s="25" t="n">
        <v>30</v>
      </c>
      <c r="D1814" s="26" t="n">
        <v>0.111171</v>
      </c>
      <c r="E1814" s="27" t="n">
        <v>0.129</v>
      </c>
      <c r="F1814" s="28" t="n">
        <f aca="false">ROUND(B1814*E1814,2)</f>
        <v>17.55</v>
      </c>
      <c r="H1814" s="29" t="n">
        <v>87.786</v>
      </c>
      <c r="I1814" s="30" t="n">
        <v>0.13788</v>
      </c>
      <c r="J1814" s="31" t="n">
        <f aca="false">ROUND(H1814*I1814,2)</f>
        <v>12.1</v>
      </c>
      <c r="L1814" s="53"/>
      <c r="M1814" s="53"/>
      <c r="N1814" s="53"/>
    </row>
    <row r="1815" customFormat="false" ht="15" hidden="false" customHeight="false" outlineLevel="0" collapsed="false">
      <c r="A1815" s="24" t="s">
        <v>264</v>
      </c>
      <c r="B1815" s="25" t="n">
        <v>133.475</v>
      </c>
      <c r="C1815" s="25" t="n">
        <v>30</v>
      </c>
      <c r="D1815" s="26" t="n">
        <v>0.111171</v>
      </c>
      <c r="E1815" s="27" t="n">
        <v>0.129</v>
      </c>
      <c r="F1815" s="28" t="n">
        <f aca="false">ROUND(B1815*E1815,2)</f>
        <v>17.22</v>
      </c>
      <c r="H1815" s="29" t="n">
        <v>69.371</v>
      </c>
      <c r="I1815" s="30" t="n">
        <v>0.13788</v>
      </c>
      <c r="J1815" s="31" t="n">
        <f aca="false">ROUND(H1815*I1815,2)</f>
        <v>9.56</v>
      </c>
      <c r="L1815" s="53"/>
      <c r="M1815" s="53"/>
      <c r="N1815" s="53"/>
    </row>
    <row r="1816" customFormat="false" ht="15" hidden="false" customHeight="false" outlineLevel="0" collapsed="false">
      <c r="A1816" s="24" t="s">
        <v>265</v>
      </c>
      <c r="B1816" s="25" t="n">
        <v>127.349</v>
      </c>
      <c r="C1816" s="25" t="n">
        <v>30</v>
      </c>
      <c r="D1816" s="26" t="n">
        <v>0.111171</v>
      </c>
      <c r="E1816" s="27" t="n">
        <v>0.129</v>
      </c>
      <c r="F1816" s="28" t="n">
        <f aca="false">ROUND(B1816*E1816,2)</f>
        <v>16.43</v>
      </c>
      <c r="H1816" s="29" t="n">
        <v>112.245</v>
      </c>
      <c r="I1816" s="30" t="n">
        <v>0.13788</v>
      </c>
      <c r="J1816" s="31" t="n">
        <f aca="false">ROUND(H1816*I1816,2)</f>
        <v>15.48</v>
      </c>
      <c r="L1816" s="53"/>
      <c r="M1816" s="53"/>
      <c r="N1816" s="53"/>
    </row>
    <row r="1817" customFormat="false" ht="15" hidden="false" customHeight="false" outlineLevel="0" collapsed="false">
      <c r="A1817" s="24" t="s">
        <v>266</v>
      </c>
      <c r="B1817" s="25" t="n">
        <v>1</v>
      </c>
      <c r="C1817" s="25" t="n">
        <v>30</v>
      </c>
      <c r="D1817" s="26" t="n">
        <v>1.3414</v>
      </c>
      <c r="E1817" s="27" t="n">
        <v>3</v>
      </c>
      <c r="F1817" s="28" t="n">
        <f aca="false">ROUND(B1817*E1817,2)</f>
        <v>3</v>
      </c>
      <c r="H1817" s="29" t="n">
        <v>1</v>
      </c>
      <c r="I1817" s="30" t="n">
        <v>3</v>
      </c>
      <c r="J1817" s="31" t="n">
        <f aca="false">ROUND(H1817*I1817,2)</f>
        <v>3</v>
      </c>
      <c r="L1817" s="53"/>
      <c r="M1817" s="53"/>
      <c r="N1817" s="53"/>
    </row>
    <row r="1818" customFormat="false" ht="15" hidden="false" customHeight="false" outlineLevel="0" collapsed="false">
      <c r="A1818" s="24" t="s">
        <v>267</v>
      </c>
      <c r="B1818" s="25" t="n">
        <v>30</v>
      </c>
      <c r="C1818" s="25" t="n">
        <v>30</v>
      </c>
      <c r="D1818" s="26" t="n">
        <v>0.5736</v>
      </c>
      <c r="E1818" s="27" t="n">
        <v>0.01274</v>
      </c>
      <c r="F1818" s="28" t="n">
        <f aca="false">ROUND(B1818*E1818,2)</f>
        <v>0.38</v>
      </c>
      <c r="H1818" s="29" t="n">
        <v>30</v>
      </c>
      <c r="I1818" s="30" t="n">
        <v>0.01274</v>
      </c>
      <c r="J1818" s="31" t="n">
        <f aca="false">ROUND(H1818*I1818,2)</f>
        <v>0.38</v>
      </c>
      <c r="L1818" s="53"/>
      <c r="M1818" s="53"/>
      <c r="N1818" s="53"/>
    </row>
    <row r="1819" customFormat="false" ht="15" hidden="false" customHeight="false" outlineLevel="0" collapsed="false">
      <c r="A1819" s="24" t="s">
        <v>268</v>
      </c>
      <c r="B1819" s="25" t="n">
        <v>5.43</v>
      </c>
      <c r="C1819" s="25" t="n">
        <v>30</v>
      </c>
      <c r="D1819" s="26" t="n">
        <v>0.27312</v>
      </c>
      <c r="E1819" s="27" t="n">
        <v>1</v>
      </c>
      <c r="F1819" s="28" t="n">
        <f aca="false">ROUND(B1819*E1819,2)</f>
        <v>5.43</v>
      </c>
      <c r="H1819" s="29" t="n">
        <v>4.53</v>
      </c>
      <c r="I1819" s="30" t="n">
        <v>1</v>
      </c>
      <c r="J1819" s="31" t="n">
        <f aca="false">ROUND(H1819*I1819,2)</f>
        <v>4.53</v>
      </c>
      <c r="L1819" s="53"/>
      <c r="M1819" s="53"/>
      <c r="N1819" s="53"/>
    </row>
    <row r="1820" customFormat="false" ht="15" hidden="false" customHeight="false" outlineLevel="0" collapsed="false">
      <c r="A1820" s="37" t="s">
        <v>269</v>
      </c>
      <c r="F1820" s="38" t="n">
        <f aca="false">ROUND((SUM(F1812:F1819)-F1819)*1.1+F1819,2)</f>
        <v>103.91</v>
      </c>
      <c r="J1820" s="39" t="n">
        <f aca="false">ROUND(SUM(J1812:J1819),2)</f>
        <v>96.34</v>
      </c>
      <c r="N1820" s="54"/>
    </row>
    <row r="1821" customFormat="false" ht="15" hidden="false" customHeight="false" outlineLevel="0" collapsed="false">
      <c r="A1821" s="15" t="s">
        <v>270</v>
      </c>
      <c r="B1821" s="41" t="n">
        <f aca="false">IF((F1814+F1812+F1816+F1813+F1815)=0,"",((F1814+F1812+F1816+F1813+F1815)-(B1814*D1814+B1812*D1812+B1816*D1816+B1813*D1813+B1815*D1815))/(F1814+F1812+F1816+F1813+F1815))</f>
        <v>-0.0877121302263495</v>
      </c>
      <c r="D1821" s="42" t="str">
        <f aca="false">IF(B1821="","SIN PC",IF(B1821&gt;=Detalle!$G$1,"APROBAR",IF(B1821&gt;=0.2,"REVISAR","RECHAZAR")))</f>
        <v>RECHAZAR</v>
      </c>
      <c r="E1821" s="42"/>
      <c r="F1821" s="42"/>
    </row>
    <row r="1823" customFormat="false" ht="15" hidden="false" customHeight="false" outlineLevel="0" collapsed="false">
      <c r="A1823" s="11" t="s">
        <v>995</v>
      </c>
      <c r="B1823" s="11"/>
      <c r="C1823" s="11"/>
      <c r="D1823" s="11"/>
      <c r="E1823" s="11"/>
      <c r="F1823" s="11"/>
      <c r="H1823" s="11" t="s">
        <v>996</v>
      </c>
      <c r="I1823" s="11"/>
      <c r="J1823" s="11"/>
      <c r="K1823" s="11"/>
      <c r="L1823" s="11"/>
      <c r="M1823" s="11"/>
      <c r="N1823" s="11"/>
      <c r="P1823" s="14" t="s">
        <v>246</v>
      </c>
    </row>
    <row r="1824" customFormat="false" ht="15" hidden="false" customHeight="false" outlineLevel="0" collapsed="false">
      <c r="A1824" s="15" t="s">
        <v>247</v>
      </c>
      <c r="B1824" s="16" t="s">
        <v>248</v>
      </c>
      <c r="C1824" s="17"/>
      <c r="D1824" s="17"/>
      <c r="E1824" s="17"/>
      <c r="F1824" s="17"/>
      <c r="H1824" s="18" t="s">
        <v>997</v>
      </c>
      <c r="I1824" s="19"/>
      <c r="J1824" s="19"/>
      <c r="L1824" s="20" t="s">
        <v>428</v>
      </c>
      <c r="M1824" s="21"/>
      <c r="N1824" s="21"/>
      <c r="P1824" s="14" t="s">
        <v>429</v>
      </c>
    </row>
    <row r="1825" customFormat="false" ht="15" hidden="false" customHeight="false" outlineLevel="0" collapsed="false">
      <c r="B1825" s="3" t="s">
        <v>252</v>
      </c>
      <c r="C1825" s="3" t="s">
        <v>253</v>
      </c>
      <c r="D1825" s="3" t="s">
        <v>254</v>
      </c>
      <c r="E1825" s="3" t="s">
        <v>255</v>
      </c>
      <c r="F1825" s="3" t="s">
        <v>256</v>
      </c>
      <c r="H1825" s="22" t="s">
        <v>252</v>
      </c>
      <c r="I1825" s="22" t="s">
        <v>255</v>
      </c>
      <c r="J1825" s="22" t="s">
        <v>256</v>
      </c>
      <c r="L1825" s="23" t="s">
        <v>252</v>
      </c>
      <c r="M1825" s="23" t="s">
        <v>255</v>
      </c>
      <c r="N1825" s="23" t="s">
        <v>256</v>
      </c>
      <c r="P1825" s="14" t="s">
        <v>399</v>
      </c>
    </row>
    <row r="1826" customFormat="false" ht="15" hidden="false" customHeight="false" outlineLevel="0" collapsed="false">
      <c r="A1826" s="24" t="s">
        <v>258</v>
      </c>
      <c r="B1826" s="25" t="n">
        <v>5.75</v>
      </c>
      <c r="C1826" s="25" t="n">
        <v>30</v>
      </c>
      <c r="D1826" s="26" t="n">
        <v>3.68919</v>
      </c>
      <c r="E1826" s="27" t="n">
        <v>3.85</v>
      </c>
      <c r="F1826" s="28" t="n">
        <f aca="false">ROUND(B1826*E1826,2)</f>
        <v>22.14</v>
      </c>
      <c r="H1826" s="29" t="n">
        <v>5.75</v>
      </c>
      <c r="I1826" s="30" t="n">
        <v>3.85</v>
      </c>
      <c r="J1826" s="31" t="n">
        <f aca="false">ROUND(H1826*I1826,2)</f>
        <v>22.14</v>
      </c>
      <c r="L1826" s="53"/>
      <c r="M1826" s="53"/>
      <c r="N1826" s="53"/>
      <c r="P1826" s="35" t="s">
        <v>430</v>
      </c>
    </row>
    <row r="1827" customFormat="false" ht="15" hidden="false" customHeight="false" outlineLevel="0" collapsed="false">
      <c r="A1827" s="24" t="s">
        <v>260</v>
      </c>
      <c r="B1827" s="25" t="n">
        <v>5.75</v>
      </c>
      <c r="C1827" s="25" t="n">
        <v>30</v>
      </c>
      <c r="D1827" s="26" t="n">
        <v>1.31928</v>
      </c>
      <c r="E1827" s="27" t="n">
        <v>1.33</v>
      </c>
      <c r="F1827" s="28" t="n">
        <f aca="false">ROUND(B1827*E1827,2)</f>
        <v>7.65</v>
      </c>
      <c r="H1827" s="29" t="n">
        <v>5.75</v>
      </c>
      <c r="I1827" s="30" t="n">
        <v>1.33</v>
      </c>
      <c r="J1827" s="31" t="n">
        <f aca="false">ROUND(H1827*I1827,2)</f>
        <v>7.65</v>
      </c>
      <c r="L1827" s="53"/>
      <c r="M1827" s="53"/>
      <c r="N1827" s="53"/>
      <c r="P1827" s="43" t="s">
        <v>261</v>
      </c>
    </row>
    <row r="1828" customFormat="false" ht="15" hidden="false" customHeight="false" outlineLevel="0" collapsed="false">
      <c r="A1828" s="24" t="s">
        <v>262</v>
      </c>
      <c r="B1828" s="25" t="n">
        <v>117.05</v>
      </c>
      <c r="C1828" s="25" t="n">
        <v>30</v>
      </c>
      <c r="D1828" s="26" t="n">
        <v>0.111171</v>
      </c>
      <c r="E1828" s="27" t="n">
        <v>0.13788</v>
      </c>
      <c r="F1828" s="28" t="n">
        <f aca="false">ROUND(B1828*E1828,2)</f>
        <v>16.14</v>
      </c>
      <c r="H1828" s="29" t="n">
        <v>151.433</v>
      </c>
      <c r="I1828" s="30" t="n">
        <v>0.13788</v>
      </c>
      <c r="J1828" s="31" t="n">
        <f aca="false">ROUND(H1828*I1828,2)</f>
        <v>20.88</v>
      </c>
      <c r="L1828" s="53"/>
      <c r="M1828" s="53"/>
      <c r="N1828" s="53"/>
    </row>
    <row r="1829" customFormat="false" ht="15" hidden="false" customHeight="false" outlineLevel="0" collapsed="false">
      <c r="A1829" s="24" t="s">
        <v>264</v>
      </c>
      <c r="B1829" s="25" t="n">
        <v>120.126</v>
      </c>
      <c r="C1829" s="25" t="n">
        <v>30</v>
      </c>
      <c r="D1829" s="26" t="n">
        <v>0.111171</v>
      </c>
      <c r="E1829" s="27" t="n">
        <v>0.13788</v>
      </c>
      <c r="F1829" s="28" t="n">
        <f aca="false">ROUND(B1829*E1829,2)</f>
        <v>16.56</v>
      </c>
      <c r="H1829" s="29" t="n">
        <v>128.899</v>
      </c>
      <c r="I1829" s="30" t="n">
        <v>0.13788</v>
      </c>
      <c r="J1829" s="31" t="n">
        <f aca="false">ROUND(H1829*I1829,2)</f>
        <v>17.77</v>
      </c>
      <c r="L1829" s="53"/>
      <c r="M1829" s="53"/>
      <c r="N1829" s="53"/>
    </row>
    <row r="1830" customFormat="false" ht="15" hidden="false" customHeight="false" outlineLevel="0" collapsed="false">
      <c r="A1830" s="24" t="s">
        <v>265</v>
      </c>
      <c r="B1830" s="25" t="n">
        <v>331.133</v>
      </c>
      <c r="C1830" s="25" t="n">
        <v>30</v>
      </c>
      <c r="D1830" s="26" t="n">
        <v>0.111171</v>
      </c>
      <c r="E1830" s="27" t="n">
        <v>0.13788</v>
      </c>
      <c r="F1830" s="28" t="n">
        <f aca="false">ROUND(B1830*E1830,2)</f>
        <v>45.66</v>
      </c>
      <c r="H1830" s="29" t="n">
        <v>252.331</v>
      </c>
      <c r="I1830" s="30" t="n">
        <v>0.13788</v>
      </c>
      <c r="J1830" s="31" t="n">
        <f aca="false">ROUND(H1830*I1830,2)</f>
        <v>34.79</v>
      </c>
      <c r="L1830" s="53"/>
      <c r="M1830" s="53"/>
      <c r="N1830" s="53"/>
    </row>
    <row r="1831" customFormat="false" ht="15" hidden="false" customHeight="false" outlineLevel="0" collapsed="false">
      <c r="A1831" s="24" t="s">
        <v>266</v>
      </c>
      <c r="B1831" s="25" t="n">
        <v>1</v>
      </c>
      <c r="C1831" s="25" t="n">
        <v>30</v>
      </c>
      <c r="D1831" s="26" t="n">
        <v>0.7989</v>
      </c>
      <c r="E1831" s="27" t="n">
        <v>3</v>
      </c>
      <c r="F1831" s="28" t="n">
        <f aca="false">ROUND(B1831*E1831,2)</f>
        <v>3</v>
      </c>
      <c r="H1831" s="29" t="n">
        <v>1</v>
      </c>
      <c r="I1831" s="30" t="n">
        <v>3</v>
      </c>
      <c r="J1831" s="31" t="n">
        <f aca="false">ROUND(H1831*I1831,2)</f>
        <v>3</v>
      </c>
      <c r="L1831" s="53"/>
      <c r="M1831" s="53"/>
      <c r="N1831" s="53"/>
    </row>
    <row r="1832" customFormat="false" ht="15" hidden="false" customHeight="false" outlineLevel="0" collapsed="false">
      <c r="A1832" s="24" t="s">
        <v>267</v>
      </c>
      <c r="B1832" s="25" t="n">
        <v>30</v>
      </c>
      <c r="C1832" s="25" t="n">
        <v>30</v>
      </c>
      <c r="D1832" s="26" t="n">
        <v>0.5736</v>
      </c>
      <c r="E1832" s="27" t="n">
        <v>0.01274</v>
      </c>
      <c r="F1832" s="28" t="n">
        <f aca="false">ROUND(B1832*E1832,2)</f>
        <v>0.38</v>
      </c>
      <c r="H1832" s="29" t="n">
        <v>30</v>
      </c>
      <c r="I1832" s="30" t="n">
        <v>0.01274</v>
      </c>
      <c r="J1832" s="31" t="n">
        <f aca="false">ROUND(H1832*I1832,2)</f>
        <v>0.38</v>
      </c>
      <c r="L1832" s="53"/>
      <c r="M1832" s="53"/>
      <c r="N1832" s="53"/>
    </row>
    <row r="1833" customFormat="false" ht="15" hidden="false" customHeight="false" outlineLevel="0" collapsed="false">
      <c r="A1833" s="24" t="s">
        <v>268</v>
      </c>
      <c r="B1833" s="25" t="n">
        <v>5.54</v>
      </c>
      <c r="C1833" s="25" t="n">
        <v>30</v>
      </c>
      <c r="D1833" s="26" t="n">
        <v>0.27312</v>
      </c>
      <c r="E1833" s="27" t="n">
        <v>1</v>
      </c>
      <c r="F1833" s="28" t="n">
        <f aca="false">ROUND(B1833*E1833,2)</f>
        <v>5.54</v>
      </c>
      <c r="H1833" s="29" t="n">
        <v>5.28</v>
      </c>
      <c r="I1833" s="30" t="n">
        <v>1</v>
      </c>
      <c r="J1833" s="31" t="n">
        <f aca="false">ROUND(H1833*I1833,2)</f>
        <v>5.28</v>
      </c>
      <c r="L1833" s="53"/>
      <c r="M1833" s="53"/>
      <c r="N1833" s="53"/>
    </row>
    <row r="1834" customFormat="false" ht="15" hidden="false" customHeight="false" outlineLevel="0" collapsed="false">
      <c r="A1834" s="37" t="s">
        <v>269</v>
      </c>
      <c r="F1834" s="38" t="n">
        <f aca="false">ROUND((SUM(F1826:F1833)-F1833)*1.1+F1833,2)</f>
        <v>128.22</v>
      </c>
      <c r="J1834" s="39" t="n">
        <f aca="false">ROUND(SUM(J1826:J1833),2)</f>
        <v>111.89</v>
      </c>
      <c r="N1834" s="54"/>
    </row>
    <row r="1835" customFormat="false" ht="15" hidden="false" customHeight="false" outlineLevel="0" collapsed="false">
      <c r="A1835" s="15" t="s">
        <v>270</v>
      </c>
      <c r="B1835" s="41" t="n">
        <f aca="false">IF((F1828+F1826+F1830+F1827+F1829)=0,"",((F1828+F1826+F1830+F1827+F1829)-(B1828*D1828+B1826*D1826+B1830*D1830+B1827*D1827+B1829*D1829))/(F1828+F1826+F1830+F1827+F1829))</f>
        <v>0.149531369958391</v>
      </c>
      <c r="D1835" s="42" t="str">
        <f aca="false">IF(B1835="","SIN PC",IF(B1835&gt;=Detalle!$G$1,"APROBAR",IF(B1835&gt;=0.2,"REVISAR","RECHAZAR")))</f>
        <v>RECHAZAR</v>
      </c>
      <c r="E1835" s="42"/>
      <c r="F1835" s="42"/>
    </row>
    <row r="1837" customFormat="false" ht="15" hidden="false" customHeight="false" outlineLevel="0" collapsed="false">
      <c r="A1837" s="11" t="s">
        <v>998</v>
      </c>
      <c r="B1837" s="11"/>
      <c r="C1837" s="11"/>
      <c r="D1837" s="11"/>
      <c r="E1837" s="11"/>
      <c r="F1837" s="11"/>
      <c r="H1837" s="11" t="s">
        <v>999</v>
      </c>
      <c r="I1837" s="11"/>
      <c r="J1837" s="11"/>
      <c r="K1837" s="11"/>
      <c r="L1837" s="11"/>
      <c r="M1837" s="11"/>
      <c r="N1837" s="11"/>
      <c r="P1837" s="14" t="s">
        <v>246</v>
      </c>
    </row>
    <row r="1838" customFormat="false" ht="15" hidden="false" customHeight="false" outlineLevel="0" collapsed="false">
      <c r="A1838" s="15" t="s">
        <v>247</v>
      </c>
      <c r="B1838" s="16" t="s">
        <v>248</v>
      </c>
      <c r="C1838" s="17"/>
      <c r="D1838" s="17"/>
      <c r="E1838" s="17"/>
      <c r="F1838" s="17"/>
      <c r="H1838" s="18" t="s">
        <v>1000</v>
      </c>
      <c r="I1838" s="19"/>
      <c r="J1838" s="19"/>
      <c r="L1838" s="20" t="s">
        <v>428</v>
      </c>
      <c r="M1838" s="21"/>
      <c r="N1838" s="21"/>
      <c r="P1838" s="14" t="s">
        <v>429</v>
      </c>
    </row>
    <row r="1839" customFormat="false" ht="15" hidden="false" customHeight="false" outlineLevel="0" collapsed="false">
      <c r="B1839" s="3" t="s">
        <v>252</v>
      </c>
      <c r="C1839" s="3" t="s">
        <v>253</v>
      </c>
      <c r="D1839" s="3" t="s">
        <v>254</v>
      </c>
      <c r="E1839" s="3" t="s">
        <v>255</v>
      </c>
      <c r="F1839" s="3" t="s">
        <v>256</v>
      </c>
      <c r="H1839" s="22" t="s">
        <v>252</v>
      </c>
      <c r="I1839" s="22" t="s">
        <v>255</v>
      </c>
      <c r="J1839" s="22" t="s">
        <v>256</v>
      </c>
      <c r="L1839" s="23" t="s">
        <v>252</v>
      </c>
      <c r="M1839" s="23" t="s">
        <v>255</v>
      </c>
      <c r="N1839" s="23" t="s">
        <v>256</v>
      </c>
      <c r="P1839" s="14" t="s">
        <v>399</v>
      </c>
    </row>
    <row r="1840" customFormat="false" ht="15" hidden="false" customHeight="false" outlineLevel="0" collapsed="false">
      <c r="A1840" s="24" t="s">
        <v>258</v>
      </c>
      <c r="B1840" s="25" t="n">
        <v>5.75</v>
      </c>
      <c r="C1840" s="25" t="n">
        <v>30</v>
      </c>
      <c r="D1840" s="26" t="n">
        <v>3.68919</v>
      </c>
      <c r="E1840" s="27" t="n">
        <v>3.85</v>
      </c>
      <c r="F1840" s="28" t="n">
        <f aca="false">ROUND(B1840*E1840,2)</f>
        <v>22.14</v>
      </c>
      <c r="H1840" s="29" t="n">
        <v>5.75</v>
      </c>
      <c r="I1840" s="30" t="n">
        <v>3.85</v>
      </c>
      <c r="J1840" s="31" t="n">
        <f aca="false">ROUND(H1840*I1840,2)</f>
        <v>22.14</v>
      </c>
      <c r="L1840" s="53"/>
      <c r="M1840" s="53"/>
      <c r="N1840" s="53"/>
      <c r="P1840" s="35" t="s">
        <v>430</v>
      </c>
    </row>
    <row r="1841" customFormat="false" ht="15" hidden="false" customHeight="false" outlineLevel="0" collapsed="false">
      <c r="A1841" s="24" t="s">
        <v>260</v>
      </c>
      <c r="B1841" s="25" t="n">
        <v>5.75</v>
      </c>
      <c r="C1841" s="25" t="n">
        <v>30</v>
      </c>
      <c r="D1841" s="26" t="n">
        <v>1.31928</v>
      </c>
      <c r="E1841" s="27" t="n">
        <v>1.33</v>
      </c>
      <c r="F1841" s="28" t="n">
        <f aca="false">ROUND(B1841*E1841,2)</f>
        <v>7.65</v>
      </c>
      <c r="H1841" s="29" t="n">
        <v>5.75</v>
      </c>
      <c r="I1841" s="30" t="n">
        <v>1.33</v>
      </c>
      <c r="J1841" s="31" t="n">
        <f aca="false">ROUND(H1841*I1841,2)</f>
        <v>7.65</v>
      </c>
      <c r="L1841" s="53"/>
      <c r="M1841" s="53"/>
      <c r="N1841" s="53"/>
      <c r="P1841" s="43" t="s">
        <v>261</v>
      </c>
    </row>
    <row r="1842" customFormat="false" ht="15" hidden="false" customHeight="false" outlineLevel="0" collapsed="false">
      <c r="A1842" s="24" t="s">
        <v>262</v>
      </c>
      <c r="B1842" s="25" t="n">
        <v>57.892</v>
      </c>
      <c r="C1842" s="25" t="n">
        <v>30</v>
      </c>
      <c r="D1842" s="26" t="n">
        <v>0.111171</v>
      </c>
      <c r="E1842" s="27" t="n">
        <v>0.13788</v>
      </c>
      <c r="F1842" s="28" t="n">
        <f aca="false">ROUND(B1842*E1842,2)</f>
        <v>7.98</v>
      </c>
      <c r="H1842" s="29" t="n">
        <v>101.952</v>
      </c>
      <c r="I1842" s="30" t="n">
        <v>0.13788</v>
      </c>
      <c r="J1842" s="31" t="n">
        <f aca="false">ROUND(H1842*I1842,2)</f>
        <v>14.06</v>
      </c>
      <c r="L1842" s="53"/>
      <c r="M1842" s="53"/>
      <c r="N1842" s="53"/>
    </row>
    <row r="1843" customFormat="false" ht="15" hidden="false" customHeight="false" outlineLevel="0" collapsed="false">
      <c r="A1843" s="24" t="s">
        <v>264</v>
      </c>
      <c r="B1843" s="25" t="n">
        <v>44.093</v>
      </c>
      <c r="C1843" s="25" t="n">
        <v>30</v>
      </c>
      <c r="D1843" s="26" t="n">
        <v>0.111171</v>
      </c>
      <c r="E1843" s="27" t="n">
        <v>0.13788</v>
      </c>
      <c r="F1843" s="28" t="n">
        <f aca="false">ROUND(B1843*E1843,2)</f>
        <v>6.08</v>
      </c>
      <c r="H1843" s="29" t="n">
        <v>87.668</v>
      </c>
      <c r="I1843" s="30" t="n">
        <v>0.13788</v>
      </c>
      <c r="J1843" s="31" t="n">
        <f aca="false">ROUND(H1843*I1843,2)</f>
        <v>12.09</v>
      </c>
      <c r="L1843" s="53"/>
      <c r="M1843" s="53"/>
      <c r="N1843" s="53"/>
    </row>
    <row r="1844" customFormat="false" ht="15" hidden="false" customHeight="false" outlineLevel="0" collapsed="false">
      <c r="A1844" s="24" t="s">
        <v>265</v>
      </c>
      <c r="B1844" s="25" t="n">
        <v>105.819</v>
      </c>
      <c r="C1844" s="25" t="n">
        <v>30</v>
      </c>
      <c r="D1844" s="26" t="n">
        <v>0.111171</v>
      </c>
      <c r="E1844" s="27" t="n">
        <v>0.13788</v>
      </c>
      <c r="F1844" s="28" t="n">
        <f aca="false">ROUND(B1844*E1844,2)</f>
        <v>14.59</v>
      </c>
      <c r="H1844" s="29" t="n">
        <v>140.434</v>
      </c>
      <c r="I1844" s="30" t="n">
        <v>0.13788</v>
      </c>
      <c r="J1844" s="31" t="n">
        <f aca="false">ROUND(H1844*I1844,2)</f>
        <v>19.36</v>
      </c>
      <c r="L1844" s="53"/>
      <c r="M1844" s="53"/>
      <c r="N1844" s="53"/>
    </row>
    <row r="1845" customFormat="false" ht="15" hidden="false" customHeight="false" outlineLevel="0" collapsed="false">
      <c r="A1845" s="24" t="s">
        <v>266</v>
      </c>
      <c r="B1845" s="25" t="n">
        <v>1</v>
      </c>
      <c r="C1845" s="25" t="n">
        <v>30</v>
      </c>
      <c r="D1845" s="26" t="n">
        <v>0.7989</v>
      </c>
      <c r="E1845" s="27" t="n">
        <v>3</v>
      </c>
      <c r="F1845" s="28" t="n">
        <f aca="false">ROUND(B1845*E1845,2)</f>
        <v>3</v>
      </c>
      <c r="H1845" s="29" t="n">
        <v>1</v>
      </c>
      <c r="I1845" s="30" t="n">
        <v>3</v>
      </c>
      <c r="J1845" s="31" t="n">
        <f aca="false">ROUND(H1845*I1845,2)</f>
        <v>3</v>
      </c>
      <c r="L1845" s="53"/>
      <c r="M1845" s="53"/>
      <c r="N1845" s="53"/>
    </row>
    <row r="1846" customFormat="false" ht="15" hidden="false" customHeight="false" outlineLevel="0" collapsed="false">
      <c r="A1846" s="24" t="s">
        <v>267</v>
      </c>
      <c r="B1846" s="25" t="n">
        <v>30</v>
      </c>
      <c r="C1846" s="25" t="n">
        <v>30</v>
      </c>
      <c r="D1846" s="26" t="n">
        <v>0.5736</v>
      </c>
      <c r="E1846" s="27" t="n">
        <v>0.01274</v>
      </c>
      <c r="F1846" s="28" t="n">
        <f aca="false">ROUND(B1846*E1846,2)</f>
        <v>0.38</v>
      </c>
      <c r="H1846" s="29" t="n">
        <v>30</v>
      </c>
      <c r="I1846" s="30" t="n">
        <v>0.01274</v>
      </c>
      <c r="J1846" s="31" t="n">
        <f aca="false">ROUND(H1846*I1846,2)</f>
        <v>0.38</v>
      </c>
      <c r="L1846" s="53"/>
      <c r="M1846" s="53"/>
      <c r="N1846" s="53"/>
    </row>
    <row r="1847" customFormat="false" ht="15" hidden="false" customHeight="false" outlineLevel="0" collapsed="false">
      <c r="A1847" s="24" t="s">
        <v>268</v>
      </c>
      <c r="B1847" s="25" t="n">
        <v>3</v>
      </c>
      <c r="C1847" s="25" t="n">
        <v>30</v>
      </c>
      <c r="D1847" s="26" t="n">
        <v>0.27312</v>
      </c>
      <c r="E1847" s="27" t="n">
        <v>1</v>
      </c>
      <c r="F1847" s="28" t="n">
        <f aca="false">ROUND(B1847*E1847,2)</f>
        <v>3</v>
      </c>
      <c r="H1847" s="29" t="n">
        <v>3.86</v>
      </c>
      <c r="I1847" s="30" t="n">
        <v>1</v>
      </c>
      <c r="J1847" s="31" t="n">
        <f aca="false">ROUND(H1847*I1847,2)</f>
        <v>3.86</v>
      </c>
      <c r="L1847" s="53"/>
      <c r="M1847" s="53"/>
      <c r="N1847" s="53"/>
    </row>
    <row r="1848" customFormat="false" ht="15" hidden="false" customHeight="false" outlineLevel="0" collapsed="false">
      <c r="A1848" s="37" t="s">
        <v>269</v>
      </c>
      <c r="F1848" s="38" t="n">
        <f aca="false">ROUND((SUM(F1840:F1847)-F1847)*1.1+F1847,2)</f>
        <v>71</v>
      </c>
      <c r="J1848" s="39" t="n">
        <f aca="false">ROUND(SUM(J1840:J1847),2)</f>
        <v>82.54</v>
      </c>
      <c r="N1848" s="54"/>
    </row>
    <row r="1849" customFormat="false" ht="15" hidden="false" customHeight="false" outlineLevel="0" collapsed="false">
      <c r="A1849" s="15" t="s">
        <v>270</v>
      </c>
      <c r="B1849" s="41" t="n">
        <f aca="false">IF((F1842+F1840+F1844+F1841+F1843)=0,"",((F1842+F1840+F1844+F1841+F1843)-(B1842*D1842+B1840*D1840+B1844*D1844+B1841*D1841+B1843*D1843))/(F1842+F1840+F1844+F1841+F1843))</f>
        <v>0.111901420533881</v>
      </c>
      <c r="D1849" s="42" t="str">
        <f aca="false">IF(B1849="","SIN PC",IF(B1849&gt;=Detalle!$G$1,"APROBAR",IF(B1849&gt;=0.2,"REVISAR","RECHAZAR")))</f>
        <v>RECHAZAR</v>
      </c>
      <c r="E1849" s="42"/>
      <c r="F1849" s="42"/>
    </row>
    <row r="1851" customFormat="false" ht="15" hidden="false" customHeight="false" outlineLevel="0" collapsed="false">
      <c r="A1851" s="11" t="s">
        <v>1001</v>
      </c>
      <c r="B1851" s="11"/>
      <c r="C1851" s="11"/>
      <c r="D1851" s="11"/>
      <c r="E1851" s="11"/>
      <c r="F1851" s="11"/>
      <c r="H1851" s="11" t="s">
        <v>426</v>
      </c>
      <c r="I1851" s="11"/>
      <c r="J1851" s="11"/>
      <c r="K1851" s="11"/>
      <c r="L1851" s="11"/>
      <c r="M1851" s="11"/>
      <c r="N1851" s="11"/>
      <c r="P1851" s="14" t="s">
        <v>246</v>
      </c>
    </row>
    <row r="1852" customFormat="false" ht="15" hidden="false" customHeight="false" outlineLevel="0" collapsed="false">
      <c r="A1852" s="15" t="s">
        <v>247</v>
      </c>
      <c r="B1852" s="16" t="s">
        <v>248</v>
      </c>
      <c r="C1852" s="17"/>
      <c r="D1852" s="17"/>
      <c r="E1852" s="17"/>
      <c r="F1852" s="17"/>
      <c r="H1852" s="18" t="s">
        <v>427</v>
      </c>
      <c r="I1852" s="19"/>
      <c r="J1852" s="19"/>
      <c r="L1852" s="20" t="s">
        <v>428</v>
      </c>
      <c r="M1852" s="21"/>
      <c r="N1852" s="21"/>
      <c r="P1852" s="14" t="s">
        <v>429</v>
      </c>
    </row>
    <row r="1853" customFormat="false" ht="15" hidden="false" customHeight="false" outlineLevel="0" collapsed="false">
      <c r="B1853" s="3" t="s">
        <v>252</v>
      </c>
      <c r="C1853" s="3" t="s">
        <v>253</v>
      </c>
      <c r="D1853" s="3" t="s">
        <v>254</v>
      </c>
      <c r="E1853" s="3" t="s">
        <v>255</v>
      </c>
      <c r="F1853" s="3" t="s">
        <v>256</v>
      </c>
      <c r="H1853" s="22" t="s">
        <v>252</v>
      </c>
      <c r="I1853" s="22" t="s">
        <v>255</v>
      </c>
      <c r="J1853" s="22" t="s">
        <v>256</v>
      </c>
      <c r="L1853" s="23" t="s">
        <v>252</v>
      </c>
      <c r="M1853" s="23" t="s">
        <v>255</v>
      </c>
      <c r="N1853" s="23" t="s">
        <v>256</v>
      </c>
      <c r="P1853" s="14" t="s">
        <v>399</v>
      </c>
    </row>
    <row r="1854" customFormat="false" ht="15" hidden="false" customHeight="false" outlineLevel="0" collapsed="false">
      <c r="A1854" s="24" t="s">
        <v>258</v>
      </c>
      <c r="B1854" s="25" t="n">
        <v>5.5</v>
      </c>
      <c r="C1854" s="25" t="n">
        <v>30</v>
      </c>
      <c r="D1854" s="26" t="n">
        <v>3.68919</v>
      </c>
      <c r="E1854" s="27" t="n">
        <v>3.85</v>
      </c>
      <c r="F1854" s="28" t="n">
        <f aca="false">ROUND(B1854*E1854,2)</f>
        <v>21.18</v>
      </c>
      <c r="H1854" s="29" t="n">
        <v>5.5</v>
      </c>
      <c r="I1854" s="30" t="n">
        <v>3.85</v>
      </c>
      <c r="J1854" s="31" t="n">
        <f aca="false">ROUND(H1854*I1854,2)</f>
        <v>21.18</v>
      </c>
      <c r="L1854" s="53"/>
      <c r="M1854" s="53"/>
      <c r="N1854" s="53"/>
      <c r="P1854" s="35" t="s">
        <v>430</v>
      </c>
    </row>
    <row r="1855" customFormat="false" ht="15" hidden="false" customHeight="false" outlineLevel="0" collapsed="false">
      <c r="A1855" s="24" t="s">
        <v>260</v>
      </c>
      <c r="B1855" s="25" t="n">
        <v>5.5</v>
      </c>
      <c r="C1855" s="25" t="n">
        <v>30</v>
      </c>
      <c r="D1855" s="26" t="n">
        <v>1.31928</v>
      </c>
      <c r="E1855" s="27" t="n">
        <v>1.33</v>
      </c>
      <c r="F1855" s="28" t="n">
        <f aca="false">ROUND(B1855*E1855,2)</f>
        <v>7.32</v>
      </c>
      <c r="H1855" s="29" t="n">
        <v>5.5</v>
      </c>
      <c r="I1855" s="30" t="n">
        <v>1.33</v>
      </c>
      <c r="J1855" s="31" t="n">
        <f aca="false">ROUND(H1855*I1855,2)</f>
        <v>7.32</v>
      </c>
      <c r="L1855" s="53"/>
      <c r="M1855" s="53"/>
      <c r="N1855" s="53"/>
      <c r="P1855" s="43" t="s">
        <v>261</v>
      </c>
    </row>
    <row r="1856" customFormat="false" ht="15" hidden="false" customHeight="false" outlineLevel="0" collapsed="false">
      <c r="A1856" s="24" t="s">
        <v>262</v>
      </c>
      <c r="B1856" s="25" t="n">
        <v>20.389</v>
      </c>
      <c r="C1856" s="25" t="n">
        <v>30</v>
      </c>
      <c r="D1856" s="26" t="n">
        <v>0.111171</v>
      </c>
      <c r="E1856" s="27" t="n">
        <v>0.13788</v>
      </c>
      <c r="F1856" s="28" t="n">
        <f aca="false">ROUND(B1856*E1856,2)</f>
        <v>2.81</v>
      </c>
      <c r="H1856" s="29" t="n">
        <v>28.824</v>
      </c>
      <c r="I1856" s="30" t="n">
        <v>0.13788</v>
      </c>
      <c r="J1856" s="31" t="n">
        <f aca="false">ROUND(H1856*I1856,2)</f>
        <v>3.97</v>
      </c>
      <c r="L1856" s="53"/>
      <c r="M1856" s="53"/>
      <c r="N1856" s="53"/>
    </row>
    <row r="1857" customFormat="false" ht="15" hidden="false" customHeight="false" outlineLevel="0" collapsed="false">
      <c r="A1857" s="24" t="s">
        <v>264</v>
      </c>
      <c r="B1857" s="25" t="n">
        <v>20.816</v>
      </c>
      <c r="C1857" s="25" t="n">
        <v>30</v>
      </c>
      <c r="D1857" s="26" t="n">
        <v>0.111171</v>
      </c>
      <c r="E1857" s="27" t="n">
        <v>0.13788</v>
      </c>
      <c r="F1857" s="28" t="n">
        <f aca="false">ROUND(B1857*E1857,2)</f>
        <v>2.87</v>
      </c>
      <c r="H1857" s="29" t="n">
        <v>27.849</v>
      </c>
      <c r="I1857" s="30" t="n">
        <v>0.13788</v>
      </c>
      <c r="J1857" s="31" t="n">
        <f aca="false">ROUND(H1857*I1857,2)</f>
        <v>3.84</v>
      </c>
      <c r="L1857" s="53"/>
      <c r="M1857" s="53"/>
      <c r="N1857" s="53"/>
    </row>
    <row r="1858" customFormat="false" ht="15" hidden="false" customHeight="false" outlineLevel="0" collapsed="false">
      <c r="A1858" s="24" t="s">
        <v>265</v>
      </c>
      <c r="B1858" s="25" t="n">
        <v>99.777</v>
      </c>
      <c r="C1858" s="25" t="n">
        <v>30</v>
      </c>
      <c r="D1858" s="26" t="n">
        <v>0.111171</v>
      </c>
      <c r="E1858" s="27" t="n">
        <v>0.13788</v>
      </c>
      <c r="F1858" s="28" t="n">
        <f aca="false">ROUND(B1858*E1858,2)</f>
        <v>13.76</v>
      </c>
      <c r="H1858" s="29" t="n">
        <v>76.409</v>
      </c>
      <c r="I1858" s="30" t="n">
        <v>0.13788</v>
      </c>
      <c r="J1858" s="31" t="n">
        <f aca="false">ROUND(H1858*I1858,2)</f>
        <v>10.54</v>
      </c>
      <c r="L1858" s="53"/>
      <c r="M1858" s="53"/>
      <c r="N1858" s="53"/>
    </row>
    <row r="1859" customFormat="false" ht="15" hidden="false" customHeight="false" outlineLevel="0" collapsed="false">
      <c r="A1859" s="24" t="s">
        <v>266</v>
      </c>
      <c r="B1859" s="25" t="n">
        <v>1</v>
      </c>
      <c r="C1859" s="25" t="n">
        <v>30</v>
      </c>
      <c r="D1859" s="26" t="n">
        <v>0.7989</v>
      </c>
      <c r="E1859" s="27" t="n">
        <v>3</v>
      </c>
      <c r="F1859" s="28" t="n">
        <f aca="false">ROUND(B1859*E1859,2)</f>
        <v>3</v>
      </c>
      <c r="H1859" s="29" t="n">
        <v>1</v>
      </c>
      <c r="I1859" s="30" t="n">
        <v>3</v>
      </c>
      <c r="J1859" s="31" t="n">
        <f aca="false">ROUND(H1859*I1859,2)</f>
        <v>3</v>
      </c>
      <c r="L1859" s="53"/>
      <c r="M1859" s="53"/>
      <c r="N1859" s="53"/>
    </row>
    <row r="1860" customFormat="false" ht="15" hidden="false" customHeight="false" outlineLevel="0" collapsed="false">
      <c r="A1860" s="24" t="s">
        <v>267</v>
      </c>
      <c r="B1860" s="25" t="n">
        <v>30</v>
      </c>
      <c r="C1860" s="25" t="n">
        <v>30</v>
      </c>
      <c r="D1860" s="26" t="n">
        <v>0.5736</v>
      </c>
      <c r="E1860" s="27" t="n">
        <v>0.01274</v>
      </c>
      <c r="F1860" s="28" t="n">
        <f aca="false">ROUND(B1860*E1860,2)</f>
        <v>0.38</v>
      </c>
      <c r="H1860" s="29" t="n">
        <v>30</v>
      </c>
      <c r="I1860" s="30" t="n">
        <v>0.01274</v>
      </c>
      <c r="J1860" s="31" t="n">
        <f aca="false">ROUND(H1860*I1860,2)</f>
        <v>0.38</v>
      </c>
      <c r="L1860" s="53"/>
      <c r="M1860" s="53"/>
      <c r="N1860" s="53"/>
    </row>
    <row r="1861" customFormat="false" ht="15" hidden="false" customHeight="false" outlineLevel="0" collapsed="false">
      <c r="A1861" s="24" t="s">
        <v>268</v>
      </c>
      <c r="B1861" s="25" t="n">
        <v>2.46</v>
      </c>
      <c r="C1861" s="25" t="n">
        <v>30</v>
      </c>
      <c r="D1861" s="26" t="n">
        <v>0.02671</v>
      </c>
      <c r="E1861" s="27" t="n">
        <v>1</v>
      </c>
      <c r="F1861" s="28" t="n">
        <f aca="false">ROUND(B1861*E1861,2)</f>
        <v>2.46</v>
      </c>
      <c r="H1861" s="29" t="n">
        <v>2.4</v>
      </c>
      <c r="I1861" s="30" t="n">
        <v>1</v>
      </c>
      <c r="J1861" s="31" t="n">
        <f aca="false">ROUND(H1861*I1861,2)</f>
        <v>2.4</v>
      </c>
      <c r="L1861" s="53"/>
      <c r="M1861" s="53"/>
      <c r="N1861" s="53"/>
    </row>
    <row r="1862" customFormat="false" ht="15" hidden="false" customHeight="false" outlineLevel="0" collapsed="false">
      <c r="A1862" s="37" t="s">
        <v>269</v>
      </c>
      <c r="F1862" s="38" t="n">
        <f aca="false">ROUND((SUM(F1854:F1861)-F1861)*1.1+F1861,2)</f>
        <v>58.91</v>
      </c>
      <c r="J1862" s="39" t="n">
        <f aca="false">ROUND(SUM(J1854:J1861),2)</f>
        <v>52.63</v>
      </c>
      <c r="N1862" s="54"/>
    </row>
    <row r="1863" customFormat="false" ht="15" hidden="false" customHeight="false" outlineLevel="0" collapsed="false">
      <c r="A1863" s="15" t="s">
        <v>270</v>
      </c>
      <c r="B1863" s="41" t="n">
        <f aca="false">IF((F1856+F1854+F1858+F1855+F1857)=0,"",((F1856+F1854+F1858+F1855+F1857)-(B1856*D1856+B1854*D1854+B1858*D1858+B1855*D1855+B1857*D1857))/(F1856+F1854+F1858+F1855+F1857))</f>
        <v>0.0984627675844805</v>
      </c>
      <c r="D1863" s="42" t="str">
        <f aca="false">IF(B1863="","SIN PC",IF(B1863&gt;=Detalle!$G$1,"APROBAR",IF(B1863&gt;=0.2,"REVISAR","RECHAZAR")))</f>
        <v>RECHAZAR</v>
      </c>
      <c r="E1863" s="42"/>
      <c r="F1863" s="42"/>
    </row>
    <row r="1865" customFormat="false" ht="15" hidden="false" customHeight="false" outlineLevel="0" collapsed="false">
      <c r="A1865" s="11" t="s">
        <v>1002</v>
      </c>
      <c r="B1865" s="11"/>
      <c r="C1865" s="11"/>
      <c r="D1865" s="11"/>
      <c r="E1865" s="11"/>
      <c r="F1865" s="11"/>
      <c r="H1865" s="11" t="s">
        <v>1003</v>
      </c>
      <c r="I1865" s="11"/>
      <c r="J1865" s="11"/>
      <c r="K1865" s="11"/>
      <c r="L1865" s="11"/>
      <c r="M1865" s="11"/>
      <c r="N1865" s="11"/>
      <c r="P1865" s="14" t="s">
        <v>246</v>
      </c>
    </row>
    <row r="1866" customFormat="false" ht="15" hidden="false" customHeight="false" outlineLevel="0" collapsed="false">
      <c r="A1866" s="15" t="s">
        <v>247</v>
      </c>
      <c r="B1866" s="16" t="s">
        <v>248</v>
      </c>
      <c r="C1866" s="17"/>
      <c r="D1866" s="17"/>
      <c r="E1866" s="17"/>
      <c r="F1866" s="17"/>
      <c r="H1866" s="18" t="s">
        <v>1004</v>
      </c>
      <c r="I1866" s="19"/>
      <c r="J1866" s="19"/>
      <c r="L1866" s="20" t="s">
        <v>428</v>
      </c>
      <c r="M1866" s="21"/>
      <c r="N1866" s="21"/>
      <c r="P1866" s="14" t="s">
        <v>429</v>
      </c>
    </row>
    <row r="1867" customFormat="false" ht="15" hidden="false" customHeight="false" outlineLevel="0" collapsed="false">
      <c r="B1867" s="3" t="s">
        <v>252</v>
      </c>
      <c r="C1867" s="3" t="s">
        <v>253</v>
      </c>
      <c r="D1867" s="3" t="s">
        <v>254</v>
      </c>
      <c r="E1867" s="3" t="s">
        <v>255</v>
      </c>
      <c r="F1867" s="3" t="s">
        <v>256</v>
      </c>
      <c r="H1867" s="22" t="s">
        <v>252</v>
      </c>
      <c r="I1867" s="22" t="s">
        <v>255</v>
      </c>
      <c r="J1867" s="22" t="s">
        <v>256</v>
      </c>
      <c r="L1867" s="23" t="s">
        <v>252</v>
      </c>
      <c r="M1867" s="23" t="s">
        <v>255</v>
      </c>
      <c r="N1867" s="23" t="s">
        <v>256</v>
      </c>
      <c r="P1867" s="14" t="s">
        <v>399</v>
      </c>
    </row>
    <row r="1868" customFormat="false" ht="15" hidden="false" customHeight="false" outlineLevel="0" collapsed="false">
      <c r="A1868" s="24" t="s">
        <v>258</v>
      </c>
      <c r="B1868" s="25" t="n">
        <v>5.75</v>
      </c>
      <c r="C1868" s="25" t="n">
        <v>30</v>
      </c>
      <c r="D1868" s="26" t="n">
        <v>3.68919</v>
      </c>
      <c r="E1868" s="27" t="n">
        <v>3.85</v>
      </c>
      <c r="F1868" s="28" t="n">
        <f aca="false">ROUND(B1868*E1868,2)</f>
        <v>22.14</v>
      </c>
      <c r="H1868" s="29" t="n">
        <v>5.75</v>
      </c>
      <c r="I1868" s="30" t="n">
        <v>3.85</v>
      </c>
      <c r="J1868" s="31" t="n">
        <f aca="false">ROUND(H1868*I1868,2)</f>
        <v>22.14</v>
      </c>
      <c r="L1868" s="53"/>
      <c r="M1868" s="53"/>
      <c r="N1868" s="53"/>
      <c r="P1868" s="35" t="s">
        <v>430</v>
      </c>
    </row>
    <row r="1869" customFormat="false" ht="15" hidden="false" customHeight="false" outlineLevel="0" collapsed="false">
      <c r="A1869" s="24" t="s">
        <v>260</v>
      </c>
      <c r="B1869" s="25" t="n">
        <v>5.75</v>
      </c>
      <c r="C1869" s="25" t="n">
        <v>30</v>
      </c>
      <c r="D1869" s="26" t="n">
        <v>1.31928</v>
      </c>
      <c r="E1869" s="27" t="n">
        <v>1.33</v>
      </c>
      <c r="F1869" s="28" t="n">
        <f aca="false">ROUND(B1869*E1869,2)</f>
        <v>7.65</v>
      </c>
      <c r="H1869" s="29" t="n">
        <v>5.75</v>
      </c>
      <c r="I1869" s="30" t="n">
        <v>1.33</v>
      </c>
      <c r="J1869" s="31" t="n">
        <f aca="false">ROUND(H1869*I1869,2)</f>
        <v>7.65</v>
      </c>
      <c r="L1869" s="53"/>
      <c r="M1869" s="53"/>
      <c r="N1869" s="53"/>
      <c r="P1869" s="43" t="s">
        <v>261</v>
      </c>
    </row>
    <row r="1870" customFormat="false" ht="15" hidden="false" customHeight="false" outlineLevel="0" collapsed="false">
      <c r="A1870" s="24" t="s">
        <v>262</v>
      </c>
      <c r="B1870" s="25" t="n">
        <v>107.851</v>
      </c>
      <c r="C1870" s="25" t="n">
        <v>30</v>
      </c>
      <c r="D1870" s="26" t="n">
        <v>0.111171</v>
      </c>
      <c r="E1870" s="27" t="n">
        <v>0.13788</v>
      </c>
      <c r="F1870" s="28" t="n">
        <f aca="false">ROUND(B1870*E1870,2)</f>
        <v>14.87</v>
      </c>
      <c r="H1870" s="29" t="n">
        <v>125.295</v>
      </c>
      <c r="I1870" s="30" t="n">
        <v>0.13788</v>
      </c>
      <c r="J1870" s="31" t="n">
        <f aca="false">ROUND(H1870*I1870,2)</f>
        <v>17.28</v>
      </c>
      <c r="L1870" s="53"/>
      <c r="M1870" s="53"/>
      <c r="N1870" s="53"/>
    </row>
    <row r="1871" customFormat="false" ht="15" hidden="false" customHeight="false" outlineLevel="0" collapsed="false">
      <c r="A1871" s="24" t="s">
        <v>264</v>
      </c>
      <c r="B1871" s="25" t="n">
        <v>93.012</v>
      </c>
      <c r="C1871" s="25" t="n">
        <v>30</v>
      </c>
      <c r="D1871" s="26" t="n">
        <v>0.111171</v>
      </c>
      <c r="E1871" s="27" t="n">
        <v>0.13788</v>
      </c>
      <c r="F1871" s="28" t="n">
        <f aca="false">ROUND(B1871*E1871,2)</f>
        <v>12.82</v>
      </c>
      <c r="H1871" s="29" t="n">
        <v>101.296</v>
      </c>
      <c r="I1871" s="30" t="n">
        <v>0.13788</v>
      </c>
      <c r="J1871" s="31" t="n">
        <f aca="false">ROUND(H1871*I1871,2)</f>
        <v>13.97</v>
      </c>
      <c r="L1871" s="53"/>
      <c r="M1871" s="53"/>
      <c r="N1871" s="53"/>
    </row>
    <row r="1872" customFormat="false" ht="15" hidden="false" customHeight="false" outlineLevel="0" collapsed="false">
      <c r="A1872" s="24" t="s">
        <v>265</v>
      </c>
      <c r="B1872" s="25" t="n">
        <v>119.734</v>
      </c>
      <c r="C1872" s="25" t="n">
        <v>30</v>
      </c>
      <c r="D1872" s="26" t="n">
        <v>0.111171</v>
      </c>
      <c r="E1872" s="27" t="n">
        <v>0.13788</v>
      </c>
      <c r="F1872" s="28" t="n">
        <f aca="false">ROUND(B1872*E1872,2)</f>
        <v>16.51</v>
      </c>
      <c r="H1872" s="29" t="n">
        <v>134.461</v>
      </c>
      <c r="I1872" s="30" t="n">
        <v>0.13788</v>
      </c>
      <c r="J1872" s="31" t="n">
        <f aca="false">ROUND(H1872*I1872,2)</f>
        <v>18.54</v>
      </c>
      <c r="L1872" s="53"/>
      <c r="M1872" s="53"/>
      <c r="N1872" s="53"/>
    </row>
    <row r="1873" customFormat="false" ht="15" hidden="false" customHeight="false" outlineLevel="0" collapsed="false">
      <c r="A1873" s="24" t="s">
        <v>266</v>
      </c>
      <c r="B1873" s="25" t="n">
        <v>1</v>
      </c>
      <c r="C1873" s="25" t="n">
        <v>30</v>
      </c>
      <c r="D1873" s="26" t="n">
        <v>0.7989</v>
      </c>
      <c r="E1873" s="27" t="n">
        <v>3</v>
      </c>
      <c r="F1873" s="28" t="n">
        <f aca="false">ROUND(B1873*E1873,2)</f>
        <v>3</v>
      </c>
      <c r="H1873" s="29" t="n">
        <v>1</v>
      </c>
      <c r="I1873" s="30" t="n">
        <v>3</v>
      </c>
      <c r="J1873" s="31" t="n">
        <f aca="false">ROUND(H1873*I1873,2)</f>
        <v>3</v>
      </c>
      <c r="L1873" s="53"/>
      <c r="M1873" s="53"/>
      <c r="N1873" s="53"/>
    </row>
    <row r="1874" customFormat="false" ht="15" hidden="false" customHeight="false" outlineLevel="0" collapsed="false">
      <c r="A1874" s="24" t="s">
        <v>267</v>
      </c>
      <c r="B1874" s="25" t="n">
        <v>30</v>
      </c>
      <c r="C1874" s="25" t="n">
        <v>30</v>
      </c>
      <c r="D1874" s="26" t="n">
        <v>0.5736</v>
      </c>
      <c r="E1874" s="27" t="n">
        <v>0.01274</v>
      </c>
      <c r="F1874" s="28" t="n">
        <f aca="false">ROUND(B1874*E1874,2)</f>
        <v>0.38</v>
      </c>
      <c r="H1874" s="29" t="n">
        <v>30</v>
      </c>
      <c r="I1874" s="30" t="n">
        <v>0.01274</v>
      </c>
      <c r="J1874" s="31" t="n">
        <f aca="false">ROUND(H1874*I1874,2)</f>
        <v>0.38</v>
      </c>
      <c r="L1874" s="53"/>
      <c r="M1874" s="53"/>
      <c r="N1874" s="53"/>
    </row>
    <row r="1875" customFormat="false" ht="15" hidden="false" customHeight="false" outlineLevel="0" collapsed="false">
      <c r="A1875" s="24" t="s">
        <v>268</v>
      </c>
      <c r="B1875" s="25" t="n">
        <v>3.79</v>
      </c>
      <c r="C1875" s="25" t="n">
        <v>30</v>
      </c>
      <c r="D1875" s="26" t="n">
        <v>0.02671</v>
      </c>
      <c r="E1875" s="27" t="n">
        <v>1</v>
      </c>
      <c r="F1875" s="28" t="n">
        <f aca="false">ROUND(B1875*E1875,2)</f>
        <v>3.79</v>
      </c>
      <c r="H1875" s="29" t="n">
        <v>4.08</v>
      </c>
      <c r="I1875" s="30" t="n">
        <v>1</v>
      </c>
      <c r="J1875" s="31" t="n">
        <f aca="false">ROUND(H1875*I1875,2)</f>
        <v>4.08</v>
      </c>
      <c r="L1875" s="53"/>
      <c r="M1875" s="53"/>
      <c r="N1875" s="53"/>
    </row>
    <row r="1876" customFormat="false" ht="15" hidden="false" customHeight="false" outlineLevel="0" collapsed="false">
      <c r="A1876" s="37" t="s">
        <v>269</v>
      </c>
      <c r="F1876" s="38" t="n">
        <f aca="false">ROUND((SUM(F1868:F1875)-F1875)*1.1+F1875,2)</f>
        <v>88.9</v>
      </c>
      <c r="J1876" s="39" t="n">
        <f aca="false">ROUND(SUM(J1868:J1875),2)</f>
        <v>87.04</v>
      </c>
      <c r="N1876" s="54"/>
    </row>
    <row r="1877" customFormat="false" ht="15" hidden="false" customHeight="false" outlineLevel="0" collapsed="false">
      <c r="A1877" s="15" t="s">
        <v>270</v>
      </c>
      <c r="B1877" s="41" t="n">
        <f aca="false">IF((F1870+F1868+F1872+F1869+F1871)=0,"",((F1870+F1868+F1872+F1869+F1871)-(B1870*D1870+B1868*D1868+B1872*D1872+B1869*D1869+B1871*D1871))/(F1870+F1868+F1872+F1869+F1871))</f>
        <v>0.129074312920665</v>
      </c>
      <c r="D1877" s="42" t="str">
        <f aca="false">IF(B1877="","SIN PC",IF(B1877&gt;=Detalle!$G$1,"APROBAR",IF(B1877&gt;=0.2,"REVISAR","RECHAZAR")))</f>
        <v>RECHAZAR</v>
      </c>
      <c r="E1877" s="42"/>
      <c r="F1877" s="42"/>
    </row>
    <row r="1879" customFormat="false" ht="15" hidden="false" customHeight="false" outlineLevel="0" collapsed="false">
      <c r="A1879" s="11" t="s">
        <v>1005</v>
      </c>
      <c r="B1879" s="11"/>
      <c r="C1879" s="11"/>
      <c r="D1879" s="11"/>
      <c r="E1879" s="11"/>
      <c r="F1879" s="11"/>
      <c r="H1879" s="11" t="s">
        <v>1006</v>
      </c>
      <c r="I1879" s="11"/>
      <c r="J1879" s="11"/>
      <c r="K1879" s="11"/>
      <c r="L1879" s="11"/>
      <c r="M1879" s="11"/>
      <c r="N1879" s="11"/>
      <c r="P1879" s="14" t="s">
        <v>246</v>
      </c>
    </row>
    <row r="1880" customFormat="false" ht="15" hidden="false" customHeight="false" outlineLevel="0" collapsed="false">
      <c r="A1880" s="15" t="s">
        <v>247</v>
      </c>
      <c r="B1880" s="16" t="s">
        <v>248</v>
      </c>
      <c r="C1880" s="17"/>
      <c r="D1880" s="17"/>
      <c r="E1880" s="17"/>
      <c r="F1880" s="17"/>
      <c r="H1880" s="18" t="s">
        <v>1007</v>
      </c>
      <c r="I1880" s="19"/>
      <c r="J1880" s="19"/>
      <c r="L1880" s="20" t="s">
        <v>428</v>
      </c>
      <c r="M1880" s="21"/>
      <c r="N1880" s="21"/>
      <c r="P1880" s="14" t="s">
        <v>429</v>
      </c>
    </row>
    <row r="1881" customFormat="false" ht="15" hidden="false" customHeight="false" outlineLevel="0" collapsed="false">
      <c r="B1881" s="3" t="s">
        <v>252</v>
      </c>
      <c r="C1881" s="3" t="s">
        <v>253</v>
      </c>
      <c r="D1881" s="3" t="s">
        <v>254</v>
      </c>
      <c r="E1881" s="3" t="s">
        <v>255</v>
      </c>
      <c r="F1881" s="3" t="s">
        <v>256</v>
      </c>
      <c r="H1881" s="22" t="s">
        <v>252</v>
      </c>
      <c r="I1881" s="22" t="s">
        <v>255</v>
      </c>
      <c r="J1881" s="22" t="s">
        <v>256</v>
      </c>
      <c r="L1881" s="23" t="s">
        <v>252</v>
      </c>
      <c r="M1881" s="23" t="s">
        <v>255</v>
      </c>
      <c r="N1881" s="23" t="s">
        <v>256</v>
      </c>
      <c r="P1881" s="14" t="s">
        <v>399</v>
      </c>
    </row>
    <row r="1882" customFormat="false" ht="15" hidden="false" customHeight="false" outlineLevel="0" collapsed="false">
      <c r="A1882" s="24" t="s">
        <v>258</v>
      </c>
      <c r="B1882" s="25" t="n">
        <v>5.75</v>
      </c>
      <c r="C1882" s="25" t="n">
        <v>30</v>
      </c>
      <c r="D1882" s="26" t="n">
        <v>3.68919</v>
      </c>
      <c r="E1882" s="27" t="n">
        <v>3.85</v>
      </c>
      <c r="F1882" s="28" t="n">
        <f aca="false">ROUND(B1882*E1882,2)</f>
        <v>22.14</v>
      </c>
      <c r="H1882" s="29" t="n">
        <v>5.75</v>
      </c>
      <c r="I1882" s="30" t="n">
        <v>3.85</v>
      </c>
      <c r="J1882" s="31" t="n">
        <f aca="false">ROUND(H1882*I1882,2)</f>
        <v>22.14</v>
      </c>
      <c r="L1882" s="53"/>
      <c r="M1882" s="53"/>
      <c r="N1882" s="53"/>
      <c r="P1882" s="35" t="s">
        <v>430</v>
      </c>
    </row>
    <row r="1883" customFormat="false" ht="15" hidden="false" customHeight="false" outlineLevel="0" collapsed="false">
      <c r="A1883" s="24" t="s">
        <v>260</v>
      </c>
      <c r="B1883" s="25" t="n">
        <v>5.75</v>
      </c>
      <c r="C1883" s="25" t="n">
        <v>30</v>
      </c>
      <c r="D1883" s="26" t="n">
        <v>1.31928</v>
      </c>
      <c r="E1883" s="27" t="n">
        <v>1.33</v>
      </c>
      <c r="F1883" s="28" t="n">
        <f aca="false">ROUND(B1883*E1883,2)</f>
        <v>7.65</v>
      </c>
      <c r="H1883" s="29" t="n">
        <v>5.75</v>
      </c>
      <c r="I1883" s="30" t="n">
        <v>1.33</v>
      </c>
      <c r="J1883" s="31" t="n">
        <f aca="false">ROUND(H1883*I1883,2)</f>
        <v>7.65</v>
      </c>
      <c r="L1883" s="53"/>
      <c r="M1883" s="53"/>
      <c r="N1883" s="53"/>
      <c r="P1883" s="43" t="s">
        <v>261</v>
      </c>
    </row>
    <row r="1884" customFormat="false" ht="15" hidden="false" customHeight="false" outlineLevel="0" collapsed="false">
      <c r="A1884" s="24" t="s">
        <v>262</v>
      </c>
      <c r="B1884" s="25" t="n">
        <v>45.499</v>
      </c>
      <c r="C1884" s="25" t="n">
        <v>30</v>
      </c>
      <c r="D1884" s="26" t="n">
        <v>0.111171</v>
      </c>
      <c r="E1884" s="27" t="n">
        <v>0.13788</v>
      </c>
      <c r="F1884" s="28" t="n">
        <f aca="false">ROUND(B1884*E1884,2)</f>
        <v>6.27</v>
      </c>
      <c r="H1884" s="29" t="n">
        <v>73.501</v>
      </c>
      <c r="I1884" s="30" t="n">
        <v>0.13788</v>
      </c>
      <c r="J1884" s="31" t="n">
        <f aca="false">ROUND(H1884*I1884,2)</f>
        <v>10.13</v>
      </c>
      <c r="L1884" s="53"/>
      <c r="M1884" s="53"/>
      <c r="N1884" s="53"/>
    </row>
    <row r="1885" customFormat="false" ht="15" hidden="false" customHeight="false" outlineLevel="0" collapsed="false">
      <c r="A1885" s="24" t="s">
        <v>264</v>
      </c>
      <c r="B1885" s="25" t="n">
        <v>46.535</v>
      </c>
      <c r="C1885" s="25" t="n">
        <v>30</v>
      </c>
      <c r="D1885" s="26" t="n">
        <v>0.111171</v>
      </c>
      <c r="E1885" s="27" t="n">
        <v>0.13788</v>
      </c>
      <c r="F1885" s="28" t="n">
        <f aca="false">ROUND(B1885*E1885,2)</f>
        <v>6.42</v>
      </c>
      <c r="H1885" s="29" t="n">
        <v>71.27</v>
      </c>
      <c r="I1885" s="30" t="n">
        <v>0.13788</v>
      </c>
      <c r="J1885" s="31" t="n">
        <f aca="false">ROUND(H1885*I1885,2)</f>
        <v>9.83</v>
      </c>
      <c r="L1885" s="53"/>
      <c r="M1885" s="53"/>
      <c r="N1885" s="53"/>
    </row>
    <row r="1886" customFormat="false" ht="15" hidden="false" customHeight="false" outlineLevel="0" collapsed="false">
      <c r="A1886" s="24" t="s">
        <v>265</v>
      </c>
      <c r="B1886" s="25" t="n">
        <v>141.298</v>
      </c>
      <c r="C1886" s="25" t="n">
        <v>30</v>
      </c>
      <c r="D1886" s="26" t="n">
        <v>0.111171</v>
      </c>
      <c r="E1886" s="27" t="n">
        <v>0.13788</v>
      </c>
      <c r="F1886" s="28" t="n">
        <f aca="false">ROUND(B1886*E1886,2)</f>
        <v>19.48</v>
      </c>
      <c r="H1886" s="29" t="n">
        <v>107.316</v>
      </c>
      <c r="I1886" s="30" t="n">
        <v>0.13788</v>
      </c>
      <c r="J1886" s="31" t="n">
        <f aca="false">ROUND(H1886*I1886,2)</f>
        <v>14.8</v>
      </c>
      <c r="L1886" s="53"/>
      <c r="M1886" s="53"/>
      <c r="N1886" s="53"/>
    </row>
    <row r="1887" customFormat="false" ht="15" hidden="false" customHeight="false" outlineLevel="0" collapsed="false">
      <c r="A1887" s="24" t="s">
        <v>266</v>
      </c>
      <c r="B1887" s="25" t="n">
        <v>1</v>
      </c>
      <c r="C1887" s="25" t="n">
        <v>30</v>
      </c>
      <c r="D1887" s="26" t="n">
        <v>0.7989</v>
      </c>
      <c r="E1887" s="27" t="n">
        <v>3</v>
      </c>
      <c r="F1887" s="28" t="n">
        <f aca="false">ROUND(B1887*E1887,2)</f>
        <v>3</v>
      </c>
      <c r="H1887" s="29" t="n">
        <v>1</v>
      </c>
      <c r="I1887" s="30" t="n">
        <v>3</v>
      </c>
      <c r="J1887" s="31" t="n">
        <f aca="false">ROUND(H1887*I1887,2)</f>
        <v>3</v>
      </c>
      <c r="L1887" s="53"/>
      <c r="M1887" s="53"/>
      <c r="N1887" s="53"/>
    </row>
    <row r="1888" customFormat="false" ht="15" hidden="false" customHeight="false" outlineLevel="0" collapsed="false">
      <c r="A1888" s="24" t="s">
        <v>267</v>
      </c>
      <c r="B1888" s="25" t="n">
        <v>30</v>
      </c>
      <c r="C1888" s="25" t="n">
        <v>30</v>
      </c>
      <c r="D1888" s="26" t="n">
        <v>0.5736</v>
      </c>
      <c r="E1888" s="27" t="n">
        <v>0.01274</v>
      </c>
      <c r="F1888" s="28" t="n">
        <f aca="false">ROUND(B1888*E1888,2)</f>
        <v>0.38</v>
      </c>
      <c r="H1888" s="29" t="n">
        <v>30</v>
      </c>
      <c r="I1888" s="30" t="n">
        <v>0.01274</v>
      </c>
      <c r="J1888" s="31" t="n">
        <f aca="false">ROUND(H1888*I1888,2)</f>
        <v>0.38</v>
      </c>
      <c r="L1888" s="53"/>
      <c r="M1888" s="53"/>
      <c r="N1888" s="53"/>
    </row>
    <row r="1889" customFormat="false" ht="15" hidden="false" customHeight="false" outlineLevel="0" collapsed="false">
      <c r="A1889" s="24" t="s">
        <v>268</v>
      </c>
      <c r="B1889" s="25" t="n">
        <v>3.18</v>
      </c>
      <c r="C1889" s="25" t="n">
        <v>30</v>
      </c>
      <c r="D1889" s="26" t="n">
        <v>0.02671</v>
      </c>
      <c r="E1889" s="27" t="n">
        <v>1</v>
      </c>
      <c r="F1889" s="28" t="n">
        <f aca="false">ROUND(B1889*E1889,2)</f>
        <v>3.18</v>
      </c>
      <c r="H1889" s="29" t="n">
        <v>3.31</v>
      </c>
      <c r="I1889" s="30" t="n">
        <v>1</v>
      </c>
      <c r="J1889" s="31" t="n">
        <f aca="false">ROUND(H1889*I1889,2)</f>
        <v>3.31</v>
      </c>
      <c r="L1889" s="53"/>
      <c r="M1889" s="53"/>
      <c r="N1889" s="53"/>
    </row>
    <row r="1890" customFormat="false" ht="15" hidden="false" customHeight="false" outlineLevel="0" collapsed="false">
      <c r="A1890" s="37" t="s">
        <v>269</v>
      </c>
      <c r="F1890" s="38" t="n">
        <f aca="false">ROUND((SUM(F1882:F1889)-F1889)*1.1+F1889,2)</f>
        <v>75.05</v>
      </c>
      <c r="J1890" s="39" t="n">
        <f aca="false">ROUND(SUM(J1882:J1889),2)</f>
        <v>71.24</v>
      </c>
      <c r="N1890" s="54"/>
    </row>
    <row r="1891" customFormat="false" ht="15" hidden="false" customHeight="false" outlineLevel="0" collapsed="false">
      <c r="A1891" s="15" t="s">
        <v>270</v>
      </c>
      <c r="B1891" s="41" t="n">
        <f aca="false">IF((F1884+F1882+F1886+F1883+F1885)=0,"",((F1884+F1882+F1886+F1883+F1885)-(B1884*D1884+B1882*D1882+B1886*D1886+B1883*D1883+B1885*D1885))/(F1884+F1882+F1886+F1883+F1885))</f>
        <v>0.11655173867011</v>
      </c>
      <c r="D1891" s="42" t="str">
        <f aca="false">IF(B1891="","SIN PC",IF(B1891&gt;=Detalle!$G$1,"APROBAR",IF(B1891&gt;=0.2,"REVISAR","RECHAZAR")))</f>
        <v>RECHAZAR</v>
      </c>
      <c r="E1891" s="42"/>
      <c r="F1891" s="42"/>
    </row>
    <row r="1893" customFormat="false" ht="15" hidden="false" customHeight="false" outlineLevel="0" collapsed="false">
      <c r="A1893" s="11" t="s">
        <v>1008</v>
      </c>
      <c r="B1893" s="11"/>
      <c r="C1893" s="11"/>
      <c r="D1893" s="11"/>
      <c r="E1893" s="11"/>
      <c r="F1893" s="11"/>
      <c r="H1893" s="11" t="s">
        <v>1009</v>
      </c>
      <c r="I1893" s="11"/>
      <c r="J1893" s="11"/>
      <c r="K1893" s="11"/>
      <c r="L1893" s="11"/>
      <c r="M1893" s="11"/>
      <c r="N1893" s="11"/>
      <c r="P1893" s="14" t="s">
        <v>246</v>
      </c>
    </row>
    <row r="1894" customFormat="false" ht="15" hidden="false" customHeight="false" outlineLevel="0" collapsed="false">
      <c r="A1894" s="15" t="s">
        <v>247</v>
      </c>
      <c r="B1894" s="16" t="s">
        <v>248</v>
      </c>
      <c r="C1894" s="17"/>
      <c r="D1894" s="17"/>
      <c r="E1894" s="17"/>
      <c r="F1894" s="17"/>
      <c r="H1894" s="18" t="s">
        <v>1010</v>
      </c>
      <c r="I1894" s="19"/>
      <c r="J1894" s="19"/>
      <c r="L1894" s="20" t="s">
        <v>428</v>
      </c>
      <c r="M1894" s="21"/>
      <c r="N1894" s="21"/>
      <c r="P1894" s="14" t="s">
        <v>429</v>
      </c>
    </row>
    <row r="1895" customFormat="false" ht="15" hidden="false" customHeight="false" outlineLevel="0" collapsed="false">
      <c r="B1895" s="3" t="s">
        <v>252</v>
      </c>
      <c r="C1895" s="3" t="s">
        <v>253</v>
      </c>
      <c r="D1895" s="3" t="s">
        <v>254</v>
      </c>
      <c r="E1895" s="3" t="s">
        <v>255</v>
      </c>
      <c r="F1895" s="3" t="s">
        <v>256</v>
      </c>
      <c r="H1895" s="22" t="s">
        <v>252</v>
      </c>
      <c r="I1895" s="22" t="s">
        <v>255</v>
      </c>
      <c r="J1895" s="22" t="s">
        <v>256</v>
      </c>
      <c r="L1895" s="23" t="s">
        <v>252</v>
      </c>
      <c r="M1895" s="23" t="s">
        <v>255</v>
      </c>
      <c r="N1895" s="23" t="s">
        <v>256</v>
      </c>
      <c r="P1895" s="14" t="s">
        <v>399</v>
      </c>
    </row>
    <row r="1896" customFormat="false" ht="15" hidden="false" customHeight="false" outlineLevel="0" collapsed="false">
      <c r="A1896" s="24" t="s">
        <v>258</v>
      </c>
      <c r="B1896" s="25" t="n">
        <v>5.5</v>
      </c>
      <c r="C1896" s="25" t="n">
        <v>30</v>
      </c>
      <c r="D1896" s="26" t="n">
        <v>3.68919</v>
      </c>
      <c r="E1896" s="27" t="n">
        <v>3.85</v>
      </c>
      <c r="F1896" s="28" t="n">
        <f aca="false">ROUND(B1896*E1896,2)</f>
        <v>21.18</v>
      </c>
      <c r="H1896" s="29" t="n">
        <v>5.5</v>
      </c>
      <c r="I1896" s="30" t="n">
        <v>3.85</v>
      </c>
      <c r="J1896" s="31" t="n">
        <f aca="false">ROUND(H1896*I1896,2)</f>
        <v>21.18</v>
      </c>
      <c r="L1896" s="53"/>
      <c r="M1896" s="53"/>
      <c r="N1896" s="53"/>
      <c r="P1896" s="35" t="s">
        <v>430</v>
      </c>
    </row>
    <row r="1897" customFormat="false" ht="15" hidden="false" customHeight="false" outlineLevel="0" collapsed="false">
      <c r="A1897" s="24" t="s">
        <v>260</v>
      </c>
      <c r="B1897" s="25" t="n">
        <v>5.5</v>
      </c>
      <c r="C1897" s="25" t="n">
        <v>30</v>
      </c>
      <c r="D1897" s="26" t="n">
        <v>1.31928</v>
      </c>
      <c r="E1897" s="27" t="n">
        <v>1.33</v>
      </c>
      <c r="F1897" s="28" t="n">
        <f aca="false">ROUND(B1897*E1897,2)</f>
        <v>7.32</v>
      </c>
      <c r="H1897" s="29" t="n">
        <v>5.5</v>
      </c>
      <c r="I1897" s="30" t="n">
        <v>1.33</v>
      </c>
      <c r="J1897" s="31" t="n">
        <f aca="false">ROUND(H1897*I1897,2)</f>
        <v>7.32</v>
      </c>
      <c r="L1897" s="53"/>
      <c r="M1897" s="53"/>
      <c r="N1897" s="53"/>
      <c r="P1897" s="43" t="s">
        <v>261</v>
      </c>
    </row>
    <row r="1898" customFormat="false" ht="15" hidden="false" customHeight="false" outlineLevel="0" collapsed="false">
      <c r="A1898" s="24" t="s">
        <v>262</v>
      </c>
      <c r="B1898" s="25" t="n">
        <v>24.916</v>
      </c>
      <c r="C1898" s="25" t="n">
        <v>30</v>
      </c>
      <c r="D1898" s="26" t="n">
        <v>0.111171</v>
      </c>
      <c r="E1898" s="27" t="n">
        <v>0.13788</v>
      </c>
      <c r="F1898" s="28" t="n">
        <f aca="false">ROUND(B1898*E1898,2)</f>
        <v>3.44</v>
      </c>
      <c r="H1898" s="29" t="n">
        <v>51.171</v>
      </c>
      <c r="I1898" s="30" t="n">
        <v>0.13788</v>
      </c>
      <c r="J1898" s="31" t="n">
        <f aca="false">ROUND(H1898*I1898,2)</f>
        <v>7.06</v>
      </c>
      <c r="L1898" s="53"/>
      <c r="M1898" s="53"/>
      <c r="N1898" s="53"/>
    </row>
    <row r="1899" customFormat="false" ht="15" hidden="false" customHeight="false" outlineLevel="0" collapsed="false">
      <c r="A1899" s="24" t="s">
        <v>264</v>
      </c>
      <c r="B1899" s="25" t="n">
        <v>18.143</v>
      </c>
      <c r="C1899" s="25" t="n">
        <v>30</v>
      </c>
      <c r="D1899" s="26" t="n">
        <v>0.111171</v>
      </c>
      <c r="E1899" s="27" t="n">
        <v>0.13788</v>
      </c>
      <c r="F1899" s="28" t="n">
        <f aca="false">ROUND(B1899*E1899,2)</f>
        <v>2.5</v>
      </c>
      <c r="H1899" s="29" t="n">
        <v>36.703</v>
      </c>
      <c r="I1899" s="30" t="n">
        <v>0.13788</v>
      </c>
      <c r="J1899" s="31" t="n">
        <f aca="false">ROUND(H1899*I1899,2)</f>
        <v>5.06</v>
      </c>
      <c r="L1899" s="53"/>
      <c r="M1899" s="53"/>
      <c r="N1899" s="53"/>
    </row>
    <row r="1900" customFormat="false" ht="15" hidden="false" customHeight="false" outlineLevel="0" collapsed="false">
      <c r="A1900" s="24" t="s">
        <v>265</v>
      </c>
      <c r="B1900" s="25" t="n">
        <v>55.623</v>
      </c>
      <c r="C1900" s="25" t="n">
        <v>30</v>
      </c>
      <c r="D1900" s="26" t="n">
        <v>0.111171</v>
      </c>
      <c r="E1900" s="27" t="n">
        <v>0.13788</v>
      </c>
      <c r="F1900" s="28" t="n">
        <f aca="false">ROUND(B1900*E1900,2)</f>
        <v>7.67</v>
      </c>
      <c r="H1900" s="29" t="n">
        <v>76.274</v>
      </c>
      <c r="I1900" s="30" t="n">
        <v>0.13788</v>
      </c>
      <c r="J1900" s="31" t="n">
        <f aca="false">ROUND(H1900*I1900,2)</f>
        <v>10.52</v>
      </c>
      <c r="L1900" s="53"/>
      <c r="M1900" s="53"/>
      <c r="N1900" s="53"/>
    </row>
    <row r="1901" customFormat="false" ht="15" hidden="false" customHeight="false" outlineLevel="0" collapsed="false">
      <c r="A1901" s="24" t="s">
        <v>266</v>
      </c>
      <c r="B1901" s="25" t="n">
        <v>1</v>
      </c>
      <c r="C1901" s="25" t="n">
        <v>30</v>
      </c>
      <c r="D1901" s="26" t="n">
        <v>0.7989</v>
      </c>
      <c r="E1901" s="27" t="n">
        <v>3</v>
      </c>
      <c r="F1901" s="28" t="n">
        <f aca="false">ROUND(B1901*E1901,2)</f>
        <v>3</v>
      </c>
      <c r="H1901" s="29" t="n">
        <v>1</v>
      </c>
      <c r="I1901" s="30" t="n">
        <v>3</v>
      </c>
      <c r="J1901" s="31" t="n">
        <f aca="false">ROUND(H1901*I1901,2)</f>
        <v>3</v>
      </c>
      <c r="L1901" s="53"/>
      <c r="M1901" s="53"/>
      <c r="N1901" s="53"/>
    </row>
    <row r="1902" customFormat="false" ht="15" hidden="false" customHeight="false" outlineLevel="0" collapsed="false">
      <c r="A1902" s="24" t="s">
        <v>267</v>
      </c>
      <c r="B1902" s="25" t="n">
        <v>30</v>
      </c>
      <c r="C1902" s="25" t="n">
        <v>30</v>
      </c>
      <c r="D1902" s="26" t="n">
        <v>0.5736</v>
      </c>
      <c r="E1902" s="27" t="n">
        <v>0.01274</v>
      </c>
      <c r="F1902" s="28" t="n">
        <f aca="false">ROUND(B1902*E1902,2)</f>
        <v>0.38</v>
      </c>
      <c r="H1902" s="29" t="n">
        <v>30</v>
      </c>
      <c r="I1902" s="30" t="n">
        <v>0.01274</v>
      </c>
      <c r="J1902" s="31" t="n">
        <f aca="false">ROUND(H1902*I1902,2)</f>
        <v>0.38</v>
      </c>
      <c r="L1902" s="53"/>
      <c r="M1902" s="53"/>
      <c r="N1902" s="53"/>
    </row>
    <row r="1903" customFormat="false" ht="15" hidden="false" customHeight="false" outlineLevel="0" collapsed="false">
      <c r="A1903" s="24" t="s">
        <v>268</v>
      </c>
      <c r="B1903" s="25" t="n">
        <v>2.16</v>
      </c>
      <c r="C1903" s="25" t="n">
        <v>30</v>
      </c>
      <c r="D1903" s="26" t="n">
        <v>0.27312</v>
      </c>
      <c r="E1903" s="27" t="n">
        <v>1</v>
      </c>
      <c r="F1903" s="28" t="n">
        <f aca="false">ROUND(B1903*E1903,2)</f>
        <v>2.16</v>
      </c>
      <c r="H1903" s="29" t="n">
        <v>2.62</v>
      </c>
      <c r="I1903" s="30" t="n">
        <v>1</v>
      </c>
      <c r="J1903" s="31" t="n">
        <f aca="false">ROUND(H1903*I1903,2)</f>
        <v>2.62</v>
      </c>
      <c r="L1903" s="53"/>
      <c r="M1903" s="53"/>
      <c r="N1903" s="53"/>
    </row>
    <row r="1904" customFormat="false" ht="15" hidden="false" customHeight="false" outlineLevel="0" collapsed="false">
      <c r="A1904" s="37" t="s">
        <v>269</v>
      </c>
      <c r="F1904" s="38" t="n">
        <f aca="false">ROUND((SUM(F1896:F1903)-F1903)*1.1+F1903,2)</f>
        <v>52.2</v>
      </c>
      <c r="J1904" s="39" t="n">
        <f aca="false">ROUND(SUM(J1896:J1903),2)</f>
        <v>57.14</v>
      </c>
      <c r="N1904" s="54"/>
    </row>
    <row r="1905" customFormat="false" ht="15" hidden="false" customHeight="false" outlineLevel="0" collapsed="false">
      <c r="A1905" s="15" t="s">
        <v>270</v>
      </c>
      <c r="B1905" s="41" t="n">
        <f aca="false">IF((F1898+F1896+F1900+F1897+F1899)=0,"",((F1898+F1896+F1900+F1897+F1899)-(B1898*D1898+B1896*D1896+B1900*D1900+B1897*D1897+B1899*D1899))/(F1898+F1896+F1900+F1897+F1899))</f>
        <v>0.0853203129422939</v>
      </c>
      <c r="D1905" s="42" t="str">
        <f aca="false">IF(B1905="","SIN PC",IF(B1905&gt;=Detalle!$G$1,"APROBAR",IF(B1905&gt;=0.2,"REVISAR","RECHAZAR")))</f>
        <v>RECHAZAR</v>
      </c>
      <c r="E1905" s="42"/>
      <c r="F1905" s="42"/>
    </row>
    <row r="1907" customFormat="false" ht="15" hidden="false" customHeight="false" outlineLevel="0" collapsed="false">
      <c r="A1907" s="11" t="s">
        <v>1011</v>
      </c>
      <c r="B1907" s="11"/>
      <c r="C1907" s="11"/>
      <c r="D1907" s="11"/>
      <c r="E1907" s="11"/>
      <c r="F1907" s="11"/>
      <c r="H1907" s="11" t="s">
        <v>1012</v>
      </c>
      <c r="I1907" s="11"/>
      <c r="J1907" s="11"/>
      <c r="K1907" s="11"/>
      <c r="L1907" s="11"/>
      <c r="M1907" s="11"/>
      <c r="N1907" s="11"/>
      <c r="P1907" s="14" t="s">
        <v>246</v>
      </c>
    </row>
    <row r="1908" customFormat="false" ht="15" hidden="false" customHeight="false" outlineLevel="0" collapsed="false">
      <c r="A1908" s="15" t="s">
        <v>247</v>
      </c>
      <c r="B1908" s="16" t="s">
        <v>248</v>
      </c>
      <c r="C1908" s="17"/>
      <c r="D1908" s="17"/>
      <c r="E1908" s="17"/>
      <c r="F1908" s="17"/>
      <c r="H1908" s="18" t="s">
        <v>1013</v>
      </c>
      <c r="I1908" s="19"/>
      <c r="J1908" s="19"/>
      <c r="L1908" s="20" t="s">
        <v>428</v>
      </c>
      <c r="M1908" s="21"/>
      <c r="N1908" s="21"/>
      <c r="P1908" s="14" t="s">
        <v>429</v>
      </c>
    </row>
    <row r="1909" customFormat="false" ht="15" hidden="false" customHeight="false" outlineLevel="0" collapsed="false">
      <c r="B1909" s="3" t="s">
        <v>252</v>
      </c>
      <c r="C1909" s="3" t="s">
        <v>253</v>
      </c>
      <c r="D1909" s="3" t="s">
        <v>254</v>
      </c>
      <c r="E1909" s="3" t="s">
        <v>255</v>
      </c>
      <c r="F1909" s="3" t="s">
        <v>256</v>
      </c>
      <c r="H1909" s="22" t="s">
        <v>252</v>
      </c>
      <c r="I1909" s="22" t="s">
        <v>255</v>
      </c>
      <c r="J1909" s="22" t="s">
        <v>256</v>
      </c>
      <c r="L1909" s="23" t="s">
        <v>252</v>
      </c>
      <c r="M1909" s="23" t="s">
        <v>255</v>
      </c>
      <c r="N1909" s="23" t="s">
        <v>256</v>
      </c>
      <c r="P1909" s="14" t="s">
        <v>399</v>
      </c>
    </row>
    <row r="1910" customFormat="false" ht="15" hidden="false" customHeight="false" outlineLevel="0" collapsed="false">
      <c r="A1910" s="24" t="s">
        <v>258</v>
      </c>
      <c r="B1910" s="25" t="n">
        <v>4.6</v>
      </c>
      <c r="C1910" s="25" t="n">
        <v>30</v>
      </c>
      <c r="D1910" s="26" t="n">
        <v>3.68919</v>
      </c>
      <c r="E1910" s="27" t="n">
        <v>3.85</v>
      </c>
      <c r="F1910" s="28" t="n">
        <f aca="false">ROUND(B1910*E1910,2)</f>
        <v>17.71</v>
      </c>
      <c r="H1910" s="29" t="n">
        <v>4.6</v>
      </c>
      <c r="I1910" s="30" t="n">
        <v>3.85</v>
      </c>
      <c r="J1910" s="31" t="n">
        <f aca="false">ROUND(H1910*I1910,2)</f>
        <v>17.71</v>
      </c>
      <c r="L1910" s="53"/>
      <c r="M1910" s="53"/>
      <c r="N1910" s="53"/>
      <c r="P1910" s="35" t="s">
        <v>430</v>
      </c>
    </row>
    <row r="1911" customFormat="false" ht="15" hidden="false" customHeight="false" outlineLevel="0" collapsed="false">
      <c r="A1911" s="24" t="s">
        <v>260</v>
      </c>
      <c r="B1911" s="25" t="n">
        <v>4.6</v>
      </c>
      <c r="C1911" s="25" t="n">
        <v>30</v>
      </c>
      <c r="D1911" s="26" t="n">
        <v>1.31928</v>
      </c>
      <c r="E1911" s="27" t="n">
        <v>1.33</v>
      </c>
      <c r="F1911" s="28" t="n">
        <f aca="false">ROUND(B1911*E1911,2)</f>
        <v>6.12</v>
      </c>
      <c r="H1911" s="29" t="n">
        <v>4.6</v>
      </c>
      <c r="I1911" s="30" t="n">
        <v>1.33</v>
      </c>
      <c r="J1911" s="31" t="n">
        <f aca="false">ROUND(H1911*I1911,2)</f>
        <v>6.12</v>
      </c>
      <c r="L1911" s="53"/>
      <c r="M1911" s="53"/>
      <c r="N1911" s="53"/>
      <c r="P1911" s="43" t="s">
        <v>261</v>
      </c>
    </row>
    <row r="1912" customFormat="false" ht="15" hidden="false" customHeight="false" outlineLevel="0" collapsed="false">
      <c r="A1912" s="24" t="s">
        <v>262</v>
      </c>
      <c r="B1912" s="25" t="n">
        <v>69.899</v>
      </c>
      <c r="C1912" s="25" t="n">
        <v>30</v>
      </c>
      <c r="D1912" s="26" t="n">
        <v>0.111171</v>
      </c>
      <c r="E1912" s="27" t="n">
        <v>0.13788</v>
      </c>
      <c r="F1912" s="28" t="n">
        <f aca="false">ROUND(B1912*E1912,2)</f>
        <v>9.64</v>
      </c>
      <c r="H1912" s="29" t="n">
        <v>90.862</v>
      </c>
      <c r="I1912" s="30" t="n">
        <v>0.13788</v>
      </c>
      <c r="J1912" s="31" t="n">
        <f aca="false">ROUND(H1912*I1912,2)</f>
        <v>12.53</v>
      </c>
      <c r="L1912" s="53"/>
      <c r="M1912" s="53"/>
      <c r="N1912" s="53"/>
    </row>
    <row r="1913" customFormat="false" ht="15" hidden="false" customHeight="false" outlineLevel="0" collapsed="false">
      <c r="A1913" s="24" t="s">
        <v>264</v>
      </c>
      <c r="B1913" s="25" t="n">
        <v>96.191</v>
      </c>
      <c r="C1913" s="25" t="n">
        <v>30</v>
      </c>
      <c r="D1913" s="26" t="n">
        <v>0.111171</v>
      </c>
      <c r="E1913" s="27" t="n">
        <v>0.13788</v>
      </c>
      <c r="F1913" s="28" t="n">
        <f aca="false">ROUND(B1913*E1913,2)</f>
        <v>13.26</v>
      </c>
      <c r="H1913" s="29" t="n">
        <v>125.749</v>
      </c>
      <c r="I1913" s="30" t="n">
        <v>0.13788</v>
      </c>
      <c r="J1913" s="31" t="n">
        <f aca="false">ROUND(H1913*I1913,2)</f>
        <v>17.34</v>
      </c>
      <c r="L1913" s="53"/>
      <c r="M1913" s="53"/>
      <c r="N1913" s="53"/>
    </row>
    <row r="1914" customFormat="false" ht="15" hidden="false" customHeight="false" outlineLevel="0" collapsed="false">
      <c r="A1914" s="24" t="s">
        <v>265</v>
      </c>
      <c r="B1914" s="25" t="n">
        <v>144.918</v>
      </c>
      <c r="C1914" s="25" t="n">
        <v>30</v>
      </c>
      <c r="D1914" s="26" t="n">
        <v>0.111171</v>
      </c>
      <c r="E1914" s="27" t="n">
        <v>0.13788</v>
      </c>
      <c r="F1914" s="28" t="n">
        <f aca="false">ROUND(B1914*E1914,2)</f>
        <v>19.98</v>
      </c>
      <c r="H1914" s="29" t="n">
        <v>130.646</v>
      </c>
      <c r="I1914" s="30" t="n">
        <v>0.13788</v>
      </c>
      <c r="J1914" s="31" t="n">
        <f aca="false">ROUND(H1914*I1914,2)</f>
        <v>18.01</v>
      </c>
      <c r="L1914" s="53"/>
      <c r="M1914" s="53"/>
      <c r="N1914" s="53"/>
    </row>
    <row r="1915" customFormat="false" ht="15" hidden="false" customHeight="false" outlineLevel="0" collapsed="false">
      <c r="A1915" s="24" t="s">
        <v>266</v>
      </c>
      <c r="B1915" s="25" t="n">
        <v>1</v>
      </c>
      <c r="C1915" s="25" t="n">
        <v>30</v>
      </c>
      <c r="D1915" s="26" t="n">
        <v>0.7989</v>
      </c>
      <c r="E1915" s="27" t="n">
        <v>3</v>
      </c>
      <c r="F1915" s="28" t="n">
        <f aca="false">ROUND(B1915*E1915,2)</f>
        <v>3</v>
      </c>
      <c r="H1915" s="29" t="n">
        <v>1</v>
      </c>
      <c r="I1915" s="30" t="n">
        <v>3</v>
      </c>
      <c r="J1915" s="31" t="n">
        <f aca="false">ROUND(H1915*I1915,2)</f>
        <v>3</v>
      </c>
      <c r="L1915" s="53"/>
      <c r="M1915" s="53"/>
      <c r="N1915" s="53"/>
    </row>
    <row r="1916" customFormat="false" ht="15" hidden="false" customHeight="false" outlineLevel="0" collapsed="false">
      <c r="A1916" s="24" t="s">
        <v>267</v>
      </c>
      <c r="B1916" s="25" t="n">
        <v>30</v>
      </c>
      <c r="C1916" s="25" t="n">
        <v>30</v>
      </c>
      <c r="D1916" s="26" t="n">
        <v>0.5736</v>
      </c>
      <c r="E1916" s="27" t="n">
        <v>0.01274</v>
      </c>
      <c r="F1916" s="28" t="n">
        <f aca="false">ROUND(B1916*E1916,2)</f>
        <v>0.38</v>
      </c>
      <c r="H1916" s="29" t="n">
        <v>30</v>
      </c>
      <c r="I1916" s="30" t="n">
        <v>0.01274</v>
      </c>
      <c r="J1916" s="31" t="n">
        <f aca="false">ROUND(H1916*I1916,2)</f>
        <v>0.38</v>
      </c>
      <c r="L1916" s="53"/>
      <c r="M1916" s="53"/>
      <c r="N1916" s="53"/>
    </row>
    <row r="1917" customFormat="false" ht="15" hidden="false" customHeight="false" outlineLevel="0" collapsed="false">
      <c r="A1917" s="24" t="s">
        <v>268</v>
      </c>
      <c r="B1917" s="25" t="n">
        <v>3.42</v>
      </c>
      <c r="C1917" s="25" t="n">
        <v>30</v>
      </c>
      <c r="D1917" s="26" t="n">
        <v>0.27312</v>
      </c>
      <c r="E1917" s="27" t="n">
        <v>1</v>
      </c>
      <c r="F1917" s="28" t="n">
        <f aca="false">ROUND(B1917*E1917,2)</f>
        <v>3.42</v>
      </c>
      <c r="H1917" s="29" t="n">
        <v>3.67</v>
      </c>
      <c r="I1917" s="30" t="n">
        <v>1</v>
      </c>
      <c r="J1917" s="31" t="n">
        <f aca="false">ROUND(H1917*I1917,2)</f>
        <v>3.67</v>
      </c>
      <c r="L1917" s="53"/>
      <c r="M1917" s="53"/>
      <c r="N1917" s="53"/>
    </row>
    <row r="1918" customFormat="false" ht="15" hidden="false" customHeight="false" outlineLevel="0" collapsed="false">
      <c r="A1918" s="37" t="s">
        <v>269</v>
      </c>
      <c r="F1918" s="38" t="n">
        <f aca="false">ROUND((SUM(F1910:F1917)-F1917)*1.1+F1917,2)</f>
        <v>80.52</v>
      </c>
      <c r="J1918" s="39" t="n">
        <f aca="false">ROUND(SUM(J1910:J1917),2)</f>
        <v>78.76</v>
      </c>
      <c r="N1918" s="54"/>
    </row>
    <row r="1919" customFormat="false" ht="15" hidden="false" customHeight="false" outlineLevel="0" collapsed="false">
      <c r="A1919" s="15" t="s">
        <v>270</v>
      </c>
      <c r="B1919" s="41" t="n">
        <f aca="false">IF((F1912+F1910+F1914+F1911+F1913)=0,"",((F1912+F1910+F1914+F1911+F1913)-(B1912*D1912+B1910*D1910+B1914*D1914+B1911*D1911+B1913*D1913))/(F1912+F1910+F1914+F1911+F1913))</f>
        <v>0.136350886403837</v>
      </c>
      <c r="D1919" s="42" t="str">
        <f aca="false">IF(B1919="","SIN PC",IF(B1919&gt;=Detalle!$G$1,"APROBAR",IF(B1919&gt;=0.2,"REVISAR","RECHAZAR")))</f>
        <v>RECHAZAR</v>
      </c>
      <c r="E1919" s="42"/>
      <c r="F1919" s="42"/>
    </row>
    <row r="1921" customFormat="false" ht="15" hidden="false" customHeight="false" outlineLevel="0" collapsed="false">
      <c r="A1921" s="11" t="s">
        <v>1014</v>
      </c>
      <c r="B1921" s="11"/>
      <c r="C1921" s="11"/>
      <c r="D1921" s="11"/>
      <c r="E1921" s="11"/>
      <c r="F1921" s="11"/>
      <c r="H1921" s="11" t="s">
        <v>1015</v>
      </c>
      <c r="I1921" s="11"/>
      <c r="J1921" s="11"/>
      <c r="K1921" s="11"/>
      <c r="L1921" s="11"/>
      <c r="M1921" s="11"/>
      <c r="N1921" s="11"/>
      <c r="P1921" s="14" t="s">
        <v>246</v>
      </c>
    </row>
    <row r="1922" customFormat="false" ht="15" hidden="false" customHeight="false" outlineLevel="0" collapsed="false">
      <c r="A1922" s="15" t="s">
        <v>247</v>
      </c>
      <c r="B1922" s="16" t="s">
        <v>248</v>
      </c>
      <c r="C1922" s="17"/>
      <c r="D1922" s="17"/>
      <c r="E1922" s="17"/>
      <c r="F1922" s="17"/>
      <c r="H1922" s="18" t="s">
        <v>1016</v>
      </c>
      <c r="I1922" s="19"/>
      <c r="J1922" s="19"/>
      <c r="L1922" s="20" t="s">
        <v>428</v>
      </c>
      <c r="M1922" s="21"/>
      <c r="N1922" s="21"/>
      <c r="P1922" s="14" t="s">
        <v>1017</v>
      </c>
    </row>
    <row r="1923" customFormat="false" ht="15" hidden="false" customHeight="false" outlineLevel="0" collapsed="false">
      <c r="B1923" s="3" t="s">
        <v>252</v>
      </c>
      <c r="C1923" s="3" t="s">
        <v>253</v>
      </c>
      <c r="D1923" s="3" t="s">
        <v>254</v>
      </c>
      <c r="E1923" s="3" t="s">
        <v>255</v>
      </c>
      <c r="F1923" s="3" t="s">
        <v>256</v>
      </c>
      <c r="H1923" s="22" t="s">
        <v>252</v>
      </c>
      <c r="I1923" s="22" t="s">
        <v>255</v>
      </c>
      <c r="J1923" s="22" t="s">
        <v>256</v>
      </c>
      <c r="L1923" s="23" t="s">
        <v>252</v>
      </c>
      <c r="M1923" s="23" t="s">
        <v>255</v>
      </c>
      <c r="N1923" s="23" t="s">
        <v>256</v>
      </c>
      <c r="P1923" s="14" t="s">
        <v>399</v>
      </c>
    </row>
    <row r="1924" customFormat="false" ht="15" hidden="false" customHeight="false" outlineLevel="0" collapsed="false">
      <c r="A1924" s="24" t="s">
        <v>258</v>
      </c>
      <c r="B1924" s="25" t="n">
        <v>5.5</v>
      </c>
      <c r="C1924" s="25" t="n">
        <v>30</v>
      </c>
      <c r="D1924" s="26" t="n">
        <v>3.68919</v>
      </c>
      <c r="E1924" s="27" t="n">
        <v>3.85</v>
      </c>
      <c r="F1924" s="28" t="n">
        <f aca="false">ROUND(B1924*E1924,2)</f>
        <v>21.18</v>
      </c>
      <c r="H1924" s="29" t="n">
        <v>5.5</v>
      </c>
      <c r="I1924" s="30" t="n">
        <v>3.85</v>
      </c>
      <c r="J1924" s="31" t="n">
        <f aca="false">ROUND(H1924*I1924,2)</f>
        <v>21.18</v>
      </c>
      <c r="L1924" s="53"/>
      <c r="M1924" s="53"/>
      <c r="N1924" s="53"/>
      <c r="P1924" s="35" t="s">
        <v>1018</v>
      </c>
    </row>
    <row r="1925" customFormat="false" ht="15" hidden="false" customHeight="false" outlineLevel="0" collapsed="false">
      <c r="A1925" s="24" t="s">
        <v>260</v>
      </c>
      <c r="B1925" s="25" t="n">
        <v>2</v>
      </c>
      <c r="C1925" s="25" t="n">
        <v>30</v>
      </c>
      <c r="D1925" s="26" t="n">
        <v>1.31928</v>
      </c>
      <c r="E1925" s="27" t="n">
        <v>1.33</v>
      </c>
      <c r="F1925" s="28" t="n">
        <f aca="false">ROUND(B1925*E1925,2)</f>
        <v>2.66</v>
      </c>
      <c r="H1925" s="29" t="n">
        <v>2</v>
      </c>
      <c r="I1925" s="30" t="n">
        <v>1.33</v>
      </c>
      <c r="J1925" s="31" t="n">
        <f aca="false">ROUND(H1925*I1925,2)</f>
        <v>2.66</v>
      </c>
      <c r="L1925" s="53"/>
      <c r="M1925" s="53"/>
      <c r="N1925" s="53"/>
      <c r="P1925" s="43" t="s">
        <v>261</v>
      </c>
    </row>
    <row r="1926" customFormat="false" ht="15" hidden="false" customHeight="false" outlineLevel="0" collapsed="false">
      <c r="A1926" s="24" t="s">
        <v>262</v>
      </c>
      <c r="B1926" s="25" t="n">
        <v>182.387</v>
      </c>
      <c r="C1926" s="25" t="n">
        <v>30</v>
      </c>
      <c r="D1926" s="26" t="n">
        <v>0.111171</v>
      </c>
      <c r="E1926" s="27" t="n">
        <v>0.129</v>
      </c>
      <c r="F1926" s="28" t="n">
        <f aca="false">ROUND(B1926*E1926,2)</f>
        <v>23.53</v>
      </c>
      <c r="H1926" s="29" t="n">
        <v>354</v>
      </c>
      <c r="I1926" s="30" t="n">
        <v>0.129</v>
      </c>
      <c r="J1926" s="31" t="n">
        <f aca="false">ROUND(H1926*I1926,2)</f>
        <v>45.67</v>
      </c>
      <c r="L1926" s="53"/>
      <c r="M1926" s="53"/>
      <c r="N1926" s="53"/>
    </row>
    <row r="1927" customFormat="false" ht="15" hidden="false" customHeight="false" outlineLevel="0" collapsed="false">
      <c r="A1927" s="24" t="s">
        <v>264</v>
      </c>
      <c r="B1927" s="25" t="n">
        <v>0</v>
      </c>
      <c r="C1927" s="25" t="n">
        <v>30</v>
      </c>
      <c r="D1927" s="26" t="n">
        <v>0.111171</v>
      </c>
      <c r="E1927" s="27" t="n">
        <v>0</v>
      </c>
      <c r="F1927" s="28" t="n">
        <f aca="false">ROUND(B1927*E1927,2)</f>
        <v>0</v>
      </c>
      <c r="H1927" s="55"/>
      <c r="I1927" s="55"/>
      <c r="J1927" s="55"/>
      <c r="L1927" s="53"/>
      <c r="M1927" s="53"/>
      <c r="N1927" s="53"/>
    </row>
    <row r="1928" customFormat="false" ht="15" hidden="false" customHeight="false" outlineLevel="0" collapsed="false">
      <c r="A1928" s="24" t="s">
        <v>265</v>
      </c>
      <c r="B1928" s="25" t="n">
        <v>0</v>
      </c>
      <c r="C1928" s="25" t="n">
        <v>30</v>
      </c>
      <c r="D1928" s="26" t="n">
        <v>0.111171</v>
      </c>
      <c r="E1928" s="27" t="n">
        <v>0</v>
      </c>
      <c r="F1928" s="28" t="n">
        <f aca="false">ROUND(B1928*E1928,2)</f>
        <v>0</v>
      </c>
      <c r="H1928" s="55"/>
      <c r="I1928" s="55"/>
      <c r="J1928" s="55"/>
      <c r="L1928" s="53"/>
      <c r="M1928" s="53"/>
      <c r="N1928" s="53"/>
    </row>
    <row r="1929" customFormat="false" ht="15" hidden="false" customHeight="false" outlineLevel="0" collapsed="false">
      <c r="A1929" s="24" t="s">
        <v>266</v>
      </c>
      <c r="B1929" s="25" t="n">
        <v>1</v>
      </c>
      <c r="C1929" s="25" t="n">
        <v>30</v>
      </c>
      <c r="D1929" s="26" t="n">
        <v>0.7989</v>
      </c>
      <c r="E1929" s="27" t="n">
        <v>1</v>
      </c>
      <c r="F1929" s="28" t="n">
        <f aca="false">ROUND(B1929*E1929,2)</f>
        <v>1</v>
      </c>
      <c r="H1929" s="29" t="n">
        <v>1</v>
      </c>
      <c r="I1929" s="30" t="n">
        <v>1</v>
      </c>
      <c r="J1929" s="31" t="n">
        <f aca="false">ROUND(H1929*I1929,2)</f>
        <v>1</v>
      </c>
      <c r="L1929" s="53"/>
      <c r="M1929" s="53"/>
      <c r="N1929" s="53"/>
    </row>
    <row r="1930" customFormat="false" ht="15" hidden="false" customHeight="false" outlineLevel="0" collapsed="false">
      <c r="A1930" s="24" t="s">
        <v>267</v>
      </c>
      <c r="B1930" s="25" t="n">
        <v>30</v>
      </c>
      <c r="C1930" s="25" t="n">
        <v>30</v>
      </c>
      <c r="D1930" s="26" t="n">
        <v>0.5736</v>
      </c>
      <c r="E1930" s="27" t="n">
        <v>0.01274</v>
      </c>
      <c r="F1930" s="28" t="n">
        <f aca="false">ROUND(B1930*E1930,2)</f>
        <v>0.38</v>
      </c>
      <c r="H1930" s="29" t="n">
        <v>30</v>
      </c>
      <c r="I1930" s="30" t="n">
        <v>0.01274</v>
      </c>
      <c r="J1930" s="31" t="n">
        <f aca="false">ROUND(H1930*I1930,2)</f>
        <v>0.38</v>
      </c>
      <c r="L1930" s="53"/>
      <c r="M1930" s="53"/>
      <c r="N1930" s="53"/>
    </row>
    <row r="1931" customFormat="false" ht="15" hidden="false" customHeight="false" outlineLevel="0" collapsed="false">
      <c r="A1931" s="24" t="s">
        <v>268</v>
      </c>
      <c r="B1931" s="25" t="n">
        <v>1.23</v>
      </c>
      <c r="C1931" s="25" t="n">
        <v>30</v>
      </c>
      <c r="D1931" s="26" t="n">
        <v>0.27312</v>
      </c>
      <c r="E1931" s="27" t="n">
        <v>1</v>
      </c>
      <c r="F1931" s="28" t="n">
        <f aca="false">ROUND(B1931*E1931,2)</f>
        <v>1.23</v>
      </c>
      <c r="H1931" s="29" t="n">
        <v>1.23</v>
      </c>
      <c r="I1931" s="30" t="n">
        <v>1</v>
      </c>
      <c r="J1931" s="31" t="n">
        <f aca="false">ROUND(H1931*I1931,2)</f>
        <v>1.23</v>
      </c>
      <c r="L1931" s="53"/>
      <c r="M1931" s="53"/>
      <c r="N1931" s="53"/>
    </row>
    <row r="1932" customFormat="false" ht="15" hidden="false" customHeight="false" outlineLevel="0" collapsed="false">
      <c r="A1932" s="37" t="s">
        <v>269</v>
      </c>
      <c r="F1932" s="38" t="n">
        <f aca="false">ROUND((SUM(F1924:F1931)-F1931)*1.1+F1931,2)</f>
        <v>54.86</v>
      </c>
      <c r="J1932" s="39" t="n">
        <f aca="false">ROUND(SUM(J1924:J1931),2)</f>
        <v>72.12</v>
      </c>
      <c r="N1932" s="54"/>
    </row>
    <row r="1933" customFormat="false" ht="15" hidden="false" customHeight="false" outlineLevel="0" collapsed="false">
      <c r="A1933" s="15" t="s">
        <v>270</v>
      </c>
      <c r="B1933" s="41" t="n">
        <f aca="false">IF((F1926+F1924+F1928+F1925+F1927)=0,"",((F1926+F1924+F1928+F1925+F1927)-(B1926*D1926+B1924*D1924+B1928*D1928+B1925*D1925+B1927*D1927))/(F1926+F1924+F1928+F1925+F1927))</f>
        <v>0.0879195656111465</v>
      </c>
      <c r="D1933" s="42" t="str">
        <f aca="false">IF(B1933="","SIN PC",IF(B1933&gt;=Detalle!$G$1,"APROBAR",IF(B1933&gt;=0.2,"REVISAR","RECHAZAR")))</f>
        <v>RECHAZAR</v>
      </c>
      <c r="E1933" s="42"/>
      <c r="F1933" s="42"/>
    </row>
    <row r="1935" customFormat="false" ht="15" hidden="false" customHeight="false" outlineLevel="0" collapsed="false">
      <c r="A1935" s="11" t="s">
        <v>1019</v>
      </c>
      <c r="B1935" s="11"/>
      <c r="C1935" s="11"/>
      <c r="D1935" s="11"/>
      <c r="E1935" s="11"/>
      <c r="F1935" s="11"/>
      <c r="H1935" s="11" t="s">
        <v>1020</v>
      </c>
      <c r="I1935" s="11"/>
      <c r="J1935" s="11"/>
      <c r="K1935" s="11"/>
      <c r="L1935" s="11"/>
      <c r="M1935" s="11"/>
      <c r="N1935" s="11"/>
      <c r="P1935" s="14" t="s">
        <v>246</v>
      </c>
    </row>
    <row r="1936" customFormat="false" ht="15" hidden="false" customHeight="false" outlineLevel="0" collapsed="false">
      <c r="A1936" s="15" t="s">
        <v>247</v>
      </c>
      <c r="B1936" s="16" t="s">
        <v>248</v>
      </c>
      <c r="C1936" s="17"/>
      <c r="D1936" s="17"/>
      <c r="E1936" s="17"/>
      <c r="F1936" s="17"/>
      <c r="H1936" s="18" t="s">
        <v>1021</v>
      </c>
      <c r="I1936" s="19"/>
      <c r="J1936" s="19"/>
      <c r="L1936" s="20" t="s">
        <v>428</v>
      </c>
      <c r="M1936" s="21"/>
      <c r="N1936" s="21"/>
      <c r="P1936" s="14" t="s">
        <v>429</v>
      </c>
    </row>
    <row r="1937" customFormat="false" ht="15" hidden="false" customHeight="false" outlineLevel="0" collapsed="false">
      <c r="B1937" s="3" t="s">
        <v>252</v>
      </c>
      <c r="C1937" s="3" t="s">
        <v>253</v>
      </c>
      <c r="D1937" s="3" t="s">
        <v>254</v>
      </c>
      <c r="E1937" s="3" t="s">
        <v>255</v>
      </c>
      <c r="F1937" s="3" t="s">
        <v>256</v>
      </c>
      <c r="H1937" s="22" t="s">
        <v>252</v>
      </c>
      <c r="I1937" s="22" t="s">
        <v>255</v>
      </c>
      <c r="J1937" s="22" t="s">
        <v>256</v>
      </c>
      <c r="L1937" s="23" t="s">
        <v>252</v>
      </c>
      <c r="M1937" s="23" t="s">
        <v>255</v>
      </c>
      <c r="N1937" s="23" t="s">
        <v>256</v>
      </c>
      <c r="P1937" s="14" t="s">
        <v>399</v>
      </c>
    </row>
    <row r="1938" customFormat="false" ht="15" hidden="false" customHeight="false" outlineLevel="0" collapsed="false">
      <c r="A1938" s="24" t="s">
        <v>258</v>
      </c>
      <c r="B1938" s="25" t="n">
        <v>3.45</v>
      </c>
      <c r="C1938" s="25" t="n">
        <v>30</v>
      </c>
      <c r="D1938" s="26" t="n">
        <v>3.68919</v>
      </c>
      <c r="E1938" s="27" t="n">
        <v>3.85</v>
      </c>
      <c r="F1938" s="28" t="n">
        <f aca="false">ROUND(B1938*E1938,2)</f>
        <v>13.28</v>
      </c>
      <c r="H1938" s="29" t="n">
        <v>3.45</v>
      </c>
      <c r="I1938" s="30" t="n">
        <v>3.85</v>
      </c>
      <c r="J1938" s="31" t="n">
        <f aca="false">ROUND(H1938*I1938,2)</f>
        <v>13.28</v>
      </c>
      <c r="L1938" s="53"/>
      <c r="M1938" s="53"/>
      <c r="N1938" s="53"/>
      <c r="P1938" s="35" t="s">
        <v>430</v>
      </c>
    </row>
    <row r="1939" customFormat="false" ht="15" hidden="false" customHeight="false" outlineLevel="0" collapsed="false">
      <c r="A1939" s="24" t="s">
        <v>260</v>
      </c>
      <c r="B1939" s="25" t="n">
        <v>3.45</v>
      </c>
      <c r="C1939" s="25" t="n">
        <v>30</v>
      </c>
      <c r="D1939" s="26" t="n">
        <v>1.31928</v>
      </c>
      <c r="E1939" s="27" t="n">
        <v>1.33</v>
      </c>
      <c r="F1939" s="28" t="n">
        <f aca="false">ROUND(B1939*E1939,2)</f>
        <v>4.59</v>
      </c>
      <c r="H1939" s="29" t="n">
        <v>3.45</v>
      </c>
      <c r="I1939" s="30" t="n">
        <v>1.33</v>
      </c>
      <c r="J1939" s="31" t="n">
        <f aca="false">ROUND(H1939*I1939,2)</f>
        <v>4.59</v>
      </c>
      <c r="L1939" s="53"/>
      <c r="M1939" s="53"/>
      <c r="N1939" s="53"/>
      <c r="P1939" s="43" t="s">
        <v>261</v>
      </c>
    </row>
    <row r="1940" customFormat="false" ht="15" hidden="false" customHeight="false" outlineLevel="0" collapsed="false">
      <c r="A1940" s="24" t="s">
        <v>262</v>
      </c>
      <c r="B1940" s="25" t="n">
        <v>42.986</v>
      </c>
      <c r="C1940" s="25" t="n">
        <v>30</v>
      </c>
      <c r="D1940" s="26" t="n">
        <v>0.111171</v>
      </c>
      <c r="E1940" s="27" t="n">
        <v>0.13788</v>
      </c>
      <c r="F1940" s="28" t="n">
        <f aca="false">ROUND(B1940*E1940,2)</f>
        <v>5.93</v>
      </c>
      <c r="H1940" s="29" t="n">
        <v>56.643</v>
      </c>
      <c r="I1940" s="30" t="n">
        <v>0.13788</v>
      </c>
      <c r="J1940" s="31" t="n">
        <f aca="false">ROUND(H1940*I1940,2)</f>
        <v>7.81</v>
      </c>
      <c r="L1940" s="53"/>
      <c r="M1940" s="53"/>
      <c r="N1940" s="53"/>
    </row>
    <row r="1941" customFormat="false" ht="15" hidden="false" customHeight="false" outlineLevel="0" collapsed="false">
      <c r="A1941" s="24" t="s">
        <v>264</v>
      </c>
      <c r="B1941" s="25" t="n">
        <v>29.61</v>
      </c>
      <c r="C1941" s="25" t="n">
        <v>30</v>
      </c>
      <c r="D1941" s="26" t="n">
        <v>0.111171</v>
      </c>
      <c r="E1941" s="27" t="n">
        <v>0.13788</v>
      </c>
      <c r="F1941" s="28" t="n">
        <f aca="false">ROUND(B1941*E1941,2)</f>
        <v>4.08</v>
      </c>
      <c r="H1941" s="29" t="n">
        <v>75.685</v>
      </c>
      <c r="I1941" s="30" t="n">
        <v>0.13788</v>
      </c>
      <c r="J1941" s="31" t="n">
        <f aca="false">ROUND(H1941*I1941,2)</f>
        <v>10.44</v>
      </c>
      <c r="L1941" s="53"/>
      <c r="M1941" s="53"/>
      <c r="N1941" s="53"/>
    </row>
    <row r="1942" customFormat="false" ht="15" hidden="false" customHeight="false" outlineLevel="0" collapsed="false">
      <c r="A1942" s="24" t="s">
        <v>265</v>
      </c>
      <c r="B1942" s="25" t="n">
        <v>107.426</v>
      </c>
      <c r="C1942" s="25" t="n">
        <v>30</v>
      </c>
      <c r="D1942" s="26" t="n">
        <v>0.111171</v>
      </c>
      <c r="E1942" s="27" t="n">
        <v>0.13788</v>
      </c>
      <c r="F1942" s="28" t="n">
        <f aca="false">ROUND(B1942*E1942,2)</f>
        <v>14.81</v>
      </c>
      <c r="H1942" s="29" t="n">
        <v>283.436</v>
      </c>
      <c r="I1942" s="30" t="n">
        <v>0.13788</v>
      </c>
      <c r="J1942" s="31" t="n">
        <f aca="false">ROUND(H1942*I1942,2)</f>
        <v>39.08</v>
      </c>
      <c r="L1942" s="53"/>
      <c r="M1942" s="53"/>
      <c r="N1942" s="53"/>
    </row>
    <row r="1943" customFormat="false" ht="15" hidden="false" customHeight="false" outlineLevel="0" collapsed="false">
      <c r="A1943" s="24" t="s">
        <v>266</v>
      </c>
      <c r="B1943" s="25" t="n">
        <v>1</v>
      </c>
      <c r="C1943" s="25" t="n">
        <v>30</v>
      </c>
      <c r="D1943" s="26" t="n">
        <v>0.7989</v>
      </c>
      <c r="E1943" s="27" t="n">
        <v>3</v>
      </c>
      <c r="F1943" s="28" t="n">
        <f aca="false">ROUND(B1943*E1943,2)</f>
        <v>3</v>
      </c>
      <c r="H1943" s="29" t="n">
        <v>1</v>
      </c>
      <c r="I1943" s="30" t="n">
        <v>3</v>
      </c>
      <c r="J1943" s="31" t="n">
        <f aca="false">ROUND(H1943*I1943,2)</f>
        <v>3</v>
      </c>
      <c r="L1943" s="53"/>
      <c r="M1943" s="53"/>
      <c r="N1943" s="53"/>
    </row>
    <row r="1944" customFormat="false" ht="15" hidden="false" customHeight="false" outlineLevel="0" collapsed="false">
      <c r="A1944" s="24" t="s">
        <v>267</v>
      </c>
      <c r="B1944" s="25" t="n">
        <v>30</v>
      </c>
      <c r="C1944" s="25" t="n">
        <v>30</v>
      </c>
      <c r="D1944" s="26" t="n">
        <v>0.5736</v>
      </c>
      <c r="E1944" s="27" t="n">
        <v>0.01274</v>
      </c>
      <c r="F1944" s="28" t="n">
        <f aca="false">ROUND(B1944*E1944,2)</f>
        <v>0.38</v>
      </c>
      <c r="H1944" s="29" t="n">
        <v>30</v>
      </c>
      <c r="I1944" s="30" t="n">
        <v>0.01274</v>
      </c>
      <c r="J1944" s="31" t="n">
        <f aca="false">ROUND(H1944*I1944,2)</f>
        <v>0.38</v>
      </c>
      <c r="L1944" s="53"/>
      <c r="M1944" s="53"/>
      <c r="N1944" s="53"/>
    </row>
    <row r="1945" customFormat="false" ht="15" hidden="false" customHeight="false" outlineLevel="0" collapsed="false">
      <c r="A1945" s="24" t="s">
        <v>268</v>
      </c>
      <c r="B1945" s="25" t="n">
        <v>2.19</v>
      </c>
      <c r="C1945" s="25" t="n">
        <v>30</v>
      </c>
      <c r="D1945" s="26" t="n">
        <v>0.27312</v>
      </c>
      <c r="E1945" s="27" t="n">
        <v>1</v>
      </c>
      <c r="F1945" s="28" t="n">
        <f aca="false">ROUND(B1945*E1945,2)</f>
        <v>2.19</v>
      </c>
      <c r="H1945" s="29" t="n">
        <v>3.85</v>
      </c>
      <c r="I1945" s="30" t="n">
        <v>1</v>
      </c>
      <c r="J1945" s="31" t="n">
        <f aca="false">ROUND(H1945*I1945,2)</f>
        <v>3.85</v>
      </c>
      <c r="L1945" s="53"/>
      <c r="M1945" s="53"/>
      <c r="N1945" s="53"/>
    </row>
    <row r="1946" customFormat="false" ht="15" hidden="false" customHeight="false" outlineLevel="0" collapsed="false">
      <c r="A1946" s="37" t="s">
        <v>269</v>
      </c>
      <c r="F1946" s="38" t="n">
        <f aca="false">ROUND((SUM(F1938:F1945)-F1945)*1.1+F1945,2)</f>
        <v>52.87</v>
      </c>
      <c r="J1946" s="39" t="n">
        <f aca="false">ROUND(SUM(J1938:J1945),2)</f>
        <v>82.43</v>
      </c>
      <c r="N1946" s="54"/>
    </row>
    <row r="1947" customFormat="false" ht="15" hidden="false" customHeight="false" outlineLevel="0" collapsed="false">
      <c r="A1947" s="15" t="s">
        <v>270</v>
      </c>
      <c r="B1947" s="41" t="n">
        <f aca="false">IF((F1940+F1938+F1942+F1939+F1941)=0,"",((F1940+F1938+F1942+F1939+F1941)-(B1940*D1940+B1938*D1938+B1942*D1942+B1939*D1939+B1941*D1941))/(F1940+F1938+F1942+F1939+F1941))</f>
        <v>0.126435997610682</v>
      </c>
      <c r="D1947" s="42" t="str">
        <f aca="false">IF(B1947="","SIN PC",IF(B1947&gt;=Detalle!$G$1,"APROBAR",IF(B1947&gt;=0.2,"REVISAR","RECHAZAR")))</f>
        <v>RECHAZAR</v>
      </c>
      <c r="E1947" s="42"/>
      <c r="F1947" s="42"/>
    </row>
    <row r="1949" customFormat="false" ht="15" hidden="false" customHeight="false" outlineLevel="0" collapsed="false">
      <c r="A1949" s="11" t="s">
        <v>1022</v>
      </c>
      <c r="B1949" s="11"/>
      <c r="C1949" s="11"/>
      <c r="D1949" s="11"/>
      <c r="E1949" s="11"/>
      <c r="F1949" s="11"/>
      <c r="H1949" s="11" t="s">
        <v>1023</v>
      </c>
      <c r="I1949" s="11"/>
      <c r="J1949" s="11"/>
      <c r="K1949" s="11"/>
      <c r="L1949" s="11"/>
      <c r="M1949" s="11"/>
      <c r="N1949" s="11"/>
      <c r="P1949" s="14" t="s">
        <v>246</v>
      </c>
    </row>
    <row r="1950" customFormat="false" ht="15" hidden="false" customHeight="false" outlineLevel="0" collapsed="false">
      <c r="A1950" s="15" t="s">
        <v>247</v>
      </c>
      <c r="B1950" s="16" t="s">
        <v>248</v>
      </c>
      <c r="C1950" s="17"/>
      <c r="D1950" s="17"/>
      <c r="E1950" s="17"/>
      <c r="F1950" s="17"/>
      <c r="H1950" s="18" t="s">
        <v>1024</v>
      </c>
      <c r="I1950" s="19"/>
      <c r="J1950" s="19"/>
      <c r="L1950" s="20" t="s">
        <v>428</v>
      </c>
      <c r="M1950" s="21"/>
      <c r="N1950" s="21"/>
      <c r="P1950" s="14" t="s">
        <v>1017</v>
      </c>
    </row>
    <row r="1951" customFormat="false" ht="15" hidden="false" customHeight="false" outlineLevel="0" collapsed="false">
      <c r="B1951" s="3" t="s">
        <v>252</v>
      </c>
      <c r="C1951" s="3" t="s">
        <v>253</v>
      </c>
      <c r="D1951" s="3" t="s">
        <v>254</v>
      </c>
      <c r="E1951" s="3" t="s">
        <v>255</v>
      </c>
      <c r="F1951" s="3" t="s">
        <v>256</v>
      </c>
      <c r="H1951" s="22" t="s">
        <v>252</v>
      </c>
      <c r="I1951" s="22" t="s">
        <v>255</v>
      </c>
      <c r="J1951" s="22" t="s">
        <v>256</v>
      </c>
      <c r="L1951" s="23" t="s">
        <v>252</v>
      </c>
      <c r="M1951" s="23" t="s">
        <v>255</v>
      </c>
      <c r="N1951" s="23" t="s">
        <v>256</v>
      </c>
      <c r="P1951" s="14" t="s">
        <v>399</v>
      </c>
    </row>
    <row r="1952" customFormat="false" ht="15" hidden="false" customHeight="false" outlineLevel="0" collapsed="false">
      <c r="A1952" s="24" t="s">
        <v>258</v>
      </c>
      <c r="B1952" s="25" t="n">
        <v>3.3</v>
      </c>
      <c r="C1952" s="25" t="n">
        <v>30</v>
      </c>
      <c r="D1952" s="26" t="n">
        <v>3.68919</v>
      </c>
      <c r="E1952" s="27" t="n">
        <v>3.85</v>
      </c>
      <c r="F1952" s="28" t="n">
        <f aca="false">ROUND(B1952*E1952,2)</f>
        <v>12.71</v>
      </c>
      <c r="H1952" s="55"/>
      <c r="I1952" s="55"/>
      <c r="J1952" s="55"/>
      <c r="L1952" s="53"/>
      <c r="M1952" s="53"/>
      <c r="N1952" s="53"/>
      <c r="P1952" s="35" t="s">
        <v>1018</v>
      </c>
    </row>
    <row r="1953" customFormat="false" ht="15" hidden="false" customHeight="false" outlineLevel="0" collapsed="false">
      <c r="A1953" s="24" t="s">
        <v>260</v>
      </c>
      <c r="B1953" s="25" t="n">
        <v>3.3</v>
      </c>
      <c r="C1953" s="25" t="n">
        <v>30</v>
      </c>
      <c r="D1953" s="26" t="n">
        <v>1.31928</v>
      </c>
      <c r="E1953" s="27" t="n">
        <v>1.33</v>
      </c>
      <c r="F1953" s="28" t="n">
        <f aca="false">ROUND(B1953*E1953,2)</f>
        <v>4.39</v>
      </c>
      <c r="H1953" s="55"/>
      <c r="I1953" s="55"/>
      <c r="J1953" s="55"/>
      <c r="L1953" s="53"/>
      <c r="M1953" s="53"/>
      <c r="N1953" s="53"/>
      <c r="P1953" s="43" t="s">
        <v>261</v>
      </c>
    </row>
    <row r="1954" customFormat="false" ht="15" hidden="false" customHeight="false" outlineLevel="0" collapsed="false">
      <c r="A1954" s="24" t="s">
        <v>262</v>
      </c>
      <c r="B1954" s="25" t="n">
        <v>36.17</v>
      </c>
      <c r="C1954" s="25" t="n">
        <v>30</v>
      </c>
      <c r="D1954" s="26" t="n">
        <v>0.111171</v>
      </c>
      <c r="E1954" s="27" t="n">
        <v>0.13788</v>
      </c>
      <c r="F1954" s="28" t="n">
        <f aca="false">ROUND(B1954*E1954,2)</f>
        <v>4.99</v>
      </c>
      <c r="H1954" s="55"/>
      <c r="I1954" s="55"/>
      <c r="J1954" s="55"/>
      <c r="L1954" s="53"/>
      <c r="M1954" s="53"/>
      <c r="N1954" s="53"/>
    </row>
    <row r="1955" customFormat="false" ht="15" hidden="false" customHeight="false" outlineLevel="0" collapsed="false">
      <c r="A1955" s="24" t="s">
        <v>264</v>
      </c>
      <c r="B1955" s="25" t="n">
        <v>29.212</v>
      </c>
      <c r="C1955" s="25" t="n">
        <v>30</v>
      </c>
      <c r="D1955" s="26" t="n">
        <v>0.111171</v>
      </c>
      <c r="E1955" s="27" t="n">
        <v>0.13788</v>
      </c>
      <c r="F1955" s="28" t="n">
        <f aca="false">ROUND(B1955*E1955,2)</f>
        <v>4.03</v>
      </c>
      <c r="H1955" s="55"/>
      <c r="I1955" s="55"/>
      <c r="J1955" s="55"/>
      <c r="L1955" s="53"/>
      <c r="M1955" s="53"/>
      <c r="N1955" s="53"/>
    </row>
    <row r="1956" customFormat="false" ht="15" hidden="false" customHeight="false" outlineLevel="0" collapsed="false">
      <c r="A1956" s="24" t="s">
        <v>265</v>
      </c>
      <c r="B1956" s="25" t="n">
        <v>67.183</v>
      </c>
      <c r="C1956" s="25" t="n">
        <v>30</v>
      </c>
      <c r="D1956" s="26" t="n">
        <v>0.111171</v>
      </c>
      <c r="E1956" s="27" t="n">
        <v>0.13788</v>
      </c>
      <c r="F1956" s="28" t="n">
        <f aca="false">ROUND(B1956*E1956,2)</f>
        <v>9.26</v>
      </c>
      <c r="H1956" s="55"/>
      <c r="I1956" s="55"/>
      <c r="J1956" s="55"/>
      <c r="L1956" s="53"/>
      <c r="M1956" s="53"/>
      <c r="N1956" s="53"/>
    </row>
    <row r="1957" customFormat="false" ht="15" hidden="false" customHeight="false" outlineLevel="0" collapsed="false">
      <c r="A1957" s="24" t="s">
        <v>266</v>
      </c>
      <c r="B1957" s="25" t="n">
        <v>1</v>
      </c>
      <c r="C1957" s="25" t="n">
        <v>30</v>
      </c>
      <c r="D1957" s="26" t="n">
        <v>0.7989</v>
      </c>
      <c r="E1957" s="27" t="n">
        <v>3</v>
      </c>
      <c r="F1957" s="28" t="n">
        <f aca="false">ROUND(B1957*E1957,2)</f>
        <v>3</v>
      </c>
      <c r="H1957" s="55"/>
      <c r="I1957" s="55"/>
      <c r="J1957" s="55"/>
      <c r="L1957" s="53"/>
      <c r="M1957" s="53"/>
      <c r="N1957" s="53"/>
    </row>
    <row r="1958" customFormat="false" ht="15" hidden="false" customHeight="false" outlineLevel="0" collapsed="false">
      <c r="A1958" s="24" t="s">
        <v>267</v>
      </c>
      <c r="B1958" s="25" t="n">
        <v>30</v>
      </c>
      <c r="C1958" s="25" t="n">
        <v>30</v>
      </c>
      <c r="D1958" s="26" t="n">
        <v>0.5736</v>
      </c>
      <c r="E1958" s="27" t="n">
        <v>0.01274</v>
      </c>
      <c r="F1958" s="28" t="n">
        <f aca="false">ROUND(B1958*E1958,2)</f>
        <v>0.38</v>
      </c>
      <c r="H1958" s="55"/>
      <c r="I1958" s="55"/>
      <c r="J1958" s="55"/>
      <c r="L1958" s="53"/>
      <c r="M1958" s="53"/>
      <c r="N1958" s="53"/>
    </row>
    <row r="1959" customFormat="false" ht="15" hidden="false" customHeight="false" outlineLevel="0" collapsed="false">
      <c r="A1959" s="24" t="s">
        <v>268</v>
      </c>
      <c r="B1959" s="25" t="n">
        <v>1.82</v>
      </c>
      <c r="C1959" s="25" t="n">
        <v>30</v>
      </c>
      <c r="D1959" s="26" t="n">
        <v>0.02671</v>
      </c>
      <c r="E1959" s="27" t="n">
        <v>1</v>
      </c>
      <c r="F1959" s="28" t="n">
        <f aca="false">ROUND(B1959*E1959,2)</f>
        <v>1.82</v>
      </c>
      <c r="H1959" s="55"/>
      <c r="I1959" s="55"/>
      <c r="J1959" s="55"/>
      <c r="L1959" s="53"/>
      <c r="M1959" s="53"/>
      <c r="N1959" s="53"/>
    </row>
    <row r="1960" customFormat="false" ht="15" hidden="false" customHeight="false" outlineLevel="0" collapsed="false">
      <c r="A1960" s="37" t="s">
        <v>269</v>
      </c>
      <c r="F1960" s="38" t="n">
        <f aca="false">ROUND((SUM(F1952:F1959)-F1959)*1.1+F1959,2)</f>
        <v>44.46</v>
      </c>
      <c r="J1960" s="57"/>
      <c r="N1960" s="54"/>
    </row>
    <row r="1961" customFormat="false" ht="15" hidden="false" customHeight="false" outlineLevel="0" collapsed="false">
      <c r="A1961" s="15" t="s">
        <v>270</v>
      </c>
      <c r="B1961" s="41" t="n">
        <f aca="false">IF((F1954+F1952+F1956+F1953+F1955)=0,"",((F1954+F1952+F1956+F1953+F1955)-(B1954*D1954+B1952*D1952+B1956*D1956+B1953*D1953+B1955*D1955))/(F1954+F1952+F1956+F1953+F1955))</f>
        <v>0.116299191209723</v>
      </c>
      <c r="D1961" s="42" t="str">
        <f aca="false">IF(B1961="","SIN PC",IF(B1961&gt;=Detalle!$G$1,"APROBAR",IF(B1961&gt;=0.2,"REVISAR","RECHAZAR")))</f>
        <v>RECHAZAR</v>
      </c>
      <c r="E1961" s="42"/>
      <c r="F1961" s="42"/>
    </row>
    <row r="1963" customFormat="false" ht="15" hidden="false" customHeight="false" outlineLevel="0" collapsed="false">
      <c r="A1963" s="11" t="s">
        <v>1025</v>
      </c>
      <c r="B1963" s="11"/>
      <c r="C1963" s="11"/>
      <c r="D1963" s="11"/>
      <c r="E1963" s="11"/>
      <c r="F1963" s="11"/>
      <c r="H1963" s="11" t="s">
        <v>1026</v>
      </c>
      <c r="I1963" s="11"/>
      <c r="J1963" s="11"/>
      <c r="K1963" s="11"/>
      <c r="L1963" s="11"/>
      <c r="M1963" s="11"/>
      <c r="N1963" s="11"/>
      <c r="P1963" s="14" t="s">
        <v>246</v>
      </c>
    </row>
    <row r="1964" customFormat="false" ht="15" hidden="false" customHeight="false" outlineLevel="0" collapsed="false">
      <c r="A1964" s="15" t="s">
        <v>247</v>
      </c>
      <c r="B1964" s="16" t="s">
        <v>248</v>
      </c>
      <c r="C1964" s="17"/>
      <c r="D1964" s="17"/>
      <c r="E1964" s="17"/>
      <c r="F1964" s="17"/>
      <c r="H1964" s="18" t="s">
        <v>1024</v>
      </c>
      <c r="I1964" s="19"/>
      <c r="J1964" s="19"/>
      <c r="L1964" s="20" t="s">
        <v>428</v>
      </c>
      <c r="M1964" s="21"/>
      <c r="N1964" s="21"/>
      <c r="P1964" s="14" t="s">
        <v>1017</v>
      </c>
    </row>
    <row r="1965" customFormat="false" ht="15" hidden="false" customHeight="false" outlineLevel="0" collapsed="false">
      <c r="B1965" s="3" t="s">
        <v>252</v>
      </c>
      <c r="C1965" s="3" t="s">
        <v>253</v>
      </c>
      <c r="D1965" s="3" t="s">
        <v>254</v>
      </c>
      <c r="E1965" s="3" t="s">
        <v>255</v>
      </c>
      <c r="F1965" s="3" t="s">
        <v>256</v>
      </c>
      <c r="H1965" s="22" t="s">
        <v>252</v>
      </c>
      <c r="I1965" s="22" t="s">
        <v>255</v>
      </c>
      <c r="J1965" s="22" t="s">
        <v>256</v>
      </c>
      <c r="L1965" s="23" t="s">
        <v>252</v>
      </c>
      <c r="M1965" s="23" t="s">
        <v>255</v>
      </c>
      <c r="N1965" s="23" t="s">
        <v>256</v>
      </c>
      <c r="P1965" s="14" t="s">
        <v>399</v>
      </c>
    </row>
    <row r="1966" customFormat="false" ht="15" hidden="false" customHeight="false" outlineLevel="0" collapsed="false">
      <c r="A1966" s="24" t="s">
        <v>258</v>
      </c>
      <c r="B1966" s="25" t="n">
        <v>4</v>
      </c>
      <c r="C1966" s="25" t="n">
        <v>30</v>
      </c>
      <c r="D1966" s="26" t="n">
        <v>3.68919</v>
      </c>
      <c r="E1966" s="27" t="n">
        <v>3.85</v>
      </c>
      <c r="F1966" s="28" t="n">
        <f aca="false">ROUND(B1966*E1966,2)</f>
        <v>15.4</v>
      </c>
      <c r="H1966" s="55"/>
      <c r="I1966" s="55"/>
      <c r="J1966" s="55"/>
      <c r="L1966" s="53"/>
      <c r="M1966" s="53"/>
      <c r="N1966" s="53"/>
      <c r="P1966" s="35" t="s">
        <v>1018</v>
      </c>
    </row>
    <row r="1967" customFormat="false" ht="15" hidden="false" customHeight="false" outlineLevel="0" collapsed="false">
      <c r="A1967" s="24" t="s">
        <v>260</v>
      </c>
      <c r="B1967" s="25" t="n">
        <v>4</v>
      </c>
      <c r="C1967" s="25" t="n">
        <v>30</v>
      </c>
      <c r="D1967" s="26" t="n">
        <v>1.31928</v>
      </c>
      <c r="E1967" s="27" t="n">
        <v>1.33</v>
      </c>
      <c r="F1967" s="28" t="n">
        <f aca="false">ROUND(B1967*E1967,2)</f>
        <v>5.32</v>
      </c>
      <c r="H1967" s="55"/>
      <c r="I1967" s="55"/>
      <c r="J1967" s="55"/>
      <c r="L1967" s="53"/>
      <c r="M1967" s="53"/>
      <c r="N1967" s="53"/>
      <c r="P1967" s="43" t="s">
        <v>261</v>
      </c>
    </row>
    <row r="1968" customFormat="false" ht="15" hidden="false" customHeight="false" outlineLevel="0" collapsed="false">
      <c r="A1968" s="24" t="s">
        <v>262</v>
      </c>
      <c r="B1968" s="25" t="n">
        <v>51.209</v>
      </c>
      <c r="C1968" s="25" t="n">
        <v>30</v>
      </c>
      <c r="D1968" s="26" t="n">
        <v>0.111171</v>
      </c>
      <c r="E1968" s="27" t="n">
        <v>0.13788</v>
      </c>
      <c r="F1968" s="28" t="n">
        <f aca="false">ROUND(B1968*E1968,2)</f>
        <v>7.06</v>
      </c>
      <c r="H1968" s="55"/>
      <c r="I1968" s="55"/>
      <c r="J1968" s="55"/>
      <c r="L1968" s="53"/>
      <c r="M1968" s="53"/>
      <c r="N1968" s="53"/>
    </row>
    <row r="1969" customFormat="false" ht="15" hidden="false" customHeight="false" outlineLevel="0" collapsed="false">
      <c r="A1969" s="24" t="s">
        <v>264</v>
      </c>
      <c r="B1969" s="25" t="n">
        <v>44.805</v>
      </c>
      <c r="C1969" s="25" t="n">
        <v>30</v>
      </c>
      <c r="D1969" s="26" t="n">
        <v>0.111171</v>
      </c>
      <c r="E1969" s="27" t="n">
        <v>0.13788</v>
      </c>
      <c r="F1969" s="28" t="n">
        <f aca="false">ROUND(B1969*E1969,2)</f>
        <v>6.18</v>
      </c>
      <c r="H1969" s="55"/>
      <c r="I1969" s="55"/>
      <c r="J1969" s="55"/>
      <c r="L1969" s="53"/>
      <c r="M1969" s="53"/>
      <c r="N1969" s="53"/>
    </row>
    <row r="1970" customFormat="false" ht="15" hidden="false" customHeight="false" outlineLevel="0" collapsed="false">
      <c r="A1970" s="24" t="s">
        <v>265</v>
      </c>
      <c r="B1970" s="25" t="n">
        <v>60.334</v>
      </c>
      <c r="C1970" s="25" t="n">
        <v>30</v>
      </c>
      <c r="D1970" s="26" t="n">
        <v>0.111171</v>
      </c>
      <c r="E1970" s="27" t="n">
        <v>0.13788</v>
      </c>
      <c r="F1970" s="28" t="n">
        <f aca="false">ROUND(B1970*E1970,2)</f>
        <v>8.32</v>
      </c>
      <c r="H1970" s="55"/>
      <c r="I1970" s="55"/>
      <c r="J1970" s="55"/>
      <c r="L1970" s="53"/>
      <c r="M1970" s="53"/>
      <c r="N1970" s="53"/>
    </row>
    <row r="1971" customFormat="false" ht="15" hidden="false" customHeight="false" outlineLevel="0" collapsed="false">
      <c r="A1971" s="24" t="s">
        <v>266</v>
      </c>
      <c r="B1971" s="25" t="n">
        <v>1</v>
      </c>
      <c r="C1971" s="25" t="n">
        <v>30</v>
      </c>
      <c r="D1971" s="26" t="n">
        <v>0.7989</v>
      </c>
      <c r="E1971" s="27" t="n">
        <v>3</v>
      </c>
      <c r="F1971" s="28" t="n">
        <f aca="false">ROUND(B1971*E1971,2)</f>
        <v>3</v>
      </c>
      <c r="H1971" s="55"/>
      <c r="I1971" s="55"/>
      <c r="J1971" s="55"/>
      <c r="L1971" s="53"/>
      <c r="M1971" s="53"/>
      <c r="N1971" s="53"/>
    </row>
    <row r="1972" customFormat="false" ht="15" hidden="false" customHeight="false" outlineLevel="0" collapsed="false">
      <c r="A1972" s="24" t="s">
        <v>267</v>
      </c>
      <c r="B1972" s="25" t="n">
        <v>30</v>
      </c>
      <c r="C1972" s="25" t="n">
        <v>30</v>
      </c>
      <c r="D1972" s="26" t="n">
        <v>0.5736</v>
      </c>
      <c r="E1972" s="27" t="n">
        <v>0.01274</v>
      </c>
      <c r="F1972" s="28" t="n">
        <f aca="false">ROUND(B1972*E1972,2)</f>
        <v>0.38</v>
      </c>
      <c r="H1972" s="55"/>
      <c r="I1972" s="55"/>
      <c r="J1972" s="55"/>
      <c r="L1972" s="53"/>
      <c r="M1972" s="53"/>
      <c r="N1972" s="53"/>
    </row>
    <row r="1973" customFormat="false" ht="15" hidden="false" customHeight="false" outlineLevel="0" collapsed="false">
      <c r="A1973" s="24" t="s">
        <v>268</v>
      </c>
      <c r="B1973" s="25" t="n">
        <v>2.17</v>
      </c>
      <c r="C1973" s="25" t="n">
        <v>30</v>
      </c>
      <c r="D1973" s="26" t="n">
        <v>0.02671</v>
      </c>
      <c r="E1973" s="27" t="n">
        <v>1</v>
      </c>
      <c r="F1973" s="28" t="n">
        <f aca="false">ROUND(B1973*E1973,2)</f>
        <v>2.17</v>
      </c>
      <c r="H1973" s="55"/>
      <c r="I1973" s="55"/>
      <c r="J1973" s="55"/>
      <c r="L1973" s="53"/>
      <c r="M1973" s="53"/>
      <c r="N1973" s="53"/>
    </row>
    <row r="1974" customFormat="false" ht="15" hidden="false" customHeight="false" outlineLevel="0" collapsed="false">
      <c r="A1974" s="37" t="s">
        <v>269</v>
      </c>
      <c r="F1974" s="38" t="n">
        <f aca="false">ROUND((SUM(F1966:F1973)-F1973)*1.1+F1973,2)</f>
        <v>52.4</v>
      </c>
      <c r="J1974" s="57"/>
      <c r="N1974" s="54"/>
    </row>
    <row r="1975" customFormat="false" ht="15" hidden="false" customHeight="false" outlineLevel="0" collapsed="false">
      <c r="A1975" s="15" t="s">
        <v>270</v>
      </c>
      <c r="B1975" s="41" t="n">
        <f aca="false">IF((F1968+F1966+F1970+F1967+F1969)=0,"",((F1968+F1966+F1970+F1967+F1969)-(B1968*D1968+B1966*D1966+B1970*D1970+B1967*D1967+B1969*D1969))/(F1968+F1966+F1970+F1967+F1969))</f>
        <v>0.115060465752129</v>
      </c>
      <c r="D1975" s="42" t="str">
        <f aca="false">IF(B1975="","SIN PC",IF(B1975&gt;=Detalle!$G$1,"APROBAR",IF(B1975&gt;=0.2,"REVISAR","RECHAZAR")))</f>
        <v>RECHAZAR</v>
      </c>
      <c r="E1975" s="42"/>
      <c r="F1975" s="42"/>
    </row>
    <row r="1977" customFormat="false" ht="15" hidden="false" customHeight="false" outlineLevel="0" collapsed="false">
      <c r="A1977" s="11" t="s">
        <v>1027</v>
      </c>
      <c r="B1977" s="11"/>
      <c r="C1977" s="11"/>
      <c r="D1977" s="11"/>
      <c r="E1977" s="11"/>
      <c r="F1977" s="11"/>
      <c r="H1977" s="11" t="s">
        <v>1028</v>
      </c>
      <c r="I1977" s="11"/>
      <c r="J1977" s="11"/>
      <c r="K1977" s="11"/>
      <c r="L1977" s="11"/>
      <c r="M1977" s="11"/>
      <c r="N1977" s="11"/>
      <c r="P1977" s="14" t="s">
        <v>246</v>
      </c>
    </row>
    <row r="1978" customFormat="false" ht="15" hidden="false" customHeight="false" outlineLevel="0" collapsed="false">
      <c r="A1978" s="15" t="s">
        <v>247</v>
      </c>
      <c r="B1978" s="16" t="s">
        <v>248</v>
      </c>
      <c r="C1978" s="17"/>
      <c r="D1978" s="17"/>
      <c r="E1978" s="17"/>
      <c r="F1978" s="17"/>
      <c r="H1978" s="18" t="s">
        <v>1024</v>
      </c>
      <c r="I1978" s="19"/>
      <c r="J1978" s="19"/>
      <c r="L1978" s="20" t="s">
        <v>428</v>
      </c>
      <c r="M1978" s="21"/>
      <c r="N1978" s="21"/>
      <c r="P1978" s="14" t="s">
        <v>429</v>
      </c>
    </row>
    <row r="1979" customFormat="false" ht="15" hidden="false" customHeight="false" outlineLevel="0" collapsed="false">
      <c r="B1979" s="3" t="s">
        <v>252</v>
      </c>
      <c r="C1979" s="3" t="s">
        <v>253</v>
      </c>
      <c r="D1979" s="3" t="s">
        <v>254</v>
      </c>
      <c r="E1979" s="3" t="s">
        <v>255</v>
      </c>
      <c r="F1979" s="3" t="s">
        <v>256</v>
      </c>
      <c r="H1979" s="22" t="s">
        <v>252</v>
      </c>
      <c r="I1979" s="22" t="s">
        <v>255</v>
      </c>
      <c r="J1979" s="22" t="s">
        <v>256</v>
      </c>
      <c r="L1979" s="23" t="s">
        <v>252</v>
      </c>
      <c r="M1979" s="23" t="s">
        <v>255</v>
      </c>
      <c r="N1979" s="23" t="s">
        <v>256</v>
      </c>
      <c r="P1979" s="14" t="s">
        <v>399</v>
      </c>
    </row>
    <row r="1980" customFormat="false" ht="15" hidden="false" customHeight="false" outlineLevel="0" collapsed="false">
      <c r="A1980" s="24" t="s">
        <v>258</v>
      </c>
      <c r="B1980" s="25" t="n">
        <v>10.392</v>
      </c>
      <c r="C1980" s="25" t="n">
        <v>30</v>
      </c>
      <c r="D1980" s="26"/>
      <c r="E1980" s="27" t="n">
        <v>3.85</v>
      </c>
      <c r="F1980" s="28" t="n">
        <f aca="false">ROUND(B1980*E1980,2)</f>
        <v>40.01</v>
      </c>
      <c r="H1980" s="55"/>
      <c r="I1980" s="55"/>
      <c r="J1980" s="55"/>
      <c r="L1980" s="53"/>
      <c r="M1980" s="53"/>
      <c r="N1980" s="53"/>
      <c r="P1980" s="35" t="s">
        <v>430</v>
      </c>
    </row>
    <row r="1981" customFormat="false" ht="15" hidden="false" customHeight="false" outlineLevel="0" collapsed="false">
      <c r="A1981" s="24" t="s">
        <v>260</v>
      </c>
      <c r="B1981" s="25" t="n">
        <v>10.392</v>
      </c>
      <c r="C1981" s="25" t="n">
        <v>30</v>
      </c>
      <c r="D1981" s="26"/>
      <c r="E1981" s="27" t="n">
        <v>1.33</v>
      </c>
      <c r="F1981" s="28" t="n">
        <f aca="false">ROUND(B1981*E1981,2)</f>
        <v>13.82</v>
      </c>
      <c r="H1981" s="55"/>
      <c r="I1981" s="55"/>
      <c r="J1981" s="55"/>
      <c r="L1981" s="53"/>
      <c r="M1981" s="53"/>
      <c r="N1981" s="53"/>
      <c r="P1981" s="43" t="s">
        <v>261</v>
      </c>
    </row>
    <row r="1982" customFormat="false" ht="15" hidden="false" customHeight="false" outlineLevel="0" collapsed="false">
      <c r="A1982" s="24" t="s">
        <v>262</v>
      </c>
      <c r="B1982" s="25" t="n">
        <v>14.103</v>
      </c>
      <c r="C1982" s="25" t="n">
        <v>30</v>
      </c>
      <c r="D1982" s="26"/>
      <c r="E1982" s="27" t="n">
        <v>0.13788</v>
      </c>
      <c r="F1982" s="28" t="n">
        <f aca="false">ROUND(B1982*E1982,2)</f>
        <v>1.94</v>
      </c>
      <c r="H1982" s="55"/>
      <c r="I1982" s="55"/>
      <c r="J1982" s="55"/>
      <c r="L1982" s="53"/>
      <c r="M1982" s="53"/>
      <c r="N1982" s="53"/>
    </row>
    <row r="1983" customFormat="false" ht="15" hidden="false" customHeight="false" outlineLevel="0" collapsed="false">
      <c r="A1983" s="24" t="s">
        <v>264</v>
      </c>
      <c r="B1983" s="25" t="n">
        <v>14.029</v>
      </c>
      <c r="C1983" s="25" t="n">
        <v>30</v>
      </c>
      <c r="D1983" s="26"/>
      <c r="E1983" s="27" t="n">
        <v>0.13788</v>
      </c>
      <c r="F1983" s="28" t="n">
        <f aca="false">ROUND(B1983*E1983,2)</f>
        <v>1.93</v>
      </c>
      <c r="H1983" s="55"/>
      <c r="I1983" s="55"/>
      <c r="J1983" s="55"/>
      <c r="L1983" s="53"/>
      <c r="M1983" s="53"/>
      <c r="N1983" s="53"/>
    </row>
    <row r="1984" customFormat="false" ht="15" hidden="false" customHeight="false" outlineLevel="0" collapsed="false">
      <c r="A1984" s="24" t="s">
        <v>265</v>
      </c>
      <c r="B1984" s="25" t="n">
        <v>7.874</v>
      </c>
      <c r="C1984" s="25" t="n">
        <v>30</v>
      </c>
      <c r="D1984" s="26"/>
      <c r="E1984" s="27" t="n">
        <v>0.13788</v>
      </c>
      <c r="F1984" s="28" t="n">
        <f aca="false">ROUND(B1984*E1984,2)</f>
        <v>1.09</v>
      </c>
      <c r="H1984" s="55"/>
      <c r="I1984" s="55"/>
      <c r="J1984" s="55"/>
      <c r="L1984" s="53"/>
      <c r="M1984" s="53"/>
      <c r="N1984" s="53"/>
    </row>
    <row r="1985" customFormat="false" ht="15" hidden="false" customHeight="false" outlineLevel="0" collapsed="false">
      <c r="A1985" s="24" t="s">
        <v>266</v>
      </c>
      <c r="B1985" s="25" t="n">
        <v>1</v>
      </c>
      <c r="C1985" s="25" t="n">
        <v>30</v>
      </c>
      <c r="D1985" s="26"/>
      <c r="E1985" s="27" t="n">
        <v>3</v>
      </c>
      <c r="F1985" s="28" t="n">
        <f aca="false">ROUND(B1985*E1985,2)</f>
        <v>3</v>
      </c>
      <c r="H1985" s="55"/>
      <c r="I1985" s="55"/>
      <c r="J1985" s="55"/>
      <c r="L1985" s="53"/>
      <c r="M1985" s="53"/>
      <c r="N1985" s="53"/>
    </row>
    <row r="1986" customFormat="false" ht="15" hidden="false" customHeight="false" outlineLevel="0" collapsed="false">
      <c r="A1986" s="24" t="s">
        <v>267</v>
      </c>
      <c r="B1986" s="25" t="n">
        <v>30</v>
      </c>
      <c r="C1986" s="25" t="n">
        <v>30</v>
      </c>
      <c r="D1986" s="26"/>
      <c r="E1986" s="27" t="n">
        <v>0.01274</v>
      </c>
      <c r="F1986" s="28" t="n">
        <f aca="false">ROUND(B1986*E1986,2)</f>
        <v>0.38</v>
      </c>
      <c r="H1986" s="55"/>
      <c r="I1986" s="55"/>
      <c r="J1986" s="55"/>
      <c r="L1986" s="53"/>
      <c r="M1986" s="53"/>
      <c r="N1986" s="53"/>
    </row>
    <row r="1987" customFormat="false" ht="15" hidden="false" customHeight="false" outlineLevel="0" collapsed="false">
      <c r="A1987" s="24" t="s">
        <v>268</v>
      </c>
      <c r="B1987" s="25" t="n">
        <v>3.01</v>
      </c>
      <c r="C1987" s="25" t="n">
        <v>30</v>
      </c>
      <c r="D1987" s="26"/>
      <c r="E1987" s="27" t="n">
        <v>1</v>
      </c>
      <c r="F1987" s="28" t="n">
        <f aca="false">ROUND(B1987*E1987,2)</f>
        <v>3.01</v>
      </c>
      <c r="H1987" s="55"/>
      <c r="I1987" s="55"/>
      <c r="J1987" s="55"/>
      <c r="L1987" s="53"/>
      <c r="M1987" s="53"/>
      <c r="N1987" s="53"/>
    </row>
    <row r="1988" customFormat="false" ht="15" hidden="false" customHeight="false" outlineLevel="0" collapsed="false">
      <c r="A1988" s="37" t="s">
        <v>269</v>
      </c>
      <c r="F1988" s="38" t="n">
        <f aca="false">ROUND((SUM(F1980:F1987)-F1987)*1.1+F1987,2)</f>
        <v>71.4</v>
      </c>
      <c r="J1988" s="57"/>
      <c r="N1988" s="54"/>
    </row>
    <row r="1989" customFormat="false" ht="15" hidden="false" customHeight="false" outlineLevel="0" collapsed="false">
      <c r="A1989" s="15" t="s">
        <v>270</v>
      </c>
      <c r="B1989" s="41" t="n">
        <f aca="false">IF((F1982+F1980+F1984+F1981+F1983)=0,"",((F1982+F1980+F1984+F1981+F1983)-(B1982*D1982+B1980*D1980+B1984*D1984+B1981*D1981+B1983*D1983))/(F1982+F1980+F1984+F1981+F1983))</f>
        <v>1</v>
      </c>
      <c r="D1989" s="42" t="str">
        <f aca="false">IF(B1989="","SIN PC",IF(B1989&gt;=Detalle!$G$1,"APROBAR",IF(B1989&gt;=0.2,"REVISAR","RECHAZAR")))</f>
        <v>APROBAR</v>
      </c>
      <c r="E1989" s="42"/>
      <c r="F1989" s="42"/>
    </row>
    <row r="1991" customFormat="false" ht="15" hidden="false" customHeight="false" outlineLevel="0" collapsed="false">
      <c r="A1991" s="11" t="s">
        <v>1029</v>
      </c>
      <c r="B1991" s="11"/>
      <c r="C1991" s="11"/>
      <c r="D1991" s="11"/>
      <c r="E1991" s="11"/>
      <c r="F1991" s="11"/>
      <c r="H1991" s="11" t="s">
        <v>1030</v>
      </c>
      <c r="I1991" s="11"/>
      <c r="J1991" s="11"/>
      <c r="K1991" s="11"/>
      <c r="L1991" s="11"/>
      <c r="M1991" s="11"/>
      <c r="N1991" s="11"/>
      <c r="P1991" s="14" t="s">
        <v>246</v>
      </c>
    </row>
    <row r="1992" customFormat="false" ht="15" hidden="false" customHeight="false" outlineLevel="0" collapsed="false">
      <c r="A1992" s="15" t="s">
        <v>247</v>
      </c>
      <c r="B1992" s="16" t="s">
        <v>248</v>
      </c>
      <c r="C1992" s="17"/>
      <c r="D1992" s="17"/>
      <c r="E1992" s="17"/>
      <c r="F1992" s="17"/>
      <c r="H1992" s="18" t="s">
        <v>1031</v>
      </c>
      <c r="I1992" s="19"/>
      <c r="J1992" s="19"/>
      <c r="L1992" s="20" t="s">
        <v>428</v>
      </c>
      <c r="M1992" s="21"/>
      <c r="N1992" s="21"/>
      <c r="P1992" s="14" t="s">
        <v>429</v>
      </c>
    </row>
    <row r="1993" customFormat="false" ht="15" hidden="false" customHeight="false" outlineLevel="0" collapsed="false">
      <c r="B1993" s="3" t="s">
        <v>252</v>
      </c>
      <c r="C1993" s="3" t="s">
        <v>253</v>
      </c>
      <c r="D1993" s="3" t="s">
        <v>254</v>
      </c>
      <c r="E1993" s="3" t="s">
        <v>255</v>
      </c>
      <c r="F1993" s="3" t="s">
        <v>256</v>
      </c>
      <c r="H1993" s="22" t="s">
        <v>252</v>
      </c>
      <c r="I1993" s="22" t="s">
        <v>255</v>
      </c>
      <c r="J1993" s="22" t="s">
        <v>256</v>
      </c>
      <c r="L1993" s="23" t="s">
        <v>252</v>
      </c>
      <c r="M1993" s="23" t="s">
        <v>255</v>
      </c>
      <c r="N1993" s="23" t="s">
        <v>256</v>
      </c>
      <c r="P1993" s="14" t="s">
        <v>399</v>
      </c>
    </row>
    <row r="1994" customFormat="false" ht="15" hidden="false" customHeight="false" outlineLevel="0" collapsed="false">
      <c r="A1994" s="24" t="s">
        <v>258</v>
      </c>
      <c r="B1994" s="25" t="n">
        <v>5.75</v>
      </c>
      <c r="C1994" s="25" t="n">
        <v>30</v>
      </c>
      <c r="D1994" s="26" t="n">
        <v>3.68919</v>
      </c>
      <c r="E1994" s="27" t="n">
        <v>3.85</v>
      </c>
      <c r="F1994" s="28" t="n">
        <f aca="false">ROUND(B1994*E1994,2)</f>
        <v>22.14</v>
      </c>
      <c r="H1994" s="29" t="n">
        <v>5.75</v>
      </c>
      <c r="I1994" s="30" t="n">
        <v>3.85</v>
      </c>
      <c r="J1994" s="31" t="n">
        <f aca="false">ROUND(H1994*I1994,2)</f>
        <v>22.14</v>
      </c>
      <c r="L1994" s="53"/>
      <c r="M1994" s="53"/>
      <c r="N1994" s="53"/>
      <c r="P1994" s="35" t="s">
        <v>430</v>
      </c>
    </row>
    <row r="1995" customFormat="false" ht="15" hidden="false" customHeight="false" outlineLevel="0" collapsed="false">
      <c r="A1995" s="24" t="s">
        <v>260</v>
      </c>
      <c r="B1995" s="25" t="n">
        <v>5.75</v>
      </c>
      <c r="C1995" s="25" t="n">
        <v>30</v>
      </c>
      <c r="D1995" s="26" t="n">
        <v>1.31928</v>
      </c>
      <c r="E1995" s="27" t="n">
        <v>1.33</v>
      </c>
      <c r="F1995" s="28" t="n">
        <f aca="false">ROUND(B1995*E1995,2)</f>
        <v>7.65</v>
      </c>
      <c r="H1995" s="29" t="n">
        <v>5.75</v>
      </c>
      <c r="I1995" s="30" t="n">
        <v>1.33</v>
      </c>
      <c r="J1995" s="31" t="n">
        <f aca="false">ROUND(H1995*I1995,2)</f>
        <v>7.65</v>
      </c>
      <c r="L1995" s="53"/>
      <c r="M1995" s="53"/>
      <c r="N1995" s="53"/>
      <c r="P1995" s="43" t="s">
        <v>261</v>
      </c>
    </row>
    <row r="1996" customFormat="false" ht="15" hidden="false" customHeight="false" outlineLevel="0" collapsed="false">
      <c r="A1996" s="24" t="s">
        <v>262</v>
      </c>
      <c r="B1996" s="25" t="n">
        <v>43.383</v>
      </c>
      <c r="C1996" s="25" t="n">
        <v>30</v>
      </c>
      <c r="D1996" s="26" t="n">
        <v>0.111171</v>
      </c>
      <c r="E1996" s="27" t="n">
        <v>0.13788</v>
      </c>
      <c r="F1996" s="28" t="n">
        <f aca="false">ROUND(B1996*E1996,2)</f>
        <v>5.98</v>
      </c>
      <c r="H1996" s="29" t="n">
        <v>64.402</v>
      </c>
      <c r="I1996" s="30" t="n">
        <v>0.13788</v>
      </c>
      <c r="J1996" s="31" t="n">
        <f aca="false">ROUND(H1996*I1996,2)</f>
        <v>8.88</v>
      </c>
      <c r="L1996" s="53"/>
      <c r="M1996" s="53"/>
      <c r="N1996" s="53"/>
    </row>
    <row r="1997" customFormat="false" ht="15" hidden="false" customHeight="false" outlineLevel="0" collapsed="false">
      <c r="A1997" s="24" t="s">
        <v>264</v>
      </c>
      <c r="B1997" s="25" t="n">
        <v>51.333</v>
      </c>
      <c r="C1997" s="25" t="n">
        <v>30</v>
      </c>
      <c r="D1997" s="26" t="n">
        <v>0.111171</v>
      </c>
      <c r="E1997" s="27" t="n">
        <v>0.13788</v>
      </c>
      <c r="F1997" s="28" t="n">
        <f aca="false">ROUND(B1997*E1997,2)</f>
        <v>7.08</v>
      </c>
      <c r="H1997" s="29" t="n">
        <v>63.161</v>
      </c>
      <c r="I1997" s="30" t="n">
        <v>0.13788</v>
      </c>
      <c r="J1997" s="31" t="n">
        <f aca="false">ROUND(H1997*I1997,2)</f>
        <v>8.71</v>
      </c>
      <c r="L1997" s="53"/>
      <c r="M1997" s="53"/>
      <c r="N1997" s="53"/>
    </row>
    <row r="1998" customFormat="false" ht="15" hidden="false" customHeight="false" outlineLevel="0" collapsed="false">
      <c r="A1998" s="24" t="s">
        <v>265</v>
      </c>
      <c r="B1998" s="25" t="n">
        <v>70.545</v>
      </c>
      <c r="C1998" s="25" t="n">
        <v>30</v>
      </c>
      <c r="D1998" s="26" t="n">
        <v>0.111171</v>
      </c>
      <c r="E1998" s="27" t="n">
        <v>0.13788</v>
      </c>
      <c r="F1998" s="28" t="n">
        <f aca="false">ROUND(B1998*E1998,2)</f>
        <v>9.73</v>
      </c>
      <c r="H1998" s="29" t="n">
        <v>90.626</v>
      </c>
      <c r="I1998" s="30" t="n">
        <v>0.13788</v>
      </c>
      <c r="J1998" s="31" t="n">
        <f aca="false">ROUND(H1998*I1998,2)</f>
        <v>12.5</v>
      </c>
      <c r="L1998" s="53"/>
      <c r="M1998" s="53"/>
      <c r="N1998" s="53"/>
    </row>
    <row r="1999" customFormat="false" ht="15" hidden="false" customHeight="false" outlineLevel="0" collapsed="false">
      <c r="A1999" s="24" t="s">
        <v>266</v>
      </c>
      <c r="B1999" s="25" t="n">
        <v>1</v>
      </c>
      <c r="C1999" s="25" t="n">
        <v>30</v>
      </c>
      <c r="D1999" s="26" t="n">
        <v>0.7989</v>
      </c>
      <c r="E1999" s="27" t="n">
        <v>3</v>
      </c>
      <c r="F1999" s="28" t="n">
        <f aca="false">ROUND(B1999*E1999,2)</f>
        <v>3</v>
      </c>
      <c r="H1999" s="29" t="n">
        <v>1</v>
      </c>
      <c r="I1999" s="30" t="n">
        <v>3</v>
      </c>
      <c r="J1999" s="31" t="n">
        <f aca="false">ROUND(H1999*I1999,2)</f>
        <v>3</v>
      </c>
      <c r="L1999" s="53"/>
      <c r="M1999" s="53"/>
      <c r="N1999" s="53"/>
    </row>
    <row r="2000" customFormat="false" ht="15" hidden="false" customHeight="false" outlineLevel="0" collapsed="false">
      <c r="A2000" s="24" t="s">
        <v>267</v>
      </c>
      <c r="B2000" s="25" t="n">
        <v>30</v>
      </c>
      <c r="C2000" s="25" t="n">
        <v>30</v>
      </c>
      <c r="D2000" s="26" t="n">
        <v>0.5736</v>
      </c>
      <c r="E2000" s="27" t="n">
        <v>0.01274</v>
      </c>
      <c r="F2000" s="28" t="n">
        <f aca="false">ROUND(B2000*E2000,2)</f>
        <v>0.38</v>
      </c>
      <c r="H2000" s="29" t="n">
        <v>30</v>
      </c>
      <c r="I2000" s="30" t="n">
        <v>0.01274</v>
      </c>
      <c r="J2000" s="31" t="n">
        <f aca="false">ROUND(H2000*I2000,2)</f>
        <v>0.38</v>
      </c>
      <c r="L2000" s="53"/>
      <c r="M2000" s="53"/>
      <c r="N2000" s="53"/>
    </row>
    <row r="2001" customFormat="false" ht="15" hidden="false" customHeight="false" outlineLevel="0" collapsed="false">
      <c r="A2001" s="24" t="s">
        <v>268</v>
      </c>
      <c r="B2001" s="25" t="n">
        <v>2.7</v>
      </c>
      <c r="C2001" s="25" t="n">
        <v>30</v>
      </c>
      <c r="D2001" s="26" t="n">
        <v>0.02671</v>
      </c>
      <c r="E2001" s="27" t="n">
        <v>1</v>
      </c>
      <c r="F2001" s="28" t="n">
        <f aca="false">ROUND(B2001*E2001,2)</f>
        <v>2.7</v>
      </c>
      <c r="H2001" s="29" t="n">
        <v>3.07</v>
      </c>
      <c r="I2001" s="30" t="n">
        <v>1</v>
      </c>
      <c r="J2001" s="31" t="n">
        <f aca="false">ROUND(H2001*I2001,2)</f>
        <v>3.07</v>
      </c>
      <c r="L2001" s="53"/>
      <c r="M2001" s="53"/>
      <c r="N2001" s="53"/>
    </row>
    <row r="2002" customFormat="false" ht="15" hidden="false" customHeight="false" outlineLevel="0" collapsed="false">
      <c r="A2002" s="37" t="s">
        <v>269</v>
      </c>
      <c r="F2002" s="38" t="n">
        <f aca="false">ROUND((SUM(F1994:F2001)-F2001)*1.1+F2001,2)</f>
        <v>64.26</v>
      </c>
      <c r="J2002" s="39" t="n">
        <f aca="false">ROUND(SUM(J1994:J2001),2)</f>
        <v>66.33</v>
      </c>
      <c r="N2002" s="54"/>
    </row>
    <row r="2003" customFormat="false" ht="15" hidden="false" customHeight="false" outlineLevel="0" collapsed="false">
      <c r="A2003" s="15" t="s">
        <v>270</v>
      </c>
      <c r="B2003" s="41" t="n">
        <f aca="false">IF((F1996+F1994+F1998+F1995+F1997)=0,"",((F1996+F1994+F1998+F1995+F1997)-(B1996*D1996+B1994*D1994+B1998*D1998+B1995*D1995+B1997*D1997))/(F1996+F1994+F1998+F1995+F1997))</f>
        <v>0.102873086135413</v>
      </c>
      <c r="D2003" s="42" t="str">
        <f aca="false">IF(B2003="","SIN PC",IF(B2003&gt;=Detalle!$G$1,"APROBAR",IF(B2003&gt;=0.2,"REVISAR","RECHAZAR")))</f>
        <v>RECHAZAR</v>
      </c>
      <c r="E2003" s="42"/>
      <c r="F2003" s="42"/>
    </row>
    <row r="2005" customFormat="false" ht="15" hidden="false" customHeight="false" outlineLevel="0" collapsed="false">
      <c r="A2005" s="11" t="s">
        <v>1032</v>
      </c>
      <c r="B2005" s="11"/>
      <c r="C2005" s="11"/>
      <c r="D2005" s="11"/>
      <c r="E2005" s="11"/>
      <c r="F2005" s="11"/>
      <c r="H2005" s="11" t="s">
        <v>1033</v>
      </c>
      <c r="I2005" s="11"/>
      <c r="J2005" s="11"/>
      <c r="K2005" s="11"/>
      <c r="L2005" s="11"/>
      <c r="M2005" s="11"/>
      <c r="N2005" s="11"/>
      <c r="P2005" s="14" t="s">
        <v>246</v>
      </c>
    </row>
    <row r="2006" customFormat="false" ht="15" hidden="false" customHeight="false" outlineLevel="0" collapsed="false">
      <c r="A2006" s="15" t="s">
        <v>247</v>
      </c>
      <c r="B2006" s="16" t="s">
        <v>248</v>
      </c>
      <c r="C2006" s="17"/>
      <c r="D2006" s="17"/>
      <c r="E2006" s="17"/>
      <c r="F2006" s="17"/>
      <c r="H2006" s="18" t="s">
        <v>1034</v>
      </c>
      <c r="I2006" s="19"/>
      <c r="J2006" s="19"/>
      <c r="L2006" s="20" t="s">
        <v>428</v>
      </c>
      <c r="M2006" s="21"/>
      <c r="N2006" s="21"/>
      <c r="P2006" s="14" t="s">
        <v>429</v>
      </c>
    </row>
    <row r="2007" customFormat="false" ht="15" hidden="false" customHeight="false" outlineLevel="0" collapsed="false">
      <c r="B2007" s="3" t="s">
        <v>252</v>
      </c>
      <c r="C2007" s="3" t="s">
        <v>253</v>
      </c>
      <c r="D2007" s="3" t="s">
        <v>254</v>
      </c>
      <c r="E2007" s="3" t="s">
        <v>255</v>
      </c>
      <c r="F2007" s="3" t="s">
        <v>256</v>
      </c>
      <c r="H2007" s="22" t="s">
        <v>252</v>
      </c>
      <c r="I2007" s="22" t="s">
        <v>255</v>
      </c>
      <c r="J2007" s="22" t="s">
        <v>256</v>
      </c>
      <c r="L2007" s="23" t="s">
        <v>252</v>
      </c>
      <c r="M2007" s="23" t="s">
        <v>255</v>
      </c>
      <c r="N2007" s="23" t="s">
        <v>256</v>
      </c>
      <c r="P2007" s="14" t="s">
        <v>399</v>
      </c>
    </row>
    <row r="2008" customFormat="false" ht="15" hidden="false" customHeight="false" outlineLevel="0" collapsed="false">
      <c r="A2008" s="24" t="s">
        <v>258</v>
      </c>
      <c r="B2008" s="25" t="n">
        <v>10.1</v>
      </c>
      <c r="C2008" s="25" t="n">
        <v>30</v>
      </c>
      <c r="D2008" s="26" t="n">
        <v>3.68919</v>
      </c>
      <c r="E2008" s="27" t="n">
        <v>3.85</v>
      </c>
      <c r="F2008" s="28" t="n">
        <f aca="false">ROUND(B2008*E2008,2)</f>
        <v>38.89</v>
      </c>
      <c r="H2008" s="29" t="n">
        <v>10.1</v>
      </c>
      <c r="I2008" s="30" t="n">
        <v>3.85</v>
      </c>
      <c r="J2008" s="31" t="n">
        <f aca="false">ROUND(H2008*I2008,2)</f>
        <v>38.89</v>
      </c>
      <c r="L2008" s="53"/>
      <c r="M2008" s="53"/>
      <c r="N2008" s="53"/>
      <c r="P2008" s="35" t="s">
        <v>430</v>
      </c>
    </row>
    <row r="2009" customFormat="false" ht="15" hidden="false" customHeight="false" outlineLevel="0" collapsed="false">
      <c r="A2009" s="24" t="s">
        <v>260</v>
      </c>
      <c r="B2009" s="25" t="n">
        <v>10.1</v>
      </c>
      <c r="C2009" s="25" t="n">
        <v>30</v>
      </c>
      <c r="D2009" s="26" t="n">
        <v>1.31928</v>
      </c>
      <c r="E2009" s="27" t="n">
        <v>1.33</v>
      </c>
      <c r="F2009" s="28" t="n">
        <f aca="false">ROUND(B2009*E2009,2)</f>
        <v>13.43</v>
      </c>
      <c r="H2009" s="29" t="n">
        <v>10.1</v>
      </c>
      <c r="I2009" s="30" t="n">
        <v>1.33</v>
      </c>
      <c r="J2009" s="31" t="n">
        <f aca="false">ROUND(H2009*I2009,2)</f>
        <v>13.43</v>
      </c>
      <c r="L2009" s="53"/>
      <c r="M2009" s="53"/>
      <c r="N2009" s="53"/>
      <c r="P2009" s="43" t="s">
        <v>261</v>
      </c>
    </row>
    <row r="2010" customFormat="false" ht="15" hidden="false" customHeight="false" outlineLevel="0" collapsed="false">
      <c r="A2010" s="24" t="s">
        <v>262</v>
      </c>
      <c r="B2010" s="25" t="n">
        <v>116.628</v>
      </c>
      <c r="C2010" s="25" t="n">
        <v>30</v>
      </c>
      <c r="D2010" s="26" t="n">
        <v>0.111171</v>
      </c>
      <c r="E2010" s="27" t="n">
        <v>0.13788</v>
      </c>
      <c r="F2010" s="28" t="n">
        <f aca="false">ROUND(B2010*E2010,2)</f>
        <v>16.08</v>
      </c>
      <c r="H2010" s="29" t="n">
        <v>55.312</v>
      </c>
      <c r="I2010" s="30" t="n">
        <v>0.13788</v>
      </c>
      <c r="J2010" s="31" t="n">
        <f aca="false">ROUND(H2010*I2010,2)</f>
        <v>7.63</v>
      </c>
      <c r="L2010" s="53"/>
      <c r="M2010" s="53"/>
      <c r="N2010" s="53"/>
    </row>
    <row r="2011" customFormat="false" ht="15" hidden="false" customHeight="false" outlineLevel="0" collapsed="false">
      <c r="A2011" s="24" t="s">
        <v>264</v>
      </c>
      <c r="B2011" s="25" t="n">
        <v>65.738</v>
      </c>
      <c r="C2011" s="25" t="n">
        <v>30</v>
      </c>
      <c r="D2011" s="26" t="n">
        <v>0.111171</v>
      </c>
      <c r="E2011" s="27" t="n">
        <v>0.13788</v>
      </c>
      <c r="F2011" s="28" t="n">
        <f aca="false">ROUND(B2011*E2011,2)</f>
        <v>9.06</v>
      </c>
      <c r="H2011" s="29" t="n">
        <v>37.686</v>
      </c>
      <c r="I2011" s="30" t="n">
        <v>0.13788</v>
      </c>
      <c r="J2011" s="31" t="n">
        <f aca="false">ROUND(H2011*I2011,2)</f>
        <v>5.2</v>
      </c>
      <c r="L2011" s="53"/>
      <c r="M2011" s="53"/>
      <c r="N2011" s="53"/>
    </row>
    <row r="2012" customFormat="false" ht="15" hidden="false" customHeight="false" outlineLevel="0" collapsed="false">
      <c r="A2012" s="24" t="s">
        <v>265</v>
      </c>
      <c r="B2012" s="25" t="n">
        <v>136.791</v>
      </c>
      <c r="C2012" s="25" t="n">
        <v>30</v>
      </c>
      <c r="D2012" s="26" t="n">
        <v>0.111171</v>
      </c>
      <c r="E2012" s="27" t="n">
        <v>0.13788</v>
      </c>
      <c r="F2012" s="28" t="n">
        <f aca="false">ROUND(B2012*E2012,2)</f>
        <v>18.86</v>
      </c>
      <c r="H2012" s="29" t="n">
        <v>41.32</v>
      </c>
      <c r="I2012" s="30" t="n">
        <v>0.13788</v>
      </c>
      <c r="J2012" s="31" t="n">
        <f aca="false">ROUND(H2012*I2012,2)</f>
        <v>5.7</v>
      </c>
      <c r="L2012" s="53"/>
      <c r="M2012" s="53"/>
      <c r="N2012" s="53"/>
    </row>
    <row r="2013" customFormat="false" ht="15" hidden="false" customHeight="false" outlineLevel="0" collapsed="false">
      <c r="A2013" s="24" t="s">
        <v>266</v>
      </c>
      <c r="B2013" s="25" t="n">
        <v>1</v>
      </c>
      <c r="C2013" s="25" t="n">
        <v>30</v>
      </c>
      <c r="D2013" s="26" t="n">
        <v>1.3414</v>
      </c>
      <c r="E2013" s="27" t="n">
        <v>3</v>
      </c>
      <c r="F2013" s="28" t="n">
        <f aca="false">ROUND(B2013*E2013,2)</f>
        <v>3</v>
      </c>
      <c r="H2013" s="29" t="n">
        <v>1</v>
      </c>
      <c r="I2013" s="30" t="n">
        <v>3</v>
      </c>
      <c r="J2013" s="31" t="n">
        <f aca="false">ROUND(H2013*I2013,2)</f>
        <v>3</v>
      </c>
      <c r="L2013" s="53"/>
      <c r="M2013" s="53"/>
      <c r="N2013" s="53"/>
    </row>
    <row r="2014" customFormat="false" ht="15" hidden="false" customHeight="false" outlineLevel="0" collapsed="false">
      <c r="A2014" s="24" t="s">
        <v>267</v>
      </c>
      <c r="B2014" s="25" t="n">
        <v>30</v>
      </c>
      <c r="C2014" s="25" t="n">
        <v>30</v>
      </c>
      <c r="D2014" s="26" t="n">
        <v>0.5736</v>
      </c>
      <c r="E2014" s="27" t="n">
        <v>0.01274</v>
      </c>
      <c r="F2014" s="28" t="n">
        <f aca="false">ROUND(B2014*E2014,2)</f>
        <v>0.38</v>
      </c>
      <c r="H2014" s="29" t="n">
        <v>30</v>
      </c>
      <c r="I2014" s="30" t="n">
        <v>0.01274</v>
      </c>
      <c r="J2014" s="31" t="n">
        <f aca="false">ROUND(H2014*I2014,2)</f>
        <v>0.38</v>
      </c>
      <c r="L2014" s="53"/>
      <c r="M2014" s="53"/>
      <c r="N2014" s="53"/>
    </row>
    <row r="2015" customFormat="false" ht="15" hidden="false" customHeight="false" outlineLevel="0" collapsed="false">
      <c r="A2015" s="24" t="s">
        <v>268</v>
      </c>
      <c r="B2015" s="25" t="n">
        <v>4.93</v>
      </c>
      <c r="C2015" s="25" t="n">
        <v>30</v>
      </c>
      <c r="D2015" s="26" t="n">
        <v>0.02671</v>
      </c>
      <c r="E2015" s="27" t="n">
        <v>1</v>
      </c>
      <c r="F2015" s="28" t="n">
        <f aca="false">ROUND(B2015*E2015,2)</f>
        <v>4.93</v>
      </c>
      <c r="H2015" s="29" t="n">
        <v>3.63</v>
      </c>
      <c r="I2015" s="30" t="n">
        <v>1</v>
      </c>
      <c r="J2015" s="31" t="n">
        <f aca="false">ROUND(H2015*I2015,2)</f>
        <v>3.63</v>
      </c>
      <c r="L2015" s="53"/>
      <c r="M2015" s="53"/>
      <c r="N2015" s="53"/>
    </row>
    <row r="2016" customFormat="false" ht="15" hidden="false" customHeight="false" outlineLevel="0" collapsed="false">
      <c r="A2016" s="37" t="s">
        <v>269</v>
      </c>
      <c r="F2016" s="38" t="n">
        <f aca="false">ROUND((SUM(F2008:F2015)-F2015)*1.1+F2015,2)</f>
        <v>114.6</v>
      </c>
      <c r="J2016" s="39" t="n">
        <f aca="false">ROUND(SUM(J2008:J2015),2)</f>
        <v>77.86</v>
      </c>
      <c r="N2016" s="54"/>
    </row>
    <row r="2017" customFormat="false" ht="15" hidden="false" customHeight="false" outlineLevel="0" collapsed="false">
      <c r="A2017" s="15" t="s">
        <v>270</v>
      </c>
      <c r="B2017" s="41" t="n">
        <f aca="false">IF((F2010+F2008+F2012+F2009+F2011)=0,"",((F2010+F2008+F2012+F2009+F2011)-(B2010*D2010+B2008*D2008+B2012*D2012+B2009*D2009+B2011*D2011))/(F2010+F2008+F2012+F2009+F2011))</f>
        <v>0.106451932651578</v>
      </c>
      <c r="D2017" s="42" t="str">
        <f aca="false">IF(B2017="","SIN PC",IF(B2017&gt;=Detalle!$G$1,"APROBAR",IF(B2017&gt;=0.2,"REVISAR","RECHAZAR")))</f>
        <v>RECHAZAR</v>
      </c>
      <c r="E2017" s="42"/>
      <c r="F2017" s="42"/>
    </row>
    <row r="2019" customFormat="false" ht="15" hidden="false" customHeight="false" outlineLevel="0" collapsed="false">
      <c r="A2019" s="11" t="s">
        <v>1035</v>
      </c>
      <c r="B2019" s="11"/>
      <c r="C2019" s="11"/>
      <c r="D2019" s="11"/>
      <c r="E2019" s="11"/>
      <c r="F2019" s="11"/>
      <c r="H2019" s="11" t="s">
        <v>1036</v>
      </c>
      <c r="I2019" s="11"/>
      <c r="J2019" s="11"/>
      <c r="K2019" s="11"/>
      <c r="L2019" s="11"/>
      <c r="M2019" s="11"/>
      <c r="N2019" s="11"/>
      <c r="P2019" s="14" t="s">
        <v>246</v>
      </c>
    </row>
    <row r="2020" customFormat="false" ht="15" hidden="false" customHeight="false" outlineLevel="0" collapsed="false">
      <c r="A2020" s="15" t="s">
        <v>247</v>
      </c>
      <c r="B2020" s="16" t="s">
        <v>248</v>
      </c>
      <c r="C2020" s="17"/>
      <c r="D2020" s="17"/>
      <c r="E2020" s="17"/>
      <c r="F2020" s="17"/>
      <c r="H2020" s="18" t="s">
        <v>1024</v>
      </c>
      <c r="I2020" s="19"/>
      <c r="J2020" s="19"/>
      <c r="L2020" s="20" t="s">
        <v>428</v>
      </c>
      <c r="M2020" s="21"/>
      <c r="N2020" s="21"/>
      <c r="P2020" s="14" t="s">
        <v>429</v>
      </c>
    </row>
    <row r="2021" customFormat="false" ht="15" hidden="false" customHeight="false" outlineLevel="0" collapsed="false">
      <c r="B2021" s="3" t="s">
        <v>252</v>
      </c>
      <c r="C2021" s="3" t="s">
        <v>253</v>
      </c>
      <c r="D2021" s="3" t="s">
        <v>254</v>
      </c>
      <c r="E2021" s="3" t="s">
        <v>255</v>
      </c>
      <c r="F2021" s="3" t="s">
        <v>256</v>
      </c>
      <c r="H2021" s="22" t="s">
        <v>252</v>
      </c>
      <c r="I2021" s="22" t="s">
        <v>255</v>
      </c>
      <c r="J2021" s="22" t="s">
        <v>256</v>
      </c>
      <c r="L2021" s="23" t="s">
        <v>252</v>
      </c>
      <c r="M2021" s="23" t="s">
        <v>255</v>
      </c>
      <c r="N2021" s="23" t="s">
        <v>256</v>
      </c>
      <c r="P2021" s="14" t="s">
        <v>399</v>
      </c>
    </row>
    <row r="2022" customFormat="false" ht="15" hidden="false" customHeight="false" outlineLevel="0" collapsed="false">
      <c r="A2022" s="24" t="s">
        <v>258</v>
      </c>
      <c r="B2022" s="25" t="n">
        <v>3.45</v>
      </c>
      <c r="C2022" s="25" t="n">
        <v>30</v>
      </c>
      <c r="D2022" s="26" t="n">
        <v>3.68919</v>
      </c>
      <c r="E2022" s="27" t="n">
        <v>3.85</v>
      </c>
      <c r="F2022" s="28" t="n">
        <f aca="false">ROUND(B2022*E2022,2)</f>
        <v>13.28</v>
      </c>
      <c r="H2022" s="55"/>
      <c r="I2022" s="55"/>
      <c r="J2022" s="55"/>
      <c r="L2022" s="53"/>
      <c r="M2022" s="53"/>
      <c r="N2022" s="53"/>
      <c r="P2022" s="35" t="s">
        <v>430</v>
      </c>
    </row>
    <row r="2023" customFormat="false" ht="15" hidden="false" customHeight="false" outlineLevel="0" collapsed="false">
      <c r="A2023" s="24" t="s">
        <v>260</v>
      </c>
      <c r="B2023" s="25" t="n">
        <v>3.45</v>
      </c>
      <c r="C2023" s="25" t="n">
        <v>30</v>
      </c>
      <c r="D2023" s="26" t="n">
        <v>1.31928</v>
      </c>
      <c r="E2023" s="27" t="n">
        <v>1.33</v>
      </c>
      <c r="F2023" s="28" t="n">
        <f aca="false">ROUND(B2023*E2023,2)</f>
        <v>4.59</v>
      </c>
      <c r="H2023" s="55"/>
      <c r="I2023" s="55"/>
      <c r="J2023" s="55"/>
      <c r="L2023" s="53"/>
      <c r="M2023" s="53"/>
      <c r="N2023" s="53"/>
      <c r="P2023" s="43" t="s">
        <v>261</v>
      </c>
    </row>
    <row r="2024" customFormat="false" ht="15" hidden="false" customHeight="false" outlineLevel="0" collapsed="false">
      <c r="A2024" s="24" t="s">
        <v>262</v>
      </c>
      <c r="B2024" s="25" t="n">
        <v>8.13</v>
      </c>
      <c r="C2024" s="25" t="n">
        <v>30</v>
      </c>
      <c r="D2024" s="26" t="n">
        <v>0.111171</v>
      </c>
      <c r="E2024" s="27" t="n">
        <v>0.13788</v>
      </c>
      <c r="F2024" s="28" t="n">
        <f aca="false">ROUND(B2024*E2024,2)</f>
        <v>1.12</v>
      </c>
      <c r="H2024" s="55"/>
      <c r="I2024" s="55"/>
      <c r="J2024" s="55"/>
      <c r="L2024" s="53"/>
      <c r="M2024" s="53"/>
      <c r="N2024" s="53"/>
    </row>
    <row r="2025" customFormat="false" ht="15" hidden="false" customHeight="false" outlineLevel="0" collapsed="false">
      <c r="A2025" s="24" t="s">
        <v>264</v>
      </c>
      <c r="B2025" s="25" t="n">
        <v>7.249</v>
      </c>
      <c r="C2025" s="25" t="n">
        <v>30</v>
      </c>
      <c r="D2025" s="26" t="n">
        <v>0.111171</v>
      </c>
      <c r="E2025" s="27" t="n">
        <v>0.13788</v>
      </c>
      <c r="F2025" s="28" t="n">
        <f aca="false">ROUND(B2025*E2025,2)</f>
        <v>1</v>
      </c>
      <c r="H2025" s="55"/>
      <c r="I2025" s="55"/>
      <c r="J2025" s="55"/>
      <c r="L2025" s="53"/>
      <c r="M2025" s="53"/>
      <c r="N2025" s="53"/>
    </row>
    <row r="2026" customFormat="false" ht="15" hidden="false" customHeight="false" outlineLevel="0" collapsed="false">
      <c r="A2026" s="24" t="s">
        <v>265</v>
      </c>
      <c r="B2026" s="25" t="n">
        <v>11.376</v>
      </c>
      <c r="C2026" s="25" t="n">
        <v>30</v>
      </c>
      <c r="D2026" s="26" t="n">
        <v>0.111171</v>
      </c>
      <c r="E2026" s="27" t="n">
        <v>0.13788</v>
      </c>
      <c r="F2026" s="28" t="n">
        <f aca="false">ROUND(B2026*E2026,2)</f>
        <v>1.57</v>
      </c>
      <c r="H2026" s="55"/>
      <c r="I2026" s="55"/>
      <c r="J2026" s="55"/>
      <c r="L2026" s="53"/>
      <c r="M2026" s="53"/>
      <c r="N2026" s="53"/>
    </row>
    <row r="2027" customFormat="false" ht="15" hidden="false" customHeight="false" outlineLevel="0" collapsed="false">
      <c r="A2027" s="24" t="s">
        <v>266</v>
      </c>
      <c r="B2027" s="25" t="n">
        <v>1</v>
      </c>
      <c r="C2027" s="25" t="n">
        <v>30</v>
      </c>
      <c r="D2027" s="26" t="n">
        <v>0.7989</v>
      </c>
      <c r="E2027" s="27" t="n">
        <v>3</v>
      </c>
      <c r="F2027" s="28" t="n">
        <f aca="false">ROUND(B2027*E2027,2)</f>
        <v>3</v>
      </c>
      <c r="H2027" s="55"/>
      <c r="I2027" s="55"/>
      <c r="J2027" s="55"/>
      <c r="L2027" s="53"/>
      <c r="M2027" s="53"/>
      <c r="N2027" s="53"/>
    </row>
    <row r="2028" customFormat="false" ht="15" hidden="false" customHeight="false" outlineLevel="0" collapsed="false">
      <c r="A2028" s="24" t="s">
        <v>267</v>
      </c>
      <c r="B2028" s="25" t="n">
        <v>30</v>
      </c>
      <c r="C2028" s="25" t="n">
        <v>30</v>
      </c>
      <c r="D2028" s="26" t="n">
        <v>0.5736</v>
      </c>
      <c r="E2028" s="27" t="n">
        <v>0.01274</v>
      </c>
      <c r="F2028" s="28" t="n">
        <f aca="false">ROUND(B2028*E2028,2)</f>
        <v>0.38</v>
      </c>
      <c r="H2028" s="55"/>
      <c r="I2028" s="55"/>
      <c r="J2028" s="55"/>
      <c r="L2028" s="53"/>
      <c r="M2028" s="53"/>
      <c r="N2028" s="53"/>
    </row>
    <row r="2029" customFormat="false" ht="15" hidden="false" customHeight="false" outlineLevel="0" collapsed="false">
      <c r="A2029" s="24" t="s">
        <v>268</v>
      </c>
      <c r="B2029" s="25" t="n">
        <v>1.11</v>
      </c>
      <c r="C2029" s="25" t="n">
        <v>30</v>
      </c>
      <c r="D2029" s="26" t="n">
        <v>0.02671</v>
      </c>
      <c r="E2029" s="27" t="n">
        <v>1</v>
      </c>
      <c r="F2029" s="28" t="n">
        <f aca="false">ROUND(B2029*E2029,2)</f>
        <v>1.11</v>
      </c>
      <c r="H2029" s="55"/>
      <c r="I2029" s="55"/>
      <c r="J2029" s="55"/>
      <c r="L2029" s="53"/>
      <c r="M2029" s="53"/>
      <c r="N2029" s="53"/>
    </row>
    <row r="2030" customFormat="false" ht="15" hidden="false" customHeight="false" outlineLevel="0" collapsed="false">
      <c r="A2030" s="37" t="s">
        <v>269</v>
      </c>
      <c r="F2030" s="38" t="n">
        <f aca="false">ROUND((SUM(F2022:F2029)-F2029)*1.1+F2029,2)</f>
        <v>28.54</v>
      </c>
      <c r="J2030" s="57"/>
      <c r="N2030" s="54"/>
    </row>
    <row r="2031" customFormat="false" ht="15" hidden="false" customHeight="false" outlineLevel="0" collapsed="false">
      <c r="A2031" s="15" t="s">
        <v>270</v>
      </c>
      <c r="B2031" s="41" t="n">
        <f aca="false">IF((F2024+F2022+F2026+F2023+F2025)=0,"",((F2024+F2022+F2026+F2023+F2025)-(B2024*D2024+B2022*D2022+B2026*D2026+B2023*D2023+B2025*D2025))/(F2024+F2022+F2026+F2023+F2025))</f>
        <v>0.0605936175788495</v>
      </c>
      <c r="D2031" s="42" t="str">
        <f aca="false">IF(B2031="","SIN PC",IF(B2031&gt;=Detalle!$G$1,"APROBAR",IF(B2031&gt;=0.2,"REVISAR","RECHAZAR")))</f>
        <v>RECHAZAR</v>
      </c>
      <c r="E2031" s="42"/>
      <c r="F2031" s="42"/>
    </row>
    <row r="2033" customFormat="false" ht="15" hidden="false" customHeight="false" outlineLevel="0" collapsed="false">
      <c r="A2033" s="11" t="s">
        <v>1037</v>
      </c>
      <c r="B2033" s="11"/>
      <c r="C2033" s="11"/>
      <c r="D2033" s="11"/>
      <c r="E2033" s="11"/>
      <c r="F2033" s="11"/>
      <c r="H2033" s="11" t="s">
        <v>1038</v>
      </c>
      <c r="I2033" s="11"/>
      <c r="J2033" s="11"/>
      <c r="K2033" s="11"/>
      <c r="L2033" s="11"/>
      <c r="M2033" s="11"/>
      <c r="N2033" s="11"/>
      <c r="P2033" s="14" t="s">
        <v>246</v>
      </c>
    </row>
    <row r="2034" customFormat="false" ht="15" hidden="false" customHeight="false" outlineLevel="0" collapsed="false">
      <c r="A2034" s="15" t="s">
        <v>247</v>
      </c>
      <c r="B2034" s="16" t="s">
        <v>248</v>
      </c>
      <c r="C2034" s="17"/>
      <c r="D2034" s="17"/>
      <c r="E2034" s="17"/>
      <c r="F2034" s="17"/>
      <c r="H2034" s="18" t="s">
        <v>1024</v>
      </c>
      <c r="I2034" s="19"/>
      <c r="J2034" s="19"/>
      <c r="L2034" s="20" t="s">
        <v>428</v>
      </c>
      <c r="M2034" s="21"/>
      <c r="N2034" s="21"/>
      <c r="P2034" s="14" t="s">
        <v>1017</v>
      </c>
    </row>
    <row r="2035" customFormat="false" ht="15" hidden="false" customHeight="false" outlineLevel="0" collapsed="false">
      <c r="B2035" s="3" t="s">
        <v>252</v>
      </c>
      <c r="C2035" s="3" t="s">
        <v>253</v>
      </c>
      <c r="D2035" s="3" t="s">
        <v>254</v>
      </c>
      <c r="E2035" s="3" t="s">
        <v>255</v>
      </c>
      <c r="F2035" s="3" t="s">
        <v>256</v>
      </c>
      <c r="H2035" s="22" t="s">
        <v>252</v>
      </c>
      <c r="I2035" s="22" t="s">
        <v>255</v>
      </c>
      <c r="J2035" s="22" t="s">
        <v>256</v>
      </c>
      <c r="L2035" s="23" t="s">
        <v>252</v>
      </c>
      <c r="M2035" s="23" t="s">
        <v>255</v>
      </c>
      <c r="N2035" s="23" t="s">
        <v>256</v>
      </c>
      <c r="P2035" s="14" t="s">
        <v>399</v>
      </c>
    </row>
    <row r="2036" customFormat="false" ht="15" hidden="false" customHeight="false" outlineLevel="0" collapsed="false">
      <c r="A2036" s="24" t="s">
        <v>258</v>
      </c>
      <c r="B2036" s="25" t="n">
        <v>9.2</v>
      </c>
      <c r="C2036" s="25" t="n">
        <v>30</v>
      </c>
      <c r="D2036" s="26" t="n">
        <v>3.68919</v>
      </c>
      <c r="E2036" s="27" t="n">
        <v>3.85</v>
      </c>
      <c r="F2036" s="28" t="n">
        <f aca="false">ROUND(B2036*E2036,2)</f>
        <v>35.42</v>
      </c>
      <c r="H2036" s="55"/>
      <c r="I2036" s="55"/>
      <c r="J2036" s="55"/>
      <c r="L2036" s="53"/>
      <c r="M2036" s="53"/>
      <c r="N2036" s="53"/>
      <c r="P2036" s="35" t="s">
        <v>1018</v>
      </c>
    </row>
    <row r="2037" customFormat="false" ht="15" hidden="false" customHeight="false" outlineLevel="0" collapsed="false">
      <c r="A2037" s="24" t="s">
        <v>260</v>
      </c>
      <c r="B2037" s="25" t="n">
        <v>9.2</v>
      </c>
      <c r="C2037" s="25" t="n">
        <v>30</v>
      </c>
      <c r="D2037" s="26" t="n">
        <v>1.31928</v>
      </c>
      <c r="E2037" s="27" t="n">
        <v>1.33</v>
      </c>
      <c r="F2037" s="28" t="n">
        <f aca="false">ROUND(B2037*E2037,2)</f>
        <v>12.24</v>
      </c>
      <c r="H2037" s="55"/>
      <c r="I2037" s="55"/>
      <c r="J2037" s="55"/>
      <c r="L2037" s="53"/>
      <c r="M2037" s="53"/>
      <c r="N2037" s="53"/>
      <c r="P2037" s="43" t="s">
        <v>261</v>
      </c>
    </row>
    <row r="2038" customFormat="false" ht="15" hidden="false" customHeight="false" outlineLevel="0" collapsed="false">
      <c r="A2038" s="24" t="s">
        <v>262</v>
      </c>
      <c r="B2038" s="25" t="n">
        <v>52.826</v>
      </c>
      <c r="C2038" s="25" t="n">
        <v>30</v>
      </c>
      <c r="D2038" s="26" t="n">
        <v>0.111171</v>
      </c>
      <c r="E2038" s="27" t="n">
        <v>0.13788</v>
      </c>
      <c r="F2038" s="28" t="n">
        <f aca="false">ROUND(B2038*E2038,2)</f>
        <v>7.28</v>
      </c>
      <c r="H2038" s="55"/>
      <c r="I2038" s="55"/>
      <c r="J2038" s="55"/>
      <c r="L2038" s="53"/>
      <c r="M2038" s="53"/>
      <c r="N2038" s="53"/>
    </row>
    <row r="2039" customFormat="false" ht="15" hidden="false" customHeight="false" outlineLevel="0" collapsed="false">
      <c r="A2039" s="24" t="s">
        <v>264</v>
      </c>
      <c r="B2039" s="25" t="n">
        <v>74.812</v>
      </c>
      <c r="C2039" s="25" t="n">
        <v>30</v>
      </c>
      <c r="D2039" s="26" t="n">
        <v>0.111171</v>
      </c>
      <c r="E2039" s="27" t="n">
        <v>0.13788</v>
      </c>
      <c r="F2039" s="28" t="n">
        <f aca="false">ROUND(B2039*E2039,2)</f>
        <v>10.32</v>
      </c>
      <c r="H2039" s="55"/>
      <c r="I2039" s="55"/>
      <c r="J2039" s="55"/>
      <c r="L2039" s="53"/>
      <c r="M2039" s="53"/>
      <c r="N2039" s="53"/>
    </row>
    <row r="2040" customFormat="false" ht="15" hidden="false" customHeight="false" outlineLevel="0" collapsed="false">
      <c r="A2040" s="24" t="s">
        <v>265</v>
      </c>
      <c r="B2040" s="25" t="n">
        <v>111.181</v>
      </c>
      <c r="C2040" s="25" t="n">
        <v>30</v>
      </c>
      <c r="D2040" s="26" t="n">
        <v>0.111171</v>
      </c>
      <c r="E2040" s="27" t="n">
        <v>0.13788</v>
      </c>
      <c r="F2040" s="28" t="n">
        <f aca="false">ROUND(B2040*E2040,2)</f>
        <v>15.33</v>
      </c>
      <c r="H2040" s="55"/>
      <c r="I2040" s="55"/>
      <c r="J2040" s="55"/>
      <c r="L2040" s="53"/>
      <c r="M2040" s="53"/>
      <c r="N2040" s="53"/>
    </row>
    <row r="2041" customFormat="false" ht="15" hidden="false" customHeight="false" outlineLevel="0" collapsed="false">
      <c r="A2041" s="24" t="s">
        <v>266</v>
      </c>
      <c r="B2041" s="25" t="n">
        <v>1</v>
      </c>
      <c r="C2041" s="25" t="n">
        <v>30</v>
      </c>
      <c r="D2041" s="26" t="n">
        <v>0.7989</v>
      </c>
      <c r="E2041" s="27" t="n">
        <v>3</v>
      </c>
      <c r="F2041" s="28" t="n">
        <f aca="false">ROUND(B2041*E2041,2)</f>
        <v>3</v>
      </c>
      <c r="H2041" s="55"/>
      <c r="I2041" s="55"/>
      <c r="J2041" s="55"/>
      <c r="L2041" s="53"/>
      <c r="M2041" s="53"/>
      <c r="N2041" s="53"/>
    </row>
    <row r="2042" customFormat="false" ht="15" hidden="false" customHeight="false" outlineLevel="0" collapsed="false">
      <c r="A2042" s="24" t="s">
        <v>267</v>
      </c>
      <c r="B2042" s="25" t="n">
        <v>30</v>
      </c>
      <c r="C2042" s="25" t="n">
        <v>30</v>
      </c>
      <c r="D2042" s="26" t="n">
        <v>0.5736</v>
      </c>
      <c r="E2042" s="27" t="n">
        <v>0.01274</v>
      </c>
      <c r="F2042" s="28" t="n">
        <f aca="false">ROUND(B2042*E2042,2)</f>
        <v>0.38</v>
      </c>
      <c r="H2042" s="55"/>
      <c r="I2042" s="55"/>
      <c r="J2042" s="55"/>
      <c r="L2042" s="53"/>
      <c r="M2042" s="53"/>
      <c r="N2042" s="53"/>
    </row>
    <row r="2043" customFormat="false" ht="15" hidden="false" customHeight="false" outlineLevel="0" collapsed="false">
      <c r="A2043" s="24" t="s">
        <v>268</v>
      </c>
      <c r="B2043" s="25" t="n">
        <v>4.13</v>
      </c>
      <c r="C2043" s="25" t="n">
        <v>30</v>
      </c>
      <c r="D2043" s="26" t="n">
        <v>0.02671</v>
      </c>
      <c r="E2043" s="27" t="n">
        <v>1</v>
      </c>
      <c r="F2043" s="28" t="n">
        <f aca="false">ROUND(B2043*E2043,2)</f>
        <v>4.13</v>
      </c>
      <c r="H2043" s="55"/>
      <c r="I2043" s="55"/>
      <c r="J2043" s="55"/>
      <c r="L2043" s="53"/>
      <c r="M2043" s="53"/>
      <c r="N2043" s="53"/>
    </row>
    <row r="2044" customFormat="false" ht="15" hidden="false" customHeight="false" outlineLevel="0" collapsed="false">
      <c r="A2044" s="37" t="s">
        <v>269</v>
      </c>
      <c r="F2044" s="38" t="n">
        <f aca="false">ROUND((SUM(F2036:F2043)-F2043)*1.1+F2043,2)</f>
        <v>96.5</v>
      </c>
      <c r="J2044" s="57"/>
      <c r="N2044" s="54"/>
    </row>
    <row r="2045" customFormat="false" ht="15" hidden="false" customHeight="false" outlineLevel="0" collapsed="false">
      <c r="A2045" s="15" t="s">
        <v>270</v>
      </c>
      <c r="B2045" s="41" t="n">
        <f aca="false">IF((F2038+F2036+F2040+F2037+F2039)=0,"",((F2038+F2036+F2040+F2037+F2039)-(B2038*D2038+B2036*D2036+B2040*D2040+B2037*D2037+B2039*D2039))/(F2038+F2036+F2040+F2037+F2039))</f>
        <v>0.0988004585060182</v>
      </c>
      <c r="D2045" s="42" t="str">
        <f aca="false">IF(B2045="","SIN PC",IF(B2045&gt;=Detalle!$G$1,"APROBAR",IF(B2045&gt;=0.2,"REVISAR","RECHAZAR")))</f>
        <v>RECHAZAR</v>
      </c>
      <c r="E2045" s="42"/>
      <c r="F2045" s="42"/>
    </row>
    <row r="2047" customFormat="false" ht="15" hidden="false" customHeight="false" outlineLevel="0" collapsed="false">
      <c r="A2047" s="11" t="s">
        <v>1039</v>
      </c>
      <c r="B2047" s="11"/>
      <c r="C2047" s="11"/>
      <c r="D2047" s="11"/>
      <c r="E2047" s="11"/>
      <c r="F2047" s="11"/>
      <c r="H2047" s="11" t="s">
        <v>1040</v>
      </c>
      <c r="I2047" s="11"/>
      <c r="J2047" s="11"/>
      <c r="K2047" s="11"/>
      <c r="L2047" s="11"/>
      <c r="M2047" s="11"/>
      <c r="N2047" s="11"/>
      <c r="P2047" s="14" t="s">
        <v>246</v>
      </c>
    </row>
    <row r="2048" customFormat="false" ht="15" hidden="false" customHeight="false" outlineLevel="0" collapsed="false">
      <c r="A2048" s="15" t="s">
        <v>247</v>
      </c>
      <c r="B2048" s="16" t="s">
        <v>248</v>
      </c>
      <c r="C2048" s="17"/>
      <c r="D2048" s="17"/>
      <c r="E2048" s="17"/>
      <c r="F2048" s="17"/>
      <c r="H2048" s="18" t="s">
        <v>1024</v>
      </c>
      <c r="I2048" s="19"/>
      <c r="J2048" s="19"/>
      <c r="L2048" s="20" t="s">
        <v>428</v>
      </c>
      <c r="M2048" s="21"/>
      <c r="N2048" s="21"/>
      <c r="P2048" s="14" t="s">
        <v>429</v>
      </c>
    </row>
    <row r="2049" customFormat="false" ht="15" hidden="false" customHeight="false" outlineLevel="0" collapsed="false">
      <c r="B2049" s="3" t="s">
        <v>252</v>
      </c>
      <c r="C2049" s="3" t="s">
        <v>253</v>
      </c>
      <c r="D2049" s="3" t="s">
        <v>254</v>
      </c>
      <c r="E2049" s="3" t="s">
        <v>255</v>
      </c>
      <c r="F2049" s="3" t="s">
        <v>256</v>
      </c>
      <c r="H2049" s="22" t="s">
        <v>252</v>
      </c>
      <c r="I2049" s="22" t="s">
        <v>255</v>
      </c>
      <c r="J2049" s="22" t="s">
        <v>256</v>
      </c>
      <c r="L2049" s="23" t="s">
        <v>252</v>
      </c>
      <c r="M2049" s="23" t="s">
        <v>255</v>
      </c>
      <c r="N2049" s="23" t="s">
        <v>256</v>
      </c>
      <c r="P2049" s="14" t="s">
        <v>399</v>
      </c>
    </row>
    <row r="2050" customFormat="false" ht="15" hidden="false" customHeight="false" outlineLevel="0" collapsed="false">
      <c r="A2050" s="24" t="s">
        <v>258</v>
      </c>
      <c r="B2050" s="25" t="n">
        <v>4.6</v>
      </c>
      <c r="C2050" s="25" t="n">
        <v>30</v>
      </c>
      <c r="D2050" s="26" t="n">
        <v>3.68919</v>
      </c>
      <c r="E2050" s="27" t="n">
        <v>2.85</v>
      </c>
      <c r="F2050" s="28" t="n">
        <f aca="false">ROUND(B2050*E2050,2)</f>
        <v>13.11</v>
      </c>
      <c r="H2050" s="55"/>
      <c r="I2050" s="55"/>
      <c r="J2050" s="55"/>
      <c r="L2050" s="53"/>
      <c r="M2050" s="53"/>
      <c r="N2050" s="53"/>
      <c r="P2050" s="35" t="s">
        <v>430</v>
      </c>
    </row>
    <row r="2051" customFormat="false" ht="15" hidden="false" customHeight="false" outlineLevel="0" collapsed="false">
      <c r="A2051" s="24" t="s">
        <v>260</v>
      </c>
      <c r="B2051" s="25" t="n">
        <v>4.6</v>
      </c>
      <c r="C2051" s="25" t="n">
        <v>30</v>
      </c>
      <c r="D2051" s="26" t="n">
        <v>1.31928</v>
      </c>
      <c r="E2051" s="27" t="n">
        <v>1.01</v>
      </c>
      <c r="F2051" s="28" t="n">
        <f aca="false">ROUND(B2051*E2051,2)</f>
        <v>4.65</v>
      </c>
      <c r="H2051" s="55"/>
      <c r="I2051" s="55"/>
      <c r="J2051" s="55"/>
      <c r="L2051" s="53"/>
      <c r="M2051" s="53"/>
      <c r="N2051" s="53"/>
      <c r="P2051" s="43" t="s">
        <v>261</v>
      </c>
    </row>
    <row r="2052" customFormat="false" ht="15" hidden="false" customHeight="false" outlineLevel="0" collapsed="false">
      <c r="A2052" s="24" t="s">
        <v>262</v>
      </c>
      <c r="B2052" s="25" t="n">
        <v>82.132</v>
      </c>
      <c r="C2052" s="25" t="n">
        <v>30</v>
      </c>
      <c r="D2052" s="26" t="n">
        <v>0.111171</v>
      </c>
      <c r="E2052" s="27" t="n">
        <v>0.13788</v>
      </c>
      <c r="F2052" s="28" t="n">
        <f aca="false">ROUND(B2052*E2052,2)</f>
        <v>11.32</v>
      </c>
      <c r="H2052" s="55"/>
      <c r="I2052" s="55"/>
      <c r="J2052" s="55"/>
      <c r="L2052" s="53"/>
      <c r="M2052" s="53"/>
      <c r="N2052" s="53"/>
    </row>
    <row r="2053" customFormat="false" ht="15" hidden="false" customHeight="false" outlineLevel="0" collapsed="false">
      <c r="A2053" s="24" t="s">
        <v>264</v>
      </c>
      <c r="B2053" s="25" t="n">
        <v>62.389</v>
      </c>
      <c r="C2053" s="25" t="n">
        <v>30</v>
      </c>
      <c r="D2053" s="26" t="n">
        <v>0.111171</v>
      </c>
      <c r="E2053" s="27" t="n">
        <v>0.13788</v>
      </c>
      <c r="F2053" s="28" t="n">
        <f aca="false">ROUND(B2053*E2053,2)</f>
        <v>8.6</v>
      </c>
      <c r="H2053" s="55"/>
      <c r="I2053" s="55"/>
      <c r="J2053" s="55"/>
      <c r="L2053" s="53"/>
      <c r="M2053" s="53"/>
      <c r="N2053" s="53"/>
    </row>
    <row r="2054" customFormat="false" ht="15" hidden="false" customHeight="false" outlineLevel="0" collapsed="false">
      <c r="A2054" s="24" t="s">
        <v>265</v>
      </c>
      <c r="B2054" s="25" t="n">
        <v>106.285</v>
      </c>
      <c r="C2054" s="25" t="n">
        <v>30</v>
      </c>
      <c r="D2054" s="26" t="n">
        <v>0.111171</v>
      </c>
      <c r="E2054" s="27" t="n">
        <v>0.13788</v>
      </c>
      <c r="F2054" s="28" t="n">
        <f aca="false">ROUND(B2054*E2054,2)</f>
        <v>14.65</v>
      </c>
      <c r="H2054" s="55"/>
      <c r="I2054" s="55"/>
      <c r="J2054" s="55"/>
      <c r="L2054" s="53"/>
      <c r="M2054" s="53"/>
      <c r="N2054" s="53"/>
    </row>
    <row r="2055" customFormat="false" ht="15" hidden="false" customHeight="false" outlineLevel="0" collapsed="false">
      <c r="A2055" s="24" t="s">
        <v>266</v>
      </c>
      <c r="B2055" s="25" t="n">
        <v>1</v>
      </c>
      <c r="C2055" s="25" t="n">
        <v>30</v>
      </c>
      <c r="D2055" s="26" t="n">
        <v>0.7989</v>
      </c>
      <c r="E2055" s="27" t="n">
        <v>3</v>
      </c>
      <c r="F2055" s="28" t="n">
        <f aca="false">ROUND(B2055*E2055,2)</f>
        <v>3</v>
      </c>
      <c r="H2055" s="55"/>
      <c r="I2055" s="55"/>
      <c r="J2055" s="55"/>
      <c r="L2055" s="53"/>
      <c r="M2055" s="53"/>
      <c r="N2055" s="53"/>
    </row>
    <row r="2056" customFormat="false" ht="15" hidden="false" customHeight="false" outlineLevel="0" collapsed="false">
      <c r="A2056" s="24" t="s">
        <v>267</v>
      </c>
      <c r="B2056" s="25" t="n">
        <v>30</v>
      </c>
      <c r="C2056" s="25" t="n">
        <v>30</v>
      </c>
      <c r="D2056" s="26" t="n">
        <v>0.5736</v>
      </c>
      <c r="E2056" s="27" t="n">
        <v>0.01274</v>
      </c>
      <c r="F2056" s="28" t="n">
        <f aca="false">ROUND(B2056*E2056,2)</f>
        <v>0.38</v>
      </c>
      <c r="H2056" s="55"/>
      <c r="I2056" s="55"/>
      <c r="J2056" s="55"/>
      <c r="L2056" s="53"/>
      <c r="M2056" s="53"/>
      <c r="N2056" s="53"/>
    </row>
    <row r="2057" customFormat="false" ht="15" hidden="false" customHeight="false" outlineLevel="0" collapsed="false">
      <c r="A2057" s="24" t="s">
        <v>268</v>
      </c>
      <c r="B2057" s="25" t="n">
        <v>2.99</v>
      </c>
      <c r="C2057" s="25" t="n">
        <v>30</v>
      </c>
      <c r="D2057" s="26" t="n">
        <v>0.02671</v>
      </c>
      <c r="E2057" s="27" t="n">
        <v>1</v>
      </c>
      <c r="F2057" s="28" t="n">
        <f aca="false">ROUND(B2057*E2057,2)</f>
        <v>2.99</v>
      </c>
      <c r="H2057" s="55"/>
      <c r="I2057" s="55"/>
      <c r="J2057" s="55"/>
      <c r="L2057" s="53"/>
      <c r="M2057" s="53"/>
      <c r="N2057" s="53"/>
    </row>
    <row r="2058" customFormat="false" ht="15" hidden="false" customHeight="false" outlineLevel="0" collapsed="false">
      <c r="A2058" s="37" t="s">
        <v>269</v>
      </c>
      <c r="F2058" s="38" t="n">
        <f aca="false">ROUND((SUM(F2050:F2057)-F2057)*1.1+F2057,2)</f>
        <v>64.27</v>
      </c>
      <c r="J2058" s="57"/>
      <c r="N2058" s="54"/>
    </row>
    <row r="2059" customFormat="false" ht="15" hidden="false" customHeight="false" outlineLevel="0" collapsed="false">
      <c r="A2059" s="15" t="s">
        <v>270</v>
      </c>
      <c r="B2059" s="41" t="n">
        <f aca="false">IF((F2052+F2050+F2054+F2051+F2053)=0,"",((F2052+F2050+F2054+F2051+F2053)-(B2052*D2052+B2050*D2050+B2054*D2054+B2051*D2051+B2053*D2053))/(F2052+F2050+F2054+F2051+F2053))</f>
        <v>0.0269192465889546</v>
      </c>
      <c r="D2059" s="42" t="str">
        <f aca="false">IF(B2059="","SIN PC",IF(B2059&gt;=Detalle!$G$1,"APROBAR",IF(B2059&gt;=0.2,"REVISAR","RECHAZAR")))</f>
        <v>RECHAZAR</v>
      </c>
      <c r="E2059" s="42"/>
      <c r="F2059" s="42"/>
    </row>
    <row r="2061" customFormat="false" ht="15" hidden="false" customHeight="false" outlineLevel="0" collapsed="false">
      <c r="A2061" s="11" t="s">
        <v>1041</v>
      </c>
      <c r="B2061" s="11"/>
      <c r="C2061" s="11"/>
      <c r="D2061" s="11"/>
      <c r="E2061" s="11"/>
      <c r="F2061" s="11"/>
      <c r="H2061" s="11" t="s">
        <v>1042</v>
      </c>
      <c r="I2061" s="11"/>
      <c r="J2061" s="11"/>
      <c r="K2061" s="11"/>
      <c r="L2061" s="11"/>
      <c r="M2061" s="11"/>
      <c r="N2061" s="11"/>
      <c r="P2061" s="14" t="s">
        <v>246</v>
      </c>
    </row>
    <row r="2062" customFormat="false" ht="15" hidden="false" customHeight="false" outlineLevel="0" collapsed="false">
      <c r="A2062" s="15" t="s">
        <v>247</v>
      </c>
      <c r="B2062" s="16" t="s">
        <v>248</v>
      </c>
      <c r="C2062" s="17"/>
      <c r="D2062" s="17"/>
      <c r="E2062" s="17"/>
      <c r="F2062" s="17"/>
      <c r="H2062" s="18" t="s">
        <v>1024</v>
      </c>
      <c r="I2062" s="19"/>
      <c r="J2062" s="19"/>
      <c r="L2062" s="20" t="s">
        <v>428</v>
      </c>
      <c r="M2062" s="21"/>
      <c r="N2062" s="21"/>
      <c r="P2062" s="14" t="s">
        <v>1017</v>
      </c>
    </row>
    <row r="2063" customFormat="false" ht="15" hidden="false" customHeight="false" outlineLevel="0" collapsed="false">
      <c r="B2063" s="3" t="s">
        <v>252</v>
      </c>
      <c r="C2063" s="3" t="s">
        <v>253</v>
      </c>
      <c r="D2063" s="3" t="s">
        <v>254</v>
      </c>
      <c r="E2063" s="3" t="s">
        <v>255</v>
      </c>
      <c r="F2063" s="3" t="s">
        <v>256</v>
      </c>
      <c r="H2063" s="22" t="s">
        <v>252</v>
      </c>
      <c r="I2063" s="22" t="s">
        <v>255</v>
      </c>
      <c r="J2063" s="22" t="s">
        <v>256</v>
      </c>
      <c r="L2063" s="23" t="s">
        <v>252</v>
      </c>
      <c r="M2063" s="23" t="s">
        <v>255</v>
      </c>
      <c r="N2063" s="23" t="s">
        <v>256</v>
      </c>
      <c r="P2063" s="14" t="s">
        <v>399</v>
      </c>
    </row>
    <row r="2064" customFormat="false" ht="15" hidden="false" customHeight="false" outlineLevel="0" collapsed="false">
      <c r="A2064" s="24" t="s">
        <v>258</v>
      </c>
      <c r="B2064" s="25" t="n">
        <v>9.2</v>
      </c>
      <c r="C2064" s="25" t="n">
        <v>30</v>
      </c>
      <c r="D2064" s="26" t="n">
        <v>3.68919</v>
      </c>
      <c r="E2064" s="27" t="n">
        <v>2.15</v>
      </c>
      <c r="F2064" s="28" t="n">
        <f aca="false">ROUND(B2064*E2064,2)</f>
        <v>19.78</v>
      </c>
      <c r="H2064" s="55"/>
      <c r="I2064" s="55"/>
      <c r="J2064" s="55"/>
      <c r="L2064" s="53"/>
      <c r="M2064" s="53"/>
      <c r="N2064" s="53"/>
      <c r="P2064" s="35" t="s">
        <v>1018</v>
      </c>
    </row>
    <row r="2065" customFormat="false" ht="15" hidden="false" customHeight="false" outlineLevel="0" collapsed="false">
      <c r="A2065" s="24" t="s">
        <v>260</v>
      </c>
      <c r="B2065" s="25" t="n">
        <v>9.2</v>
      </c>
      <c r="C2065" s="25" t="n">
        <v>30</v>
      </c>
      <c r="D2065" s="26" t="n">
        <v>1.31928</v>
      </c>
      <c r="E2065" s="27" t="n">
        <v>0.93</v>
      </c>
      <c r="F2065" s="28" t="n">
        <f aca="false">ROUND(B2065*E2065,2)</f>
        <v>8.56</v>
      </c>
      <c r="H2065" s="55"/>
      <c r="I2065" s="55"/>
      <c r="J2065" s="55"/>
      <c r="L2065" s="53"/>
      <c r="M2065" s="53"/>
      <c r="N2065" s="53"/>
      <c r="P2065" s="43" t="s">
        <v>261</v>
      </c>
    </row>
    <row r="2066" customFormat="false" ht="15" hidden="false" customHeight="false" outlineLevel="0" collapsed="false">
      <c r="A2066" s="24" t="s">
        <v>262</v>
      </c>
      <c r="B2066" s="25" t="n">
        <v>34.221</v>
      </c>
      <c r="C2066" s="25" t="n">
        <v>30</v>
      </c>
      <c r="D2066" s="26" t="n">
        <v>0.111171</v>
      </c>
      <c r="E2066" s="27" t="n">
        <v>0.13788</v>
      </c>
      <c r="F2066" s="28" t="n">
        <f aca="false">ROUND(B2066*E2066,2)</f>
        <v>4.72</v>
      </c>
      <c r="H2066" s="55"/>
      <c r="I2066" s="55"/>
      <c r="J2066" s="55"/>
      <c r="L2066" s="53"/>
      <c r="M2066" s="53"/>
      <c r="N2066" s="53"/>
    </row>
    <row r="2067" customFormat="false" ht="15" hidden="false" customHeight="false" outlineLevel="0" collapsed="false">
      <c r="A2067" s="24" t="s">
        <v>264</v>
      </c>
      <c r="B2067" s="25" t="n">
        <v>34.56</v>
      </c>
      <c r="C2067" s="25" t="n">
        <v>30</v>
      </c>
      <c r="D2067" s="26" t="n">
        <v>0.111171</v>
      </c>
      <c r="E2067" s="27" t="n">
        <v>0.13788</v>
      </c>
      <c r="F2067" s="28" t="n">
        <f aca="false">ROUND(B2067*E2067,2)</f>
        <v>4.77</v>
      </c>
      <c r="H2067" s="55"/>
      <c r="I2067" s="55"/>
      <c r="J2067" s="55"/>
      <c r="L2067" s="53"/>
      <c r="M2067" s="53"/>
      <c r="N2067" s="53"/>
    </row>
    <row r="2068" customFormat="false" ht="15" hidden="false" customHeight="false" outlineLevel="0" collapsed="false">
      <c r="A2068" s="24" t="s">
        <v>265</v>
      </c>
      <c r="B2068" s="25" t="n">
        <v>74.722</v>
      </c>
      <c r="C2068" s="25" t="n">
        <v>30</v>
      </c>
      <c r="D2068" s="26" t="n">
        <v>0.111171</v>
      </c>
      <c r="E2068" s="27" t="n">
        <v>0.13788</v>
      </c>
      <c r="F2068" s="28" t="n">
        <f aca="false">ROUND(B2068*E2068,2)</f>
        <v>10.3</v>
      </c>
      <c r="H2068" s="55"/>
      <c r="I2068" s="55"/>
      <c r="J2068" s="55"/>
      <c r="L2068" s="53"/>
      <c r="M2068" s="53"/>
      <c r="N2068" s="53"/>
    </row>
    <row r="2069" customFormat="false" ht="15" hidden="false" customHeight="false" outlineLevel="0" collapsed="false">
      <c r="A2069" s="24" t="s">
        <v>266</v>
      </c>
      <c r="B2069" s="25" t="n">
        <v>1</v>
      </c>
      <c r="C2069" s="25" t="n">
        <v>30</v>
      </c>
      <c r="D2069" s="26" t="n">
        <v>0.7989</v>
      </c>
      <c r="E2069" s="27" t="n">
        <v>3</v>
      </c>
      <c r="F2069" s="28" t="n">
        <f aca="false">ROUND(B2069*E2069,2)</f>
        <v>3</v>
      </c>
      <c r="H2069" s="55"/>
      <c r="I2069" s="55"/>
      <c r="J2069" s="55"/>
      <c r="L2069" s="53"/>
      <c r="M2069" s="53"/>
      <c r="N2069" s="53"/>
    </row>
    <row r="2070" customFormat="false" ht="15" hidden="false" customHeight="false" outlineLevel="0" collapsed="false">
      <c r="A2070" s="24" t="s">
        <v>267</v>
      </c>
      <c r="B2070" s="25" t="n">
        <v>30</v>
      </c>
      <c r="C2070" s="25" t="n">
        <v>30</v>
      </c>
      <c r="D2070" s="26" t="n">
        <v>0.5736</v>
      </c>
      <c r="E2070" s="27" t="n">
        <v>0.01274</v>
      </c>
      <c r="F2070" s="28" t="n">
        <f aca="false">ROUND(B2070*E2070,2)</f>
        <v>0.38</v>
      </c>
      <c r="H2070" s="55"/>
      <c r="I2070" s="55"/>
      <c r="J2070" s="55"/>
      <c r="L2070" s="53"/>
      <c r="M2070" s="53"/>
      <c r="N2070" s="53"/>
    </row>
    <row r="2071" customFormat="false" ht="15" hidden="false" customHeight="false" outlineLevel="0" collapsed="false">
      <c r="A2071" s="24" t="s">
        <v>268</v>
      </c>
      <c r="B2071" s="25" t="n">
        <v>3.46</v>
      </c>
      <c r="C2071" s="25" t="n">
        <v>30</v>
      </c>
      <c r="D2071" s="26" t="n">
        <v>0.02671</v>
      </c>
      <c r="E2071" s="27" t="n">
        <v>1</v>
      </c>
      <c r="F2071" s="28" t="n">
        <f aca="false">ROUND(B2071*E2071,2)</f>
        <v>3.46</v>
      </c>
      <c r="H2071" s="55"/>
      <c r="I2071" s="55"/>
      <c r="J2071" s="55"/>
      <c r="L2071" s="53"/>
      <c r="M2071" s="53"/>
      <c r="N2071" s="53"/>
    </row>
    <row r="2072" customFormat="false" ht="15" hidden="false" customHeight="false" outlineLevel="0" collapsed="false">
      <c r="A2072" s="37" t="s">
        <v>269</v>
      </c>
      <c r="F2072" s="38" t="n">
        <f aca="false">ROUND((SUM(F2064:F2071)-F2071)*1.1+F2071,2)</f>
        <v>60.12</v>
      </c>
      <c r="J2072" s="57"/>
      <c r="N2072" s="54"/>
    </row>
    <row r="2073" customFormat="false" ht="15" hidden="false" customHeight="false" outlineLevel="0" collapsed="false">
      <c r="A2073" s="15" t="s">
        <v>270</v>
      </c>
      <c r="B2073" s="41" t="n">
        <f aca="false">IF((F2066+F2064+F2068+F2065+F2067)=0,"",((F2066+F2064+F2068+F2065+F2067)-(B2066*D2066+B2064*D2064+B2068*D2068+B2065*D2065+B2067*D2067))/(F2066+F2064+F2068+F2065+F2067))</f>
        <v>-0.288828090858093</v>
      </c>
      <c r="D2073" s="42" t="str">
        <f aca="false">IF(B2073="","SIN PC",IF(B2073&gt;=Detalle!$G$1,"APROBAR",IF(B2073&gt;=0.2,"REVISAR","RECHAZAR")))</f>
        <v>RECHAZAR</v>
      </c>
      <c r="E2073" s="42"/>
      <c r="F2073" s="42"/>
    </row>
    <row r="2075" customFormat="false" ht="15" hidden="false" customHeight="false" outlineLevel="0" collapsed="false">
      <c r="A2075" s="11" t="s">
        <v>1043</v>
      </c>
      <c r="B2075" s="11"/>
      <c r="C2075" s="11"/>
      <c r="D2075" s="11"/>
      <c r="E2075" s="11"/>
      <c r="F2075" s="11"/>
      <c r="H2075" s="11" t="s">
        <v>1044</v>
      </c>
      <c r="I2075" s="11"/>
      <c r="J2075" s="11"/>
      <c r="K2075" s="11"/>
      <c r="L2075" s="11"/>
      <c r="M2075" s="11"/>
      <c r="N2075" s="11"/>
      <c r="P2075" s="14" t="s">
        <v>246</v>
      </c>
    </row>
    <row r="2076" customFormat="false" ht="15" hidden="false" customHeight="false" outlineLevel="0" collapsed="false">
      <c r="A2076" s="15" t="s">
        <v>247</v>
      </c>
      <c r="B2076" s="16" t="s">
        <v>248</v>
      </c>
      <c r="C2076" s="17"/>
      <c r="D2076" s="17"/>
      <c r="E2076" s="17"/>
      <c r="F2076" s="17"/>
      <c r="H2076" s="18" t="s">
        <v>1024</v>
      </c>
      <c r="I2076" s="19"/>
      <c r="J2076" s="19"/>
      <c r="L2076" s="20" t="s">
        <v>428</v>
      </c>
      <c r="M2076" s="21"/>
      <c r="N2076" s="21"/>
    </row>
    <row r="2077" customFormat="false" ht="15" hidden="false" customHeight="false" outlineLevel="0" collapsed="false">
      <c r="B2077" s="3" t="s">
        <v>252</v>
      </c>
      <c r="C2077" s="3" t="s">
        <v>253</v>
      </c>
      <c r="D2077" s="3" t="s">
        <v>254</v>
      </c>
      <c r="E2077" s="3" t="s">
        <v>255</v>
      </c>
      <c r="F2077" s="3" t="s">
        <v>256</v>
      </c>
      <c r="H2077" s="22" t="s">
        <v>252</v>
      </c>
      <c r="I2077" s="22" t="s">
        <v>255</v>
      </c>
      <c r="J2077" s="22" t="s">
        <v>256</v>
      </c>
      <c r="L2077" s="23" t="s">
        <v>252</v>
      </c>
      <c r="M2077" s="23" t="s">
        <v>255</v>
      </c>
      <c r="N2077" s="23" t="s">
        <v>256</v>
      </c>
    </row>
    <row r="2078" customFormat="false" ht="15" hidden="false" customHeight="false" outlineLevel="0" collapsed="false">
      <c r="A2078" s="24" t="s">
        <v>258</v>
      </c>
      <c r="B2078" s="25" t="n">
        <v>5.5</v>
      </c>
      <c r="C2078" s="25" t="n">
        <v>30</v>
      </c>
      <c r="D2078" s="26"/>
      <c r="E2078" s="27" t="n">
        <v>3.85</v>
      </c>
      <c r="F2078" s="28" t="n">
        <f aca="false">ROUND(B2078*E2078,2)</f>
        <v>21.18</v>
      </c>
      <c r="H2078" s="55"/>
      <c r="I2078" s="55"/>
      <c r="J2078" s="55"/>
      <c r="L2078" s="53"/>
      <c r="M2078" s="53"/>
      <c r="N2078" s="53"/>
    </row>
    <row r="2079" customFormat="false" ht="15" hidden="false" customHeight="false" outlineLevel="0" collapsed="false">
      <c r="A2079" s="24" t="s">
        <v>260</v>
      </c>
      <c r="B2079" s="25" t="n">
        <v>5.5</v>
      </c>
      <c r="C2079" s="25" t="n">
        <v>30</v>
      </c>
      <c r="D2079" s="26"/>
      <c r="E2079" s="27" t="n">
        <v>1.33</v>
      </c>
      <c r="F2079" s="28" t="n">
        <f aca="false">ROUND(B2079*E2079,2)</f>
        <v>7.32</v>
      </c>
      <c r="H2079" s="55"/>
      <c r="I2079" s="55"/>
      <c r="J2079" s="55"/>
      <c r="L2079" s="53"/>
      <c r="M2079" s="53"/>
      <c r="N2079" s="53"/>
      <c r="P2079" s="43" t="s">
        <v>261</v>
      </c>
    </row>
    <row r="2080" customFormat="false" ht="15" hidden="false" customHeight="false" outlineLevel="0" collapsed="false">
      <c r="A2080" s="24" t="s">
        <v>262</v>
      </c>
      <c r="B2080" s="25" t="n">
        <v>0</v>
      </c>
      <c r="C2080" s="25" t="n">
        <v>30</v>
      </c>
      <c r="D2080" s="26"/>
      <c r="E2080" s="27" t="n">
        <v>0</v>
      </c>
      <c r="F2080" s="28" t="n">
        <f aca="false">ROUND(B2080*E2080,2)</f>
        <v>0</v>
      </c>
      <c r="H2080" s="55"/>
      <c r="I2080" s="55"/>
      <c r="J2080" s="55"/>
      <c r="L2080" s="53"/>
      <c r="M2080" s="53"/>
      <c r="N2080" s="53"/>
    </row>
    <row r="2081" customFormat="false" ht="15" hidden="false" customHeight="false" outlineLevel="0" collapsed="false">
      <c r="A2081" s="24" t="s">
        <v>264</v>
      </c>
      <c r="B2081" s="25" t="n">
        <v>0</v>
      </c>
      <c r="C2081" s="25" t="n">
        <v>30</v>
      </c>
      <c r="D2081" s="26"/>
      <c r="E2081" s="27" t="n">
        <v>0</v>
      </c>
      <c r="F2081" s="28" t="n">
        <f aca="false">ROUND(B2081*E2081,2)</f>
        <v>0</v>
      </c>
      <c r="H2081" s="55"/>
      <c r="I2081" s="55"/>
      <c r="J2081" s="55"/>
      <c r="L2081" s="53"/>
      <c r="M2081" s="53"/>
      <c r="N2081" s="53"/>
    </row>
    <row r="2082" customFormat="false" ht="15" hidden="false" customHeight="false" outlineLevel="0" collapsed="false">
      <c r="A2082" s="24" t="s">
        <v>265</v>
      </c>
      <c r="B2082" s="25" t="n">
        <v>0</v>
      </c>
      <c r="C2082" s="25" t="n">
        <v>30</v>
      </c>
      <c r="D2082" s="26"/>
      <c r="E2082" s="27" t="n">
        <v>0</v>
      </c>
      <c r="F2082" s="28" t="n">
        <f aca="false">ROUND(B2082*E2082,2)</f>
        <v>0</v>
      </c>
      <c r="H2082" s="55"/>
      <c r="I2082" s="55"/>
      <c r="J2082" s="55"/>
      <c r="L2082" s="53"/>
      <c r="M2082" s="53"/>
      <c r="N2082" s="53"/>
    </row>
    <row r="2083" customFormat="false" ht="15" hidden="false" customHeight="false" outlineLevel="0" collapsed="false">
      <c r="A2083" s="24" t="s">
        <v>266</v>
      </c>
      <c r="B2083" s="25" t="n">
        <v>1</v>
      </c>
      <c r="C2083" s="25" t="n">
        <v>30</v>
      </c>
      <c r="D2083" s="26"/>
      <c r="E2083" s="27" t="n">
        <v>3</v>
      </c>
      <c r="F2083" s="28" t="n">
        <f aca="false">ROUND(B2083*E2083,2)</f>
        <v>3</v>
      </c>
      <c r="H2083" s="55"/>
      <c r="I2083" s="55"/>
      <c r="J2083" s="55"/>
      <c r="L2083" s="53"/>
      <c r="M2083" s="53"/>
      <c r="N2083" s="53"/>
    </row>
    <row r="2084" customFormat="false" ht="15" hidden="false" customHeight="false" outlineLevel="0" collapsed="false">
      <c r="A2084" s="24" t="s">
        <v>267</v>
      </c>
      <c r="B2084" s="25" t="n">
        <v>30</v>
      </c>
      <c r="C2084" s="25" t="n">
        <v>30</v>
      </c>
      <c r="D2084" s="26"/>
      <c r="E2084" s="27" t="n">
        <v>0.01274</v>
      </c>
      <c r="F2084" s="28" t="n">
        <f aca="false">ROUND(B2084*E2084,2)</f>
        <v>0.38</v>
      </c>
      <c r="H2084" s="55"/>
      <c r="I2084" s="55"/>
      <c r="J2084" s="55"/>
      <c r="L2084" s="53"/>
      <c r="M2084" s="53"/>
      <c r="N2084" s="53"/>
    </row>
    <row r="2085" customFormat="false" ht="15" hidden="false" customHeight="false" outlineLevel="0" collapsed="false">
      <c r="A2085" s="24" t="s">
        <v>268</v>
      </c>
      <c r="B2085" s="25" t="n">
        <v>1.47</v>
      </c>
      <c r="C2085" s="25" t="n">
        <v>30</v>
      </c>
      <c r="D2085" s="26"/>
      <c r="E2085" s="27" t="n">
        <v>1</v>
      </c>
      <c r="F2085" s="28" t="n">
        <f aca="false">ROUND(B2085*E2085,2)</f>
        <v>1.47</v>
      </c>
      <c r="H2085" s="55"/>
      <c r="I2085" s="55"/>
      <c r="J2085" s="55"/>
      <c r="L2085" s="53"/>
      <c r="M2085" s="53"/>
      <c r="N2085" s="53"/>
    </row>
    <row r="2086" customFormat="false" ht="15" hidden="false" customHeight="false" outlineLevel="0" collapsed="false">
      <c r="A2086" s="37" t="s">
        <v>269</v>
      </c>
      <c r="F2086" s="38" t="n">
        <f aca="false">ROUND((SUM(F2078:F2085)-F2085)*1.1+F2085,2)</f>
        <v>36.54</v>
      </c>
      <c r="J2086" s="57"/>
      <c r="N2086" s="54"/>
    </row>
    <row r="2087" customFormat="false" ht="15" hidden="false" customHeight="false" outlineLevel="0" collapsed="false">
      <c r="A2087" s="15" t="s">
        <v>270</v>
      </c>
      <c r="B2087" s="41" t="n">
        <f aca="false">IF((F2080+F2078+F2082+F2079+F2081)=0,"",((F2080+F2078+F2082+F2079+F2081)-(B2080*D2080+B2078*D2078+B2082*D2082+B2079*D2079+B2081*D2081))/(F2080+F2078+F2082+F2079+F2081))</f>
        <v>1</v>
      </c>
      <c r="D2087" s="42" t="str">
        <f aca="false">IF(B2087="","SIN PC",IF(B2087&gt;=Detalle!$G$1,"APROBAR",IF(B2087&gt;=0.2,"REVISAR","RECHAZAR")))</f>
        <v>APROBAR</v>
      </c>
      <c r="E2087" s="42"/>
      <c r="F2087" s="42"/>
    </row>
    <row r="2089" customFormat="false" ht="15" hidden="false" customHeight="false" outlineLevel="0" collapsed="false">
      <c r="A2089" s="11" t="s">
        <v>1045</v>
      </c>
      <c r="B2089" s="11"/>
      <c r="C2089" s="11"/>
      <c r="D2089" s="11"/>
      <c r="E2089" s="11"/>
      <c r="F2089" s="11"/>
      <c r="H2089" s="11" t="s">
        <v>1046</v>
      </c>
      <c r="I2089" s="11"/>
      <c r="J2089" s="11"/>
      <c r="K2089" s="11"/>
      <c r="L2089" s="11"/>
      <c r="M2089" s="11"/>
      <c r="N2089" s="11"/>
      <c r="P2089" s="14" t="s">
        <v>246</v>
      </c>
    </row>
    <row r="2090" customFormat="false" ht="15" hidden="false" customHeight="false" outlineLevel="0" collapsed="false">
      <c r="A2090" s="15" t="s">
        <v>247</v>
      </c>
      <c r="B2090" s="16" t="s">
        <v>248</v>
      </c>
      <c r="C2090" s="17"/>
      <c r="D2090" s="17"/>
      <c r="E2090" s="17"/>
      <c r="F2090" s="17"/>
      <c r="H2090" s="18" t="s">
        <v>1024</v>
      </c>
      <c r="I2090" s="19"/>
      <c r="J2090" s="19"/>
      <c r="L2090" s="20" t="s">
        <v>428</v>
      </c>
      <c r="M2090" s="21"/>
      <c r="N2090" s="21"/>
      <c r="P2090" s="14" t="s">
        <v>429</v>
      </c>
    </row>
    <row r="2091" customFormat="false" ht="15" hidden="false" customHeight="false" outlineLevel="0" collapsed="false">
      <c r="B2091" s="3" t="s">
        <v>252</v>
      </c>
      <c r="C2091" s="3" t="s">
        <v>253</v>
      </c>
      <c r="D2091" s="3" t="s">
        <v>254</v>
      </c>
      <c r="E2091" s="3" t="s">
        <v>255</v>
      </c>
      <c r="F2091" s="3" t="s">
        <v>256</v>
      </c>
      <c r="H2091" s="22" t="s">
        <v>252</v>
      </c>
      <c r="I2091" s="22" t="s">
        <v>255</v>
      </c>
      <c r="J2091" s="22" t="s">
        <v>256</v>
      </c>
      <c r="L2091" s="23" t="s">
        <v>252</v>
      </c>
      <c r="M2091" s="23" t="s">
        <v>255</v>
      </c>
      <c r="N2091" s="23" t="s">
        <v>256</v>
      </c>
      <c r="P2091" s="14" t="s">
        <v>399</v>
      </c>
    </row>
    <row r="2092" customFormat="false" ht="15" hidden="false" customHeight="false" outlineLevel="0" collapsed="false">
      <c r="A2092" s="24" t="s">
        <v>258</v>
      </c>
      <c r="B2092" s="25" t="n">
        <v>5.7</v>
      </c>
      <c r="C2092" s="25" t="n">
        <v>30</v>
      </c>
      <c r="D2092" s="26" t="n">
        <v>3.68919</v>
      </c>
      <c r="E2092" s="27" t="n">
        <v>3.85</v>
      </c>
      <c r="F2092" s="28" t="n">
        <f aca="false">ROUND(B2092*E2092,2)</f>
        <v>21.95</v>
      </c>
      <c r="H2092" s="55"/>
      <c r="I2092" s="55"/>
      <c r="J2092" s="55"/>
      <c r="L2092" s="53"/>
      <c r="M2092" s="53"/>
      <c r="N2092" s="53"/>
      <c r="P2092" s="35" t="s">
        <v>430</v>
      </c>
    </row>
    <row r="2093" customFormat="false" ht="15" hidden="false" customHeight="false" outlineLevel="0" collapsed="false">
      <c r="A2093" s="24" t="s">
        <v>260</v>
      </c>
      <c r="B2093" s="25" t="n">
        <v>5.7</v>
      </c>
      <c r="C2093" s="25" t="n">
        <v>30</v>
      </c>
      <c r="D2093" s="26" t="n">
        <v>1.31928</v>
      </c>
      <c r="E2093" s="27" t="n">
        <v>1.33</v>
      </c>
      <c r="F2093" s="28" t="n">
        <f aca="false">ROUND(B2093*E2093,2)</f>
        <v>7.58</v>
      </c>
      <c r="H2093" s="55"/>
      <c r="I2093" s="55"/>
      <c r="J2093" s="55"/>
      <c r="L2093" s="53"/>
      <c r="M2093" s="53"/>
      <c r="N2093" s="53"/>
      <c r="P2093" s="43" t="s">
        <v>261</v>
      </c>
    </row>
    <row r="2094" customFormat="false" ht="15" hidden="false" customHeight="false" outlineLevel="0" collapsed="false">
      <c r="A2094" s="24" t="s">
        <v>262</v>
      </c>
      <c r="B2094" s="25" t="n">
        <v>82.934</v>
      </c>
      <c r="C2094" s="25" t="n">
        <v>30</v>
      </c>
      <c r="D2094" s="26" t="n">
        <v>0.111171</v>
      </c>
      <c r="E2094" s="27" t="n">
        <v>0.13788</v>
      </c>
      <c r="F2094" s="28" t="n">
        <f aca="false">ROUND(B2094*E2094,2)</f>
        <v>11.43</v>
      </c>
      <c r="H2094" s="55"/>
      <c r="I2094" s="55"/>
      <c r="J2094" s="55"/>
      <c r="L2094" s="53"/>
      <c r="M2094" s="53"/>
      <c r="N2094" s="53"/>
    </row>
    <row r="2095" customFormat="false" ht="15" hidden="false" customHeight="false" outlineLevel="0" collapsed="false">
      <c r="A2095" s="24" t="s">
        <v>264</v>
      </c>
      <c r="B2095" s="25" t="n">
        <v>56.983</v>
      </c>
      <c r="C2095" s="25" t="n">
        <v>30</v>
      </c>
      <c r="D2095" s="26" t="n">
        <v>0.111171</v>
      </c>
      <c r="E2095" s="27" t="n">
        <v>0.13788</v>
      </c>
      <c r="F2095" s="28" t="n">
        <f aca="false">ROUND(B2095*E2095,2)</f>
        <v>7.86</v>
      </c>
      <c r="H2095" s="55"/>
      <c r="I2095" s="55"/>
      <c r="J2095" s="55"/>
      <c r="L2095" s="53"/>
      <c r="M2095" s="53"/>
      <c r="N2095" s="53"/>
    </row>
    <row r="2096" customFormat="false" ht="15" hidden="false" customHeight="false" outlineLevel="0" collapsed="false">
      <c r="A2096" s="24" t="s">
        <v>265</v>
      </c>
      <c r="B2096" s="25" t="n">
        <v>39.426</v>
      </c>
      <c r="C2096" s="25" t="n">
        <v>30</v>
      </c>
      <c r="D2096" s="26" t="n">
        <v>0.111171</v>
      </c>
      <c r="E2096" s="27" t="n">
        <v>0.13788</v>
      </c>
      <c r="F2096" s="28" t="n">
        <f aca="false">ROUND(B2096*E2096,2)</f>
        <v>5.44</v>
      </c>
      <c r="H2096" s="55"/>
      <c r="I2096" s="55"/>
      <c r="J2096" s="55"/>
      <c r="L2096" s="53"/>
      <c r="M2096" s="53"/>
      <c r="N2096" s="53"/>
    </row>
    <row r="2097" customFormat="false" ht="15" hidden="false" customHeight="false" outlineLevel="0" collapsed="false">
      <c r="A2097" s="24" t="s">
        <v>266</v>
      </c>
      <c r="B2097" s="25" t="n">
        <v>1</v>
      </c>
      <c r="C2097" s="25" t="n">
        <v>30</v>
      </c>
      <c r="D2097" s="26" t="n">
        <v>0.7989</v>
      </c>
      <c r="E2097" s="27" t="n">
        <v>3</v>
      </c>
      <c r="F2097" s="28" t="n">
        <f aca="false">ROUND(B2097*E2097,2)</f>
        <v>3</v>
      </c>
      <c r="H2097" s="55"/>
      <c r="I2097" s="55"/>
      <c r="J2097" s="55"/>
      <c r="L2097" s="53"/>
      <c r="M2097" s="53"/>
      <c r="N2097" s="53"/>
    </row>
    <row r="2098" customFormat="false" ht="15" hidden="false" customHeight="false" outlineLevel="0" collapsed="false">
      <c r="A2098" s="24" t="s">
        <v>267</v>
      </c>
      <c r="B2098" s="25" t="n">
        <v>30</v>
      </c>
      <c r="C2098" s="25" t="n">
        <v>30</v>
      </c>
      <c r="D2098" s="26" t="n">
        <v>0.5736</v>
      </c>
      <c r="E2098" s="27" t="n">
        <v>0.01274</v>
      </c>
      <c r="F2098" s="28" t="n">
        <f aca="false">ROUND(B2098*E2098,2)</f>
        <v>0.38</v>
      </c>
      <c r="H2098" s="55"/>
      <c r="I2098" s="55"/>
      <c r="J2098" s="55"/>
      <c r="L2098" s="53"/>
      <c r="M2098" s="53"/>
      <c r="N2098" s="53"/>
    </row>
    <row r="2099" customFormat="false" ht="15" hidden="false" customHeight="false" outlineLevel="0" collapsed="false">
      <c r="A2099" s="24" t="s">
        <v>268</v>
      </c>
      <c r="B2099" s="25" t="n">
        <v>2.78</v>
      </c>
      <c r="C2099" s="25" t="n">
        <v>30</v>
      </c>
      <c r="D2099" s="26" t="n">
        <v>0.27312</v>
      </c>
      <c r="E2099" s="27" t="n">
        <v>1</v>
      </c>
      <c r="F2099" s="28" t="n">
        <f aca="false">ROUND(B2099*E2099,2)</f>
        <v>2.78</v>
      </c>
      <c r="H2099" s="55"/>
      <c r="I2099" s="55"/>
      <c r="J2099" s="55"/>
      <c r="L2099" s="53"/>
      <c r="M2099" s="53"/>
      <c r="N2099" s="53"/>
    </row>
    <row r="2100" customFormat="false" ht="15" hidden="false" customHeight="false" outlineLevel="0" collapsed="false">
      <c r="A2100" s="37" t="s">
        <v>269</v>
      </c>
      <c r="F2100" s="38" t="n">
        <f aca="false">ROUND((SUM(F2092:F2099)-F2099)*1.1+F2099,2)</f>
        <v>66.18</v>
      </c>
      <c r="J2100" s="57"/>
      <c r="N2100" s="54"/>
    </row>
    <row r="2101" customFormat="false" ht="15" hidden="false" customHeight="false" outlineLevel="0" collapsed="false">
      <c r="A2101" s="15" t="s">
        <v>270</v>
      </c>
      <c r="B2101" s="41" t="n">
        <f aca="false">IF((F2094+F2092+F2096+F2093+F2095)=0,"",((F2094+F2092+F2096+F2093+F2095)-(B2094*D2094+B2092*D2092+B2096*D2096+B2093*D2093+B2095*D2095))/(F2094+F2092+F2096+F2093+F2095))</f>
        <v>0.106413202119425</v>
      </c>
      <c r="D2101" s="42" t="str">
        <f aca="false">IF(B2101="","SIN PC",IF(B2101&gt;=Detalle!$G$1,"APROBAR",IF(B2101&gt;=0.2,"REVISAR","RECHAZAR")))</f>
        <v>RECHAZAR</v>
      </c>
      <c r="E2101" s="42"/>
      <c r="F2101" s="42"/>
    </row>
    <row r="2103" customFormat="false" ht="15" hidden="false" customHeight="false" outlineLevel="0" collapsed="false">
      <c r="A2103" s="11" t="s">
        <v>1047</v>
      </c>
      <c r="B2103" s="11"/>
      <c r="C2103" s="11"/>
      <c r="D2103" s="11"/>
      <c r="E2103" s="11"/>
      <c r="F2103" s="11"/>
      <c r="H2103" s="11" t="s">
        <v>1048</v>
      </c>
      <c r="I2103" s="11"/>
      <c r="J2103" s="11"/>
      <c r="K2103" s="11"/>
      <c r="L2103" s="11"/>
      <c r="M2103" s="11"/>
      <c r="N2103" s="11"/>
      <c r="P2103" s="14" t="s">
        <v>246</v>
      </c>
    </row>
    <row r="2104" customFormat="false" ht="15" hidden="false" customHeight="false" outlineLevel="0" collapsed="false">
      <c r="A2104" s="15" t="s">
        <v>247</v>
      </c>
      <c r="B2104" s="16" t="s">
        <v>248</v>
      </c>
      <c r="C2104" s="17"/>
      <c r="D2104" s="17"/>
      <c r="E2104" s="17"/>
      <c r="F2104" s="17"/>
      <c r="H2104" s="18" t="s">
        <v>1049</v>
      </c>
      <c r="I2104" s="19"/>
      <c r="J2104" s="19"/>
      <c r="L2104" s="20" t="s">
        <v>1050</v>
      </c>
      <c r="M2104" s="21"/>
      <c r="N2104" s="21"/>
      <c r="P2104" s="14" t="s">
        <v>1051</v>
      </c>
    </row>
    <row r="2105" customFormat="false" ht="15" hidden="false" customHeight="false" outlineLevel="0" collapsed="false">
      <c r="B2105" s="3" t="s">
        <v>252</v>
      </c>
      <c r="C2105" s="3" t="s">
        <v>253</v>
      </c>
      <c r="D2105" s="3" t="s">
        <v>254</v>
      </c>
      <c r="E2105" s="3" t="s">
        <v>255</v>
      </c>
      <c r="F2105" s="3" t="s">
        <v>256</v>
      </c>
      <c r="H2105" s="22" t="s">
        <v>252</v>
      </c>
      <c r="I2105" s="22" t="s">
        <v>255</v>
      </c>
      <c r="J2105" s="22" t="s">
        <v>256</v>
      </c>
      <c r="L2105" s="23" t="s">
        <v>252</v>
      </c>
      <c r="M2105" s="23" t="s">
        <v>255</v>
      </c>
      <c r="N2105" s="23" t="s">
        <v>256</v>
      </c>
      <c r="P2105" s="14" t="s">
        <v>1052</v>
      </c>
    </row>
    <row r="2106" customFormat="false" ht="15" hidden="false" customHeight="false" outlineLevel="0" collapsed="false">
      <c r="A2106" s="24" t="s">
        <v>258</v>
      </c>
      <c r="B2106" s="25" t="n">
        <v>14</v>
      </c>
      <c r="C2106" s="25" t="n">
        <v>30</v>
      </c>
      <c r="D2106" s="26" t="n">
        <v>3.68919</v>
      </c>
      <c r="E2106" s="27" t="n">
        <v>3.85</v>
      </c>
      <c r="F2106" s="28" t="n">
        <f aca="false">ROUND(B2106*E2106,2)</f>
        <v>53.9</v>
      </c>
      <c r="H2106" s="29" t="n">
        <v>14</v>
      </c>
      <c r="I2106" s="30" t="n">
        <v>3.85</v>
      </c>
      <c r="J2106" s="31" t="n">
        <f aca="false">ROUND(H2106*I2106,2)</f>
        <v>53.9</v>
      </c>
      <c r="L2106" s="32" t="n">
        <v>14</v>
      </c>
      <c r="M2106" s="33" t="n">
        <v>3.85</v>
      </c>
      <c r="N2106" s="34" t="n">
        <f aca="false">ROUND(L2106*M2106,2)</f>
        <v>53.9</v>
      </c>
      <c r="P2106" s="35" t="s">
        <v>1053</v>
      </c>
    </row>
    <row r="2107" customFormat="false" ht="15" hidden="false" customHeight="false" outlineLevel="0" collapsed="false">
      <c r="A2107" s="24" t="s">
        <v>260</v>
      </c>
      <c r="B2107" s="25" t="n">
        <v>14</v>
      </c>
      <c r="C2107" s="25" t="n">
        <v>30</v>
      </c>
      <c r="D2107" s="26" t="n">
        <v>1.31928</v>
      </c>
      <c r="E2107" s="27" t="n">
        <v>1.33</v>
      </c>
      <c r="F2107" s="28" t="n">
        <f aca="false">ROUND(B2107*E2107,2)</f>
        <v>18.62</v>
      </c>
      <c r="H2107" s="29" t="n">
        <v>14</v>
      </c>
      <c r="I2107" s="30" t="n">
        <v>1.33</v>
      </c>
      <c r="J2107" s="31" t="n">
        <f aca="false">ROUND(H2107*I2107,2)</f>
        <v>18.62</v>
      </c>
      <c r="L2107" s="32" t="n">
        <v>14</v>
      </c>
      <c r="M2107" s="33" t="n">
        <v>1.33</v>
      </c>
      <c r="N2107" s="34" t="n">
        <f aca="false">ROUND(L2107*M2107,2)</f>
        <v>18.62</v>
      </c>
      <c r="P2107" s="36" t="s">
        <v>261</v>
      </c>
    </row>
    <row r="2108" customFormat="false" ht="15" hidden="false" customHeight="false" outlineLevel="0" collapsed="false">
      <c r="A2108" s="24" t="s">
        <v>262</v>
      </c>
      <c r="B2108" s="25" t="n">
        <v>1169.76</v>
      </c>
      <c r="C2108" s="25" t="n">
        <v>30</v>
      </c>
      <c r="D2108" s="26" t="n">
        <v>0.111171</v>
      </c>
      <c r="E2108" s="27" t="n">
        <v>0.13788</v>
      </c>
      <c r="F2108" s="28" t="n">
        <f aca="false">ROUND(B2108*E2108,2)</f>
        <v>161.29</v>
      </c>
      <c r="H2108" s="29" t="n">
        <v>1180.76</v>
      </c>
      <c r="I2108" s="30" t="n">
        <v>0.13788</v>
      </c>
      <c r="J2108" s="31" t="n">
        <f aca="false">ROUND(H2108*I2108,2)</f>
        <v>162.8</v>
      </c>
      <c r="L2108" s="32" t="n">
        <v>6850</v>
      </c>
      <c r="M2108" s="33" t="n">
        <v>0.13788</v>
      </c>
      <c r="N2108" s="34" t="n">
        <f aca="false">ROUND(L2108*M2108,2)</f>
        <v>944.48</v>
      </c>
      <c r="P2108" s="35" t="s">
        <v>1054</v>
      </c>
    </row>
    <row r="2109" customFormat="false" ht="15" hidden="false" customHeight="false" outlineLevel="0" collapsed="false">
      <c r="A2109" s="24" t="s">
        <v>264</v>
      </c>
      <c r="B2109" s="25" t="n">
        <v>1131.29</v>
      </c>
      <c r="C2109" s="25" t="n">
        <v>30</v>
      </c>
      <c r="D2109" s="26" t="n">
        <v>0.111171</v>
      </c>
      <c r="E2109" s="27" t="n">
        <v>0.13788</v>
      </c>
      <c r="F2109" s="28" t="n">
        <f aca="false">ROUND(B2109*E2109,2)</f>
        <v>155.98</v>
      </c>
      <c r="H2109" s="29" t="n">
        <v>1051.29</v>
      </c>
      <c r="I2109" s="30" t="n">
        <v>0.13788</v>
      </c>
      <c r="J2109" s="31" t="n">
        <f aca="false">ROUND(H2109*I2109,2)</f>
        <v>144.95</v>
      </c>
      <c r="L2109" s="53"/>
      <c r="M2109" s="53"/>
      <c r="N2109" s="53"/>
    </row>
    <row r="2110" customFormat="false" ht="15" hidden="false" customHeight="false" outlineLevel="0" collapsed="false">
      <c r="A2110" s="24" t="s">
        <v>265</v>
      </c>
      <c r="B2110" s="25" t="n">
        <v>1449.837</v>
      </c>
      <c r="C2110" s="25" t="n">
        <v>30</v>
      </c>
      <c r="D2110" s="26" t="n">
        <v>0.111171</v>
      </c>
      <c r="E2110" s="27" t="n">
        <v>0.13788</v>
      </c>
      <c r="F2110" s="28" t="n">
        <f aca="false">ROUND(B2110*E2110,2)</f>
        <v>199.9</v>
      </c>
      <c r="H2110" s="29" t="n">
        <v>949.837</v>
      </c>
      <c r="I2110" s="30" t="n">
        <v>0.13788</v>
      </c>
      <c r="J2110" s="31" t="n">
        <f aca="false">ROUND(H2110*I2110,2)</f>
        <v>130.96</v>
      </c>
      <c r="L2110" s="53"/>
      <c r="M2110" s="53"/>
      <c r="N2110" s="53"/>
    </row>
    <row r="2111" customFormat="false" ht="15" hidden="false" customHeight="false" outlineLevel="0" collapsed="false">
      <c r="A2111" s="24" t="s">
        <v>266</v>
      </c>
      <c r="B2111" s="25" t="n">
        <v>1</v>
      </c>
      <c r="C2111" s="25" t="n">
        <v>30</v>
      </c>
      <c r="D2111" s="26" t="n">
        <v>1.3414</v>
      </c>
      <c r="E2111" s="27" t="n">
        <v>3</v>
      </c>
      <c r="F2111" s="28" t="n">
        <f aca="false">ROUND(B2111*E2111,2)</f>
        <v>3</v>
      </c>
      <c r="H2111" s="29" t="n">
        <v>1</v>
      </c>
      <c r="I2111" s="30" t="n">
        <v>3</v>
      </c>
      <c r="J2111" s="31" t="n">
        <f aca="false">ROUND(H2111*I2111,2)</f>
        <v>3</v>
      </c>
      <c r="L2111" s="32" t="n">
        <v>1</v>
      </c>
      <c r="M2111" s="33" t="n">
        <v>3</v>
      </c>
      <c r="N2111" s="34" t="n">
        <f aca="false">ROUND(L2111*M2111,2)</f>
        <v>3</v>
      </c>
    </row>
    <row r="2112" customFormat="false" ht="15" hidden="false" customHeight="false" outlineLevel="0" collapsed="false">
      <c r="A2112" s="24" t="s">
        <v>267</v>
      </c>
      <c r="B2112" s="25" t="n">
        <v>30</v>
      </c>
      <c r="C2112" s="25" t="n">
        <v>30</v>
      </c>
      <c r="D2112" s="26" t="n">
        <v>0.5736</v>
      </c>
      <c r="E2112" s="27" t="n">
        <v>0.01274</v>
      </c>
      <c r="F2112" s="28" t="n">
        <f aca="false">ROUND(B2112*E2112,2)</f>
        <v>0.38</v>
      </c>
      <c r="H2112" s="29" t="n">
        <v>30</v>
      </c>
      <c r="I2112" s="30" t="n">
        <v>0.01274</v>
      </c>
      <c r="J2112" s="31" t="n">
        <f aca="false">ROUND(H2112*I2112,2)</f>
        <v>0.38</v>
      </c>
      <c r="L2112" s="32" t="n">
        <v>30</v>
      </c>
      <c r="M2112" s="33" t="n">
        <v>0.01274</v>
      </c>
      <c r="N2112" s="34" t="n">
        <f aca="false">ROUND(L2112*M2112,2)</f>
        <v>0.38</v>
      </c>
    </row>
    <row r="2113" customFormat="false" ht="15" hidden="false" customHeight="false" outlineLevel="0" collapsed="false">
      <c r="A2113" s="24" t="s">
        <v>268</v>
      </c>
      <c r="B2113" s="25" t="n">
        <v>31.64</v>
      </c>
      <c r="C2113" s="25" t="n">
        <v>30</v>
      </c>
      <c r="D2113" s="26" t="n">
        <v>0.27312</v>
      </c>
      <c r="E2113" s="27" t="n">
        <v>1</v>
      </c>
      <c r="F2113" s="28" t="n">
        <f aca="false">ROUND(B2113*E2113,2)</f>
        <v>31.64</v>
      </c>
      <c r="H2113" s="29" t="n">
        <v>26.13</v>
      </c>
      <c r="I2113" s="30" t="n">
        <v>1</v>
      </c>
      <c r="J2113" s="31" t="n">
        <f aca="false">ROUND(H2113*I2113,2)</f>
        <v>26.13</v>
      </c>
      <c r="L2113" s="32" t="n">
        <v>54.1</v>
      </c>
      <c r="M2113" s="33" t="n">
        <v>1</v>
      </c>
      <c r="N2113" s="34" t="n">
        <f aca="false">ROUND(L2113*M2113,2)</f>
        <v>54.1</v>
      </c>
    </row>
    <row r="2114" customFormat="false" ht="15" hidden="false" customHeight="false" outlineLevel="0" collapsed="false">
      <c r="A2114" s="37" t="s">
        <v>269</v>
      </c>
      <c r="F2114" s="38" t="n">
        <f aca="false">ROUND((SUM(F2106:F2113)-F2113)*1.1+F2113,2)</f>
        <v>684.02</v>
      </c>
      <c r="J2114" s="39" t="n">
        <f aca="false">ROUND(SUM(J2106:J2113),2)</f>
        <v>540.74</v>
      </c>
      <c r="N2114" s="40" t="n">
        <f aca="false">ROUND(SUM(N2106:N2113),2)</f>
        <v>1074.48</v>
      </c>
    </row>
    <row r="2115" customFormat="false" ht="15" hidden="false" customHeight="false" outlineLevel="0" collapsed="false">
      <c r="A2115" s="15" t="s">
        <v>270</v>
      </c>
      <c r="B2115" s="41" t="n">
        <f aca="false">IF((F2108+F2106+F2110+F2107+F2109)=0,"",((F2108+F2106+F2110+F2107+F2109)-(B2108*D2108+B2106*D2106+B2110*D2110+B2107*D2107+B2109*D2109))/(F2108+F2106+F2110+F2107+F2109))</f>
        <v>0.17395845498991</v>
      </c>
      <c r="D2115" s="42" t="str">
        <f aca="false">IF(B2115="","SIN PC",IF(B2115&gt;=Detalle!$G$1,"APROBAR",IF(B2115&gt;=0.2,"REVISAR","RECHAZAR")))</f>
        <v>RECHAZAR</v>
      </c>
      <c r="E2115" s="42"/>
      <c r="F2115" s="42"/>
    </row>
  </sheetData>
  <mergeCells count="452">
    <mergeCell ref="A1:F1"/>
    <mergeCell ref="H1:N1"/>
    <mergeCell ref="A3:F3"/>
    <mergeCell ref="H3:N3"/>
    <mergeCell ref="D15:F15"/>
    <mergeCell ref="A17:F17"/>
    <mergeCell ref="H17:N17"/>
    <mergeCell ref="D29:F29"/>
    <mergeCell ref="A31:F31"/>
    <mergeCell ref="H31:N31"/>
    <mergeCell ref="D43:F43"/>
    <mergeCell ref="A45:F45"/>
    <mergeCell ref="H45:N45"/>
    <mergeCell ref="D57:F57"/>
    <mergeCell ref="A59:F59"/>
    <mergeCell ref="H59:N59"/>
    <mergeCell ref="D71:F71"/>
    <mergeCell ref="A73:F73"/>
    <mergeCell ref="H73:N73"/>
    <mergeCell ref="D85:F85"/>
    <mergeCell ref="A87:F87"/>
    <mergeCell ref="H87:N87"/>
    <mergeCell ref="D99:F99"/>
    <mergeCell ref="A101:F101"/>
    <mergeCell ref="H101:N101"/>
    <mergeCell ref="D113:F113"/>
    <mergeCell ref="A115:F115"/>
    <mergeCell ref="H115:N115"/>
    <mergeCell ref="D127:F127"/>
    <mergeCell ref="A129:F129"/>
    <mergeCell ref="H129:N129"/>
    <mergeCell ref="D141:F141"/>
    <mergeCell ref="A143:F143"/>
    <mergeCell ref="H143:N143"/>
    <mergeCell ref="D155:F155"/>
    <mergeCell ref="A157:F157"/>
    <mergeCell ref="H157:N157"/>
    <mergeCell ref="D169:F169"/>
    <mergeCell ref="A171:F171"/>
    <mergeCell ref="H171:N171"/>
    <mergeCell ref="D183:F183"/>
    <mergeCell ref="A185:F185"/>
    <mergeCell ref="H185:N185"/>
    <mergeCell ref="D197:F197"/>
    <mergeCell ref="A199:F199"/>
    <mergeCell ref="H199:N199"/>
    <mergeCell ref="D211:F211"/>
    <mergeCell ref="A212:F212"/>
    <mergeCell ref="A218:F218"/>
    <mergeCell ref="H218:N218"/>
    <mergeCell ref="D230:F230"/>
    <mergeCell ref="A232:F232"/>
    <mergeCell ref="H232:N232"/>
    <mergeCell ref="D244:F244"/>
    <mergeCell ref="A246:F246"/>
    <mergeCell ref="H246:N246"/>
    <mergeCell ref="D258:F258"/>
    <mergeCell ref="A259:F259"/>
    <mergeCell ref="A265:F265"/>
    <mergeCell ref="H265:N265"/>
    <mergeCell ref="D277:F277"/>
    <mergeCell ref="A278:F278"/>
    <mergeCell ref="A284:F284"/>
    <mergeCell ref="H284:N284"/>
    <mergeCell ref="D296:F296"/>
    <mergeCell ref="A297:F297"/>
    <mergeCell ref="A303:F303"/>
    <mergeCell ref="H303:N303"/>
    <mergeCell ref="D315:F315"/>
    <mergeCell ref="A317:F317"/>
    <mergeCell ref="H317:N317"/>
    <mergeCell ref="D329:F329"/>
    <mergeCell ref="A330:F330"/>
    <mergeCell ref="A336:F336"/>
    <mergeCell ref="H336:N336"/>
    <mergeCell ref="D348:F348"/>
    <mergeCell ref="A349:F349"/>
    <mergeCell ref="A355:F355"/>
    <mergeCell ref="H355:N355"/>
    <mergeCell ref="D367:F367"/>
    <mergeCell ref="A368:F368"/>
    <mergeCell ref="A374:F374"/>
    <mergeCell ref="H374:N374"/>
    <mergeCell ref="D386:F386"/>
    <mergeCell ref="A388:F388"/>
    <mergeCell ref="H388:N388"/>
    <mergeCell ref="D400:F400"/>
    <mergeCell ref="A401:F401"/>
    <mergeCell ref="A407:F407"/>
    <mergeCell ref="H407:N407"/>
    <mergeCell ref="D419:F419"/>
    <mergeCell ref="A420:F420"/>
    <mergeCell ref="A426:F426"/>
    <mergeCell ref="H426:N426"/>
    <mergeCell ref="D438:F438"/>
    <mergeCell ref="A439:F439"/>
    <mergeCell ref="A445:F445"/>
    <mergeCell ref="H445:N445"/>
    <mergeCell ref="D457:F457"/>
    <mergeCell ref="A458:F458"/>
    <mergeCell ref="A464:F464"/>
    <mergeCell ref="H464:N464"/>
    <mergeCell ref="D476:F476"/>
    <mergeCell ref="A477:F477"/>
    <mergeCell ref="A483:F483"/>
    <mergeCell ref="H483:N483"/>
    <mergeCell ref="D495:F495"/>
    <mergeCell ref="A496:F496"/>
    <mergeCell ref="A502:F502"/>
    <mergeCell ref="H502:N502"/>
    <mergeCell ref="D514:F514"/>
    <mergeCell ref="A515:F515"/>
    <mergeCell ref="A521:F521"/>
    <mergeCell ref="H521:N521"/>
    <mergeCell ref="D533:F533"/>
    <mergeCell ref="A534:F534"/>
    <mergeCell ref="A540:F540"/>
    <mergeCell ref="H540:N540"/>
    <mergeCell ref="D552:F552"/>
    <mergeCell ref="A553:F553"/>
    <mergeCell ref="A559:F559"/>
    <mergeCell ref="H559:N559"/>
    <mergeCell ref="D571:F571"/>
    <mergeCell ref="A572:F572"/>
    <mergeCell ref="A578:F578"/>
    <mergeCell ref="H578:N578"/>
    <mergeCell ref="D590:F590"/>
    <mergeCell ref="A592:F592"/>
    <mergeCell ref="H592:N592"/>
    <mergeCell ref="D604:F604"/>
    <mergeCell ref="A605:F605"/>
    <mergeCell ref="A611:F611"/>
    <mergeCell ref="H611:N611"/>
    <mergeCell ref="D623:F623"/>
    <mergeCell ref="A624:F624"/>
    <mergeCell ref="A630:F630"/>
    <mergeCell ref="H630:N630"/>
    <mergeCell ref="D642:F642"/>
    <mergeCell ref="A643:F643"/>
    <mergeCell ref="A649:F649"/>
    <mergeCell ref="H649:N649"/>
    <mergeCell ref="D661:F661"/>
    <mergeCell ref="A662:F662"/>
    <mergeCell ref="A668:F668"/>
    <mergeCell ref="H668:N668"/>
    <mergeCell ref="D680:F680"/>
    <mergeCell ref="A681:F681"/>
    <mergeCell ref="A687:F687"/>
    <mergeCell ref="H687:N687"/>
    <mergeCell ref="D699:F699"/>
    <mergeCell ref="A700:F700"/>
    <mergeCell ref="A706:F706"/>
    <mergeCell ref="H706:N706"/>
    <mergeCell ref="D718:F718"/>
    <mergeCell ref="A719:F719"/>
    <mergeCell ref="A725:F725"/>
    <mergeCell ref="H725:N725"/>
    <mergeCell ref="D737:F737"/>
    <mergeCell ref="A738:F738"/>
    <mergeCell ref="A744:F744"/>
    <mergeCell ref="H744:N744"/>
    <mergeCell ref="D756:F756"/>
    <mergeCell ref="A757:F757"/>
    <mergeCell ref="A763:F763"/>
    <mergeCell ref="H763:N763"/>
    <mergeCell ref="D775:F775"/>
    <mergeCell ref="A776:F776"/>
    <mergeCell ref="A782:F782"/>
    <mergeCell ref="H782:N782"/>
    <mergeCell ref="D794:F794"/>
    <mergeCell ref="A795:F795"/>
    <mergeCell ref="A801:F801"/>
    <mergeCell ref="H801:N801"/>
    <mergeCell ref="D813:F813"/>
    <mergeCell ref="A814:F814"/>
    <mergeCell ref="A820:F820"/>
    <mergeCell ref="H820:N820"/>
    <mergeCell ref="D832:F832"/>
    <mergeCell ref="A833:F833"/>
    <mergeCell ref="A839:F839"/>
    <mergeCell ref="H839:N839"/>
    <mergeCell ref="D851:F851"/>
    <mergeCell ref="A852:F852"/>
    <mergeCell ref="A858:F858"/>
    <mergeCell ref="H858:N858"/>
    <mergeCell ref="D870:F870"/>
    <mergeCell ref="A871:F871"/>
    <mergeCell ref="A877:F877"/>
    <mergeCell ref="H877:N877"/>
    <mergeCell ref="D889:F889"/>
    <mergeCell ref="A891:F891"/>
    <mergeCell ref="H891:N891"/>
    <mergeCell ref="D903:F903"/>
    <mergeCell ref="A905:F905"/>
    <mergeCell ref="H905:N905"/>
    <mergeCell ref="D917:F917"/>
    <mergeCell ref="A918:F918"/>
    <mergeCell ref="A924:F924"/>
    <mergeCell ref="H924:N924"/>
    <mergeCell ref="D936:F936"/>
    <mergeCell ref="A937:F937"/>
    <mergeCell ref="A943:F943"/>
    <mergeCell ref="H943:N943"/>
    <mergeCell ref="D955:F955"/>
    <mergeCell ref="A957:F957"/>
    <mergeCell ref="H957:N957"/>
    <mergeCell ref="D969:F969"/>
    <mergeCell ref="A970:F970"/>
    <mergeCell ref="A976:F976"/>
    <mergeCell ref="H976:N976"/>
    <mergeCell ref="D988:F988"/>
    <mergeCell ref="A990:F990"/>
    <mergeCell ref="H990:N990"/>
    <mergeCell ref="D1002:F1002"/>
    <mergeCell ref="A1004:F1004"/>
    <mergeCell ref="H1004:N1004"/>
    <mergeCell ref="D1016:F1016"/>
    <mergeCell ref="A1017:F1017"/>
    <mergeCell ref="A1023:F1023"/>
    <mergeCell ref="H1023:N1023"/>
    <mergeCell ref="D1035:F1035"/>
    <mergeCell ref="A1036:F1036"/>
    <mergeCell ref="A1042:F1042"/>
    <mergeCell ref="H1042:N1042"/>
    <mergeCell ref="D1054:F1054"/>
    <mergeCell ref="A1055:F1055"/>
    <mergeCell ref="A1061:F1061"/>
    <mergeCell ref="H1061:N1061"/>
    <mergeCell ref="D1073:F1073"/>
    <mergeCell ref="A1075:F1075"/>
    <mergeCell ref="H1075:N1075"/>
    <mergeCell ref="D1087:F1087"/>
    <mergeCell ref="A1089:F1089"/>
    <mergeCell ref="H1089:N1089"/>
    <mergeCell ref="D1101:F1101"/>
    <mergeCell ref="A1103:F1103"/>
    <mergeCell ref="H1103:N1103"/>
    <mergeCell ref="D1115:F1115"/>
    <mergeCell ref="A1116:F1116"/>
    <mergeCell ref="A1122:F1122"/>
    <mergeCell ref="H1122:N1122"/>
    <mergeCell ref="D1134:F1134"/>
    <mergeCell ref="A1136:F1136"/>
    <mergeCell ref="H1136:N1136"/>
    <mergeCell ref="D1148:F1148"/>
    <mergeCell ref="A1150:F1150"/>
    <mergeCell ref="H1150:N1150"/>
    <mergeCell ref="D1162:F1162"/>
    <mergeCell ref="A1164:F1164"/>
    <mergeCell ref="H1164:N1164"/>
    <mergeCell ref="D1176:F1176"/>
    <mergeCell ref="A1178:F1178"/>
    <mergeCell ref="H1178:N1178"/>
    <mergeCell ref="D1190:F1190"/>
    <mergeCell ref="A1191:F1191"/>
    <mergeCell ref="A1197:F1197"/>
    <mergeCell ref="H1197:N1197"/>
    <mergeCell ref="D1209:F1209"/>
    <mergeCell ref="A1211:F1211"/>
    <mergeCell ref="H1211:N1211"/>
    <mergeCell ref="D1223:F1223"/>
    <mergeCell ref="A1225:F1225"/>
    <mergeCell ref="H1225:N1225"/>
    <mergeCell ref="D1237:F1237"/>
    <mergeCell ref="A1239:F1239"/>
    <mergeCell ref="H1239:N1239"/>
    <mergeCell ref="D1251:F1251"/>
    <mergeCell ref="A1253:F1253"/>
    <mergeCell ref="H1253:N1253"/>
    <mergeCell ref="D1265:F1265"/>
    <mergeCell ref="A1267:F1267"/>
    <mergeCell ref="H1267:N1267"/>
    <mergeCell ref="D1279:F1279"/>
    <mergeCell ref="A1281:F1281"/>
    <mergeCell ref="H1281:N1281"/>
    <mergeCell ref="D1293:F1293"/>
    <mergeCell ref="A1295:F1295"/>
    <mergeCell ref="H1295:N1295"/>
    <mergeCell ref="D1307:F1307"/>
    <mergeCell ref="A1309:F1309"/>
    <mergeCell ref="H1309:N1309"/>
    <mergeCell ref="D1321:F1321"/>
    <mergeCell ref="A1323:F1323"/>
    <mergeCell ref="H1323:N1323"/>
    <mergeCell ref="D1335:F1335"/>
    <mergeCell ref="A1337:F1337"/>
    <mergeCell ref="H1337:N1337"/>
    <mergeCell ref="D1349:F1349"/>
    <mergeCell ref="A1351:F1351"/>
    <mergeCell ref="H1351:N1351"/>
    <mergeCell ref="D1363:F1363"/>
    <mergeCell ref="A1365:F1365"/>
    <mergeCell ref="H1365:N1365"/>
    <mergeCell ref="D1377:F1377"/>
    <mergeCell ref="A1379:F1379"/>
    <mergeCell ref="H1379:N1379"/>
    <mergeCell ref="D1391:F1391"/>
    <mergeCell ref="A1393:F1393"/>
    <mergeCell ref="H1393:N1393"/>
    <mergeCell ref="D1405:F1405"/>
    <mergeCell ref="A1407:F1407"/>
    <mergeCell ref="H1407:N1407"/>
    <mergeCell ref="D1419:F1419"/>
    <mergeCell ref="A1421:F1421"/>
    <mergeCell ref="H1421:N1421"/>
    <mergeCell ref="D1433:F1433"/>
    <mergeCell ref="A1435:F1435"/>
    <mergeCell ref="H1435:N1435"/>
    <mergeCell ref="D1447:F1447"/>
    <mergeCell ref="A1449:F1449"/>
    <mergeCell ref="H1449:N1449"/>
    <mergeCell ref="D1461:F1461"/>
    <mergeCell ref="A1463:F1463"/>
    <mergeCell ref="H1463:N1463"/>
    <mergeCell ref="D1475:F1475"/>
    <mergeCell ref="A1477:F1477"/>
    <mergeCell ref="H1477:N1477"/>
    <mergeCell ref="D1489:F1489"/>
    <mergeCell ref="A1491:F1491"/>
    <mergeCell ref="H1491:N1491"/>
    <mergeCell ref="D1503:F1503"/>
    <mergeCell ref="A1505:F1505"/>
    <mergeCell ref="H1505:N1505"/>
    <mergeCell ref="D1517:F1517"/>
    <mergeCell ref="A1519:F1519"/>
    <mergeCell ref="H1519:N1519"/>
    <mergeCell ref="D1531:F1531"/>
    <mergeCell ref="A1533:F1533"/>
    <mergeCell ref="H1533:N1533"/>
    <mergeCell ref="D1545:F1545"/>
    <mergeCell ref="A1547:F1547"/>
    <mergeCell ref="H1547:N1547"/>
    <mergeCell ref="D1559:F1559"/>
    <mergeCell ref="A1561:F1561"/>
    <mergeCell ref="H1561:N1561"/>
    <mergeCell ref="D1573:F1573"/>
    <mergeCell ref="A1575:F1575"/>
    <mergeCell ref="H1575:N1575"/>
    <mergeCell ref="D1587:F1587"/>
    <mergeCell ref="A1589:F1589"/>
    <mergeCell ref="H1589:N1589"/>
    <mergeCell ref="D1601:F1601"/>
    <mergeCell ref="A1603:F1603"/>
    <mergeCell ref="H1603:N1603"/>
    <mergeCell ref="D1615:F1615"/>
    <mergeCell ref="A1616:F1616"/>
    <mergeCell ref="A1622:F1622"/>
    <mergeCell ref="H1622:N1622"/>
    <mergeCell ref="D1634:F1634"/>
    <mergeCell ref="A1636:F1636"/>
    <mergeCell ref="H1636:N1636"/>
    <mergeCell ref="D1648:F1648"/>
    <mergeCell ref="A1650:F1650"/>
    <mergeCell ref="H1650:N1650"/>
    <mergeCell ref="D1662:F1662"/>
    <mergeCell ref="A1664:F1664"/>
    <mergeCell ref="H1664:N1664"/>
    <mergeCell ref="D1676:F1676"/>
    <mergeCell ref="A1678:F1678"/>
    <mergeCell ref="H1678:N1678"/>
    <mergeCell ref="D1690:F1690"/>
    <mergeCell ref="A1692:F1692"/>
    <mergeCell ref="H1692:N1692"/>
    <mergeCell ref="D1704:F1704"/>
    <mergeCell ref="A1706:F1706"/>
    <mergeCell ref="H1706:N1706"/>
    <mergeCell ref="D1718:F1718"/>
    <mergeCell ref="A1720:F1720"/>
    <mergeCell ref="H1720:N1720"/>
    <mergeCell ref="D1732:F1732"/>
    <mergeCell ref="A1733:F1733"/>
    <mergeCell ref="A1739:F1739"/>
    <mergeCell ref="H1739:N1739"/>
    <mergeCell ref="D1751:F1751"/>
    <mergeCell ref="A1753:F1753"/>
    <mergeCell ref="H1753:N1753"/>
    <mergeCell ref="D1765:F1765"/>
    <mergeCell ref="A1767:F1767"/>
    <mergeCell ref="H1767:N1767"/>
    <mergeCell ref="D1779:F1779"/>
    <mergeCell ref="A1781:F1781"/>
    <mergeCell ref="H1781:N1781"/>
    <mergeCell ref="D1793:F1793"/>
    <mergeCell ref="A1795:F1795"/>
    <mergeCell ref="H1795:N1795"/>
    <mergeCell ref="D1807:F1807"/>
    <mergeCell ref="A1809:F1809"/>
    <mergeCell ref="H1809:N1809"/>
    <mergeCell ref="D1821:F1821"/>
    <mergeCell ref="A1823:F1823"/>
    <mergeCell ref="H1823:N1823"/>
    <mergeCell ref="D1835:F1835"/>
    <mergeCell ref="A1837:F1837"/>
    <mergeCell ref="H1837:N1837"/>
    <mergeCell ref="D1849:F1849"/>
    <mergeCell ref="A1851:F1851"/>
    <mergeCell ref="H1851:N1851"/>
    <mergeCell ref="D1863:F1863"/>
    <mergeCell ref="A1865:F1865"/>
    <mergeCell ref="H1865:N1865"/>
    <mergeCell ref="D1877:F1877"/>
    <mergeCell ref="A1879:F1879"/>
    <mergeCell ref="H1879:N1879"/>
    <mergeCell ref="D1891:F1891"/>
    <mergeCell ref="A1893:F1893"/>
    <mergeCell ref="H1893:N1893"/>
    <mergeCell ref="D1905:F1905"/>
    <mergeCell ref="A1907:F1907"/>
    <mergeCell ref="H1907:N1907"/>
    <mergeCell ref="D1919:F1919"/>
    <mergeCell ref="A1921:F1921"/>
    <mergeCell ref="H1921:N1921"/>
    <mergeCell ref="D1933:F1933"/>
    <mergeCell ref="A1935:F1935"/>
    <mergeCell ref="H1935:N1935"/>
    <mergeCell ref="D1947:F1947"/>
    <mergeCell ref="A1949:F1949"/>
    <mergeCell ref="H1949:N1949"/>
    <mergeCell ref="D1961:F1961"/>
    <mergeCell ref="A1963:F1963"/>
    <mergeCell ref="H1963:N1963"/>
    <mergeCell ref="D1975:F1975"/>
    <mergeCell ref="A1977:F1977"/>
    <mergeCell ref="H1977:N1977"/>
    <mergeCell ref="D1989:F1989"/>
    <mergeCell ref="A1991:F1991"/>
    <mergeCell ref="H1991:N1991"/>
    <mergeCell ref="D2003:F2003"/>
    <mergeCell ref="A2005:F2005"/>
    <mergeCell ref="H2005:N2005"/>
    <mergeCell ref="D2017:F2017"/>
    <mergeCell ref="A2019:F2019"/>
    <mergeCell ref="H2019:N2019"/>
    <mergeCell ref="D2031:F2031"/>
    <mergeCell ref="A2033:F2033"/>
    <mergeCell ref="H2033:N2033"/>
    <mergeCell ref="D2045:F2045"/>
    <mergeCell ref="A2047:F2047"/>
    <mergeCell ref="H2047:N2047"/>
    <mergeCell ref="D2059:F2059"/>
    <mergeCell ref="A2061:F2061"/>
    <mergeCell ref="H2061:N2061"/>
    <mergeCell ref="D2073:F2073"/>
    <mergeCell ref="A2075:F2075"/>
    <mergeCell ref="H2075:N2075"/>
    <mergeCell ref="D2087:F2087"/>
    <mergeCell ref="A2089:F2089"/>
    <mergeCell ref="H2089:N2089"/>
    <mergeCell ref="D2101:F2101"/>
    <mergeCell ref="A2103:F2103"/>
    <mergeCell ref="H2103:N2103"/>
    <mergeCell ref="D2115:F2115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36" manualBreakCount="136">
    <brk id="16" man="true" max="16383" min="0"/>
    <brk id="30" man="true" max="16383" min="0"/>
    <brk id="44" man="true" max="16383" min="0"/>
    <brk id="58" man="true" max="16383" min="0"/>
    <brk id="72" man="true" max="16383" min="0"/>
    <brk id="86" man="true" max="16383" min="0"/>
    <brk id="100" man="true" max="16383" min="0"/>
    <brk id="114" man="true" max="16383" min="0"/>
    <brk id="128" man="true" max="16383" min="0"/>
    <brk id="142" man="true" max="16383" min="0"/>
    <brk id="156" man="true" max="16383" min="0"/>
    <brk id="170" man="true" max="16383" min="0"/>
    <brk id="184" man="true" max="16383" min="0"/>
    <brk id="198" man="true" max="16383" min="0"/>
    <brk id="217" man="true" max="16383" min="0"/>
    <brk id="231" man="true" max="16383" min="0"/>
    <brk id="245" man="true" max="16383" min="0"/>
    <brk id="264" man="true" max="16383" min="0"/>
    <brk id="283" man="true" max="16383" min="0"/>
    <brk id="302" man="true" max="16383" min="0"/>
    <brk id="316" man="true" max="16383" min="0"/>
    <brk id="335" man="true" max="16383" min="0"/>
    <brk id="354" man="true" max="16383" min="0"/>
    <brk id="373" man="true" max="16383" min="0"/>
    <brk id="387" man="true" max="16383" min="0"/>
    <brk id="406" man="true" max="16383" min="0"/>
    <brk id="425" man="true" max="16383" min="0"/>
    <brk id="444" man="true" max="16383" min="0"/>
    <brk id="463" man="true" max="16383" min="0"/>
    <brk id="482" man="true" max="16383" min="0"/>
    <brk id="501" man="true" max="16383" min="0"/>
    <brk id="520" man="true" max="16383" min="0"/>
    <brk id="539" man="true" max="16383" min="0"/>
    <brk id="558" man="true" max="16383" min="0"/>
    <brk id="577" man="true" max="16383" min="0"/>
    <brk id="591" man="true" max="16383" min="0"/>
    <brk id="610" man="true" max="16383" min="0"/>
    <brk id="629" man="true" max="16383" min="0"/>
    <brk id="648" man="true" max="16383" min="0"/>
    <brk id="667" man="true" max="16383" min="0"/>
    <brk id="686" man="true" max="16383" min="0"/>
    <brk id="705" man="true" max="16383" min="0"/>
    <brk id="724" man="true" max="16383" min="0"/>
    <brk id="743" man="true" max="16383" min="0"/>
    <brk id="762" man="true" max="16383" min="0"/>
    <brk id="781" man="true" max="16383" min="0"/>
    <brk id="800" man="true" max="16383" min="0"/>
    <brk id="819" man="true" max="16383" min="0"/>
    <brk id="838" man="true" max="16383" min="0"/>
    <brk id="857" man="true" max="16383" min="0"/>
    <brk id="876" man="true" max="16383" min="0"/>
    <brk id="890" man="true" max="16383" min="0"/>
    <brk id="904" man="true" max="16383" min="0"/>
    <brk id="923" man="true" max="16383" min="0"/>
    <brk id="942" man="true" max="16383" min="0"/>
    <brk id="956" man="true" max="16383" min="0"/>
    <brk id="975" man="true" max="16383" min="0"/>
    <brk id="989" man="true" max="16383" min="0"/>
    <brk id="1003" man="true" max="16383" min="0"/>
    <brk id="1022" man="true" max="16383" min="0"/>
    <brk id="1041" man="true" max="16383" min="0"/>
    <brk id="1060" man="true" max="16383" min="0"/>
    <brk id="1074" man="true" max="16383" min="0"/>
    <brk id="1088" man="true" max="16383" min="0"/>
    <brk id="1102" man="true" max="16383" min="0"/>
    <brk id="1121" man="true" max="16383" min="0"/>
    <brk id="1135" man="true" max="16383" min="0"/>
    <brk id="1149" man="true" max="16383" min="0"/>
    <brk id="1163" man="true" max="16383" min="0"/>
    <brk id="1177" man="true" max="16383" min="0"/>
    <brk id="1196" man="true" max="16383" min="0"/>
    <brk id="1210" man="true" max="16383" min="0"/>
    <brk id="1224" man="true" max="16383" min="0"/>
    <brk id="1238" man="true" max="16383" min="0"/>
    <brk id="1252" man="true" max="16383" min="0"/>
    <brk id="1266" man="true" max="16383" min="0"/>
    <brk id="1280" man="true" max="16383" min="0"/>
    <brk id="1294" man="true" max="16383" min="0"/>
    <brk id="1308" man="true" max="16383" min="0"/>
    <brk id="1322" man="true" max="16383" min="0"/>
    <brk id="1336" man="true" max="16383" min="0"/>
    <brk id="1350" man="true" max="16383" min="0"/>
    <brk id="1364" man="true" max="16383" min="0"/>
    <brk id="1378" man="true" max="16383" min="0"/>
    <brk id="1392" man="true" max="16383" min="0"/>
    <brk id="1406" man="true" max="16383" min="0"/>
    <brk id="1420" man="true" max="16383" min="0"/>
    <brk id="1434" man="true" max="16383" min="0"/>
    <brk id="1448" man="true" max="16383" min="0"/>
    <brk id="1462" man="true" max="16383" min="0"/>
    <brk id="1476" man="true" max="16383" min="0"/>
    <brk id="1490" man="true" max="16383" min="0"/>
    <brk id="1504" man="true" max="16383" min="0"/>
    <brk id="1518" man="true" max="16383" min="0"/>
    <brk id="1532" man="true" max="16383" min="0"/>
    <brk id="1546" man="true" max="16383" min="0"/>
    <brk id="1560" man="true" max="16383" min="0"/>
    <brk id="1574" man="true" max="16383" min="0"/>
    <brk id="1588" man="true" max="16383" min="0"/>
    <brk id="1602" man="true" max="16383" min="0"/>
    <brk id="1621" man="true" max="16383" min="0"/>
    <brk id="1635" man="true" max="16383" min="0"/>
    <brk id="1649" man="true" max="16383" min="0"/>
    <brk id="1663" man="true" max="16383" min="0"/>
    <brk id="1677" man="true" max="16383" min="0"/>
    <brk id="1691" man="true" max="16383" min="0"/>
    <brk id="1705" man="true" max="16383" min="0"/>
    <brk id="1719" man="true" max="16383" min="0"/>
    <brk id="1738" man="true" max="16383" min="0"/>
    <brk id="1752" man="true" max="16383" min="0"/>
    <brk id="1766" man="true" max="16383" min="0"/>
    <brk id="1780" man="true" max="16383" min="0"/>
    <brk id="1794" man="true" max="16383" min="0"/>
    <brk id="1808" man="true" max="16383" min="0"/>
    <brk id="1822" man="true" max="16383" min="0"/>
    <brk id="1836" man="true" max="16383" min="0"/>
    <brk id="1850" man="true" max="16383" min="0"/>
    <brk id="1864" man="true" max="16383" min="0"/>
    <brk id="1878" man="true" max="16383" min="0"/>
    <brk id="1892" man="true" max="16383" min="0"/>
    <brk id="1906" man="true" max="16383" min="0"/>
    <brk id="1920" man="true" max="16383" min="0"/>
    <brk id="1934" man="true" max="16383" min="0"/>
    <brk id="1948" man="true" max="16383" min="0"/>
    <brk id="1962" man="true" max="16383" min="0"/>
    <brk id="1976" man="true" max="16383" min="0"/>
    <brk id="1990" man="true" max="16383" min="0"/>
    <brk id="2004" man="true" max="16383" min="0"/>
    <brk id="2018" man="true" max="16383" min="0"/>
    <brk id="2032" man="true" max="16383" min="0"/>
    <brk id="2046" man="true" max="16383" min="0"/>
    <brk id="2060" man="true" max="16383" min="0"/>
    <brk id="2074" man="true" max="16383" min="0"/>
    <brk id="2088" man="true" max="16383" min="0"/>
    <brk id="2102" man="true" max="16383" min="0"/>
    <brk id="2116" man="true" max="16383" min="0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1055</v>
      </c>
      <c r="B1" s="0" t="s">
        <v>1056</v>
      </c>
      <c r="C1" s="0" t="s">
        <v>1057</v>
      </c>
      <c r="D1" s="0" t="s">
        <v>1058</v>
      </c>
      <c r="E1" s="0" t="s">
        <v>1059</v>
      </c>
      <c r="F1" s="0" t="s">
        <v>1060</v>
      </c>
      <c r="G1" s="0" t="s">
        <v>1061</v>
      </c>
      <c r="H1" s="0" t="s">
        <v>1062</v>
      </c>
      <c r="I1" s="0" t="s">
        <v>1063</v>
      </c>
      <c r="J1" s="0" t="s">
        <v>1064</v>
      </c>
      <c r="K1" s="0" t="s">
        <v>1065</v>
      </c>
      <c r="L1" s="0" t="s">
        <v>1066</v>
      </c>
      <c r="M1" s="0" t="s">
        <v>1067</v>
      </c>
      <c r="N1" s="0" t="s">
        <v>1068</v>
      </c>
      <c r="O1" s="0" t="s">
        <v>1069</v>
      </c>
      <c r="P1" s="0" t="s">
        <v>1070</v>
      </c>
      <c r="Q1" s="0" t="s">
        <v>1071</v>
      </c>
      <c r="R1" s="0" t="s">
        <v>1072</v>
      </c>
      <c r="S1" s="0" t="s">
        <v>1073</v>
      </c>
      <c r="T1" s="0" t="s">
        <v>1074</v>
      </c>
      <c r="U1" s="0" t="s">
        <v>1075</v>
      </c>
      <c r="V1" s="0" t="s">
        <v>1076</v>
      </c>
      <c r="W1" s="0" t="s">
        <v>1077</v>
      </c>
      <c r="X1" s="0" t="s">
        <v>1078</v>
      </c>
      <c r="Y1" s="0" t="s">
        <v>1079</v>
      </c>
    </row>
    <row r="2" customFormat="false" ht="15" hidden="false" customHeight="false" outlineLevel="0" collapsed="false">
      <c r="A2" s="0" t="n">
        <v>8550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67.85</v>
      </c>
      <c r="H2" s="0" t="n">
        <v>291.23</v>
      </c>
      <c r="I2" s="0" t="n">
        <v>212.91</v>
      </c>
      <c r="J2" s="0" t="n">
        <v>183.41</v>
      </c>
      <c r="K2" s="0" t="n">
        <v>146.93</v>
      </c>
      <c r="L2" s="0" t="n">
        <v>240.12</v>
      </c>
      <c r="M2" s="0" t="n">
        <v>360.36</v>
      </c>
      <c r="N2" s="0" t="n">
        <v>489.63</v>
      </c>
      <c r="O2" s="0" t="n">
        <v>103.62</v>
      </c>
      <c r="P2" s="0" t="n">
        <v>664.91</v>
      </c>
      <c r="Q2" s="0" t="n">
        <v>334.22</v>
      </c>
      <c r="R2" s="0" t="n">
        <v>254.97</v>
      </c>
      <c r="S2" s="0" t="n">
        <v>121.53</v>
      </c>
      <c r="T2" s="0" t="n">
        <v>392.65</v>
      </c>
      <c r="U2" s="0" t="n">
        <v>287.51</v>
      </c>
      <c r="V2" s="0" t="n">
        <v>349.44</v>
      </c>
      <c r="W2" s="0" t="n">
        <v>199.21</v>
      </c>
      <c r="X2" s="0" t="n">
        <v>273.87</v>
      </c>
      <c r="Y2" s="0" t="n">
        <v>430.03</v>
      </c>
    </row>
    <row r="3" customFormat="false" ht="15" hidden="false" customHeight="false" outlineLevel="0" collapsed="false">
      <c r="A3" s="0" t="n">
        <v>8551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122.79</v>
      </c>
      <c r="H3" s="0" t="n">
        <v>257.6</v>
      </c>
      <c r="I3" s="0" t="n">
        <v>149.89</v>
      </c>
      <c r="J3" s="0" t="n">
        <v>179.34</v>
      </c>
      <c r="K3" s="0" t="n">
        <v>133.56</v>
      </c>
      <c r="L3" s="0" t="n">
        <v>217.18</v>
      </c>
      <c r="M3" s="0" t="n">
        <v>255.1</v>
      </c>
      <c r="N3" s="0" t="n">
        <v>355.24</v>
      </c>
      <c r="O3" s="0" t="n">
        <v>132.59</v>
      </c>
      <c r="P3" s="0" t="n">
        <v>333.79</v>
      </c>
      <c r="Q3" s="0" t="n">
        <v>306.02</v>
      </c>
      <c r="R3" s="0" t="n">
        <v>209.78</v>
      </c>
      <c r="S3" s="0" t="n">
        <v>189.38</v>
      </c>
      <c r="T3" s="0" t="n">
        <v>339.72</v>
      </c>
      <c r="U3" s="0" t="n">
        <v>188.55</v>
      </c>
      <c r="V3" s="0" t="n">
        <v>237.18</v>
      </c>
      <c r="W3" s="0" t="n">
        <v>186.2</v>
      </c>
      <c r="X3" s="0" t="n">
        <v>276</v>
      </c>
      <c r="Y3" s="0" t="n">
        <v>343.77</v>
      </c>
    </row>
    <row r="4" customFormat="false" ht="15" hidden="false" customHeight="false" outlineLevel="0" collapsed="false">
      <c r="A4" s="0" t="n">
        <v>8552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240.78</v>
      </c>
      <c r="H4" s="0" t="n">
        <v>270.33</v>
      </c>
      <c r="I4" s="0" t="n">
        <v>122.02</v>
      </c>
      <c r="J4" s="0" t="n">
        <v>156.75</v>
      </c>
      <c r="K4" s="0" t="n">
        <v>185.58</v>
      </c>
      <c r="L4" s="0" t="n">
        <v>220.94</v>
      </c>
      <c r="M4" s="0" t="n">
        <v>589.63</v>
      </c>
      <c r="N4" s="0" t="n">
        <v>626.48</v>
      </c>
      <c r="O4" s="0" t="n">
        <v>164.89</v>
      </c>
      <c r="P4" s="0" t="n">
        <v>386.56</v>
      </c>
      <c r="Q4" s="0" t="n">
        <v>382.69</v>
      </c>
      <c r="R4" s="0" t="n">
        <v>261.9</v>
      </c>
      <c r="S4" s="0" t="n">
        <v>330.96</v>
      </c>
      <c r="T4" s="0" t="n">
        <v>371.28</v>
      </c>
      <c r="U4" s="0" t="n">
        <v>169.53</v>
      </c>
      <c r="V4" s="0" t="n">
        <v>214.78</v>
      </c>
      <c r="W4" s="0" t="n">
        <v>271.98</v>
      </c>
      <c r="X4" s="0" t="n">
        <v>271.88</v>
      </c>
      <c r="Y4" s="0" t="n">
        <v>692.94</v>
      </c>
    </row>
    <row r="5" customFormat="false" ht="15" hidden="false" customHeight="false" outlineLevel="0" collapsed="false">
      <c r="A5" s="0" t="n">
        <v>8553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143.34</v>
      </c>
      <c r="H5" s="0" t="n">
        <v>255.18</v>
      </c>
      <c r="I5" s="0" t="n">
        <v>122.89</v>
      </c>
      <c r="J5" s="0" t="n">
        <v>228.55</v>
      </c>
      <c r="K5" s="0" t="n">
        <v>175.12</v>
      </c>
      <c r="L5" s="0" t="n">
        <v>270.51</v>
      </c>
      <c r="M5" s="0" t="n">
        <v>388.07</v>
      </c>
      <c r="N5" s="0" t="n">
        <v>574.82</v>
      </c>
      <c r="O5" s="0" t="n">
        <v>154.53</v>
      </c>
      <c r="P5" s="0" t="n">
        <v>359.42</v>
      </c>
      <c r="Q5" s="0" t="n">
        <v>352.4</v>
      </c>
      <c r="R5" s="0" t="n">
        <v>177.06</v>
      </c>
      <c r="S5" s="0" t="n">
        <v>261.13</v>
      </c>
      <c r="T5" s="0" t="n">
        <v>337.12</v>
      </c>
      <c r="U5" s="0" t="n">
        <v>149.42</v>
      </c>
      <c r="V5" s="0" t="n">
        <v>232.63</v>
      </c>
      <c r="W5" s="0" t="n">
        <v>279.54</v>
      </c>
      <c r="X5" s="0" t="n">
        <v>333.42</v>
      </c>
      <c r="Y5" s="0" t="n">
        <v>462.7</v>
      </c>
    </row>
    <row r="6" customFormat="false" ht="15" hidden="false" customHeight="false" outlineLevel="0" collapsed="false">
      <c r="A6" s="0" t="n">
        <v>8554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181.06</v>
      </c>
      <c r="H6" s="0" t="n">
        <v>235.48</v>
      </c>
      <c r="I6" s="0" t="n">
        <v>115.38</v>
      </c>
      <c r="J6" s="0" t="n">
        <v>164.69</v>
      </c>
      <c r="K6" s="0" t="n">
        <v>208.48</v>
      </c>
      <c r="L6" s="0" t="n">
        <v>620.36</v>
      </c>
      <c r="M6" s="0" t="n">
        <v>776.69</v>
      </c>
      <c r="N6" s="0" t="n">
        <v>910.68</v>
      </c>
      <c r="O6" s="0" t="n">
        <v>276.4</v>
      </c>
      <c r="P6" s="0" t="n">
        <v>777.08</v>
      </c>
      <c r="Q6" s="0" t="n">
        <v>555.31</v>
      </c>
      <c r="R6" s="0" t="n">
        <v>267.98</v>
      </c>
      <c r="S6" s="0" t="n">
        <v>240.42</v>
      </c>
      <c r="T6" s="0" t="n">
        <v>316.78</v>
      </c>
      <c r="U6" s="0" t="n">
        <v>165.48</v>
      </c>
      <c r="V6" s="0" t="n">
        <v>218.11</v>
      </c>
      <c r="W6" s="0" t="n">
        <v>311.55</v>
      </c>
      <c r="X6" s="0" t="n">
        <v>651.31</v>
      </c>
      <c r="Y6" s="0" t="n">
        <v>839.16</v>
      </c>
    </row>
    <row r="7" customFormat="false" ht="15" hidden="false" customHeight="false" outlineLevel="0" collapsed="false">
      <c r="A7" s="0" t="n">
        <v>8555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98.79</v>
      </c>
      <c r="H7" s="0" t="n">
        <v>169.59</v>
      </c>
      <c r="I7" s="0" t="n">
        <v>113.34</v>
      </c>
      <c r="J7" s="0" t="n">
        <v>142.42</v>
      </c>
      <c r="K7" s="0" t="n">
        <v>111.81</v>
      </c>
      <c r="L7" s="0" t="n">
        <v>150.31</v>
      </c>
      <c r="M7" s="0" t="n">
        <v>280.5</v>
      </c>
      <c r="N7" s="0" t="n">
        <v>374.5</v>
      </c>
      <c r="O7" s="0" t="n">
        <v>130.26</v>
      </c>
      <c r="P7" s="0" t="n">
        <v>333.66</v>
      </c>
      <c r="Q7" s="0" t="n">
        <v>240.63</v>
      </c>
      <c r="R7" s="0" t="n">
        <v>117.47</v>
      </c>
      <c r="S7" s="0" t="n">
        <v>166.39</v>
      </c>
      <c r="T7" s="0" t="n">
        <v>229.98</v>
      </c>
      <c r="U7" s="0" t="n">
        <v>152.99</v>
      </c>
      <c r="V7" s="0" t="n">
        <v>196.1</v>
      </c>
      <c r="W7" s="0" t="n">
        <v>164.11</v>
      </c>
      <c r="X7" s="0" t="n">
        <v>189.25</v>
      </c>
      <c r="Y7" s="0" t="n">
        <v>351.03</v>
      </c>
    </row>
    <row r="8" customFormat="false" ht="15" hidden="false" customHeight="false" outlineLevel="0" collapsed="false">
      <c r="A8" s="0" t="n">
        <v>8556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170.28</v>
      </c>
      <c r="H8" s="0" t="n">
        <v>258.52</v>
      </c>
      <c r="I8" s="0" t="n">
        <v>181.42</v>
      </c>
      <c r="J8" s="0" t="n">
        <v>255.74</v>
      </c>
      <c r="K8" s="0" t="n">
        <v>242.83</v>
      </c>
      <c r="L8" s="0" t="n">
        <v>303.68</v>
      </c>
      <c r="M8" s="0" t="n">
        <v>367.91</v>
      </c>
      <c r="N8" s="0" t="n">
        <v>611.02</v>
      </c>
      <c r="O8" s="0" t="n">
        <v>163.33</v>
      </c>
      <c r="P8" s="0" t="n">
        <v>392.33</v>
      </c>
      <c r="Q8" s="0" t="n">
        <v>376.51</v>
      </c>
      <c r="R8" s="0" t="n">
        <v>126.21</v>
      </c>
      <c r="S8" s="0" t="n">
        <v>230.73</v>
      </c>
      <c r="T8" s="0" t="n">
        <v>340.4</v>
      </c>
      <c r="U8" s="0" t="n">
        <v>259.71</v>
      </c>
      <c r="V8" s="0" t="n">
        <v>311.91</v>
      </c>
      <c r="W8" s="0" t="n">
        <v>314.39</v>
      </c>
      <c r="X8" s="0" t="n">
        <v>371.77</v>
      </c>
      <c r="Y8" s="0" t="n">
        <v>505.17</v>
      </c>
    </row>
    <row r="9" customFormat="false" ht="15" hidden="false" customHeight="false" outlineLevel="0" collapsed="false">
      <c r="A9" s="0" t="n">
        <v>8557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193.05</v>
      </c>
      <c r="H9" s="0" t="n">
        <v>309.11</v>
      </c>
      <c r="I9" s="0" t="n">
        <v>197.99</v>
      </c>
      <c r="J9" s="0" t="n">
        <v>256.8</v>
      </c>
      <c r="K9" s="0" t="n">
        <v>114.01</v>
      </c>
      <c r="L9" s="0" t="n">
        <v>245.88</v>
      </c>
      <c r="M9" s="0" t="n">
        <v>405.6</v>
      </c>
      <c r="N9" s="0" t="n">
        <v>510.83</v>
      </c>
      <c r="O9" s="0" t="n">
        <v>181.08</v>
      </c>
      <c r="P9" s="0" t="n">
        <v>334.97</v>
      </c>
      <c r="Q9" s="0" t="n">
        <v>263.34</v>
      </c>
      <c r="R9" s="0" t="n">
        <v>146.93</v>
      </c>
      <c r="S9" s="0" t="n">
        <v>251.21</v>
      </c>
      <c r="T9" s="0" t="n">
        <v>411.51</v>
      </c>
      <c r="U9" s="0" t="n">
        <v>292.86</v>
      </c>
      <c r="V9" s="0" t="n">
        <v>309.03</v>
      </c>
      <c r="W9" s="0" t="n">
        <v>166.4</v>
      </c>
      <c r="X9" s="0" t="n">
        <v>321.26</v>
      </c>
      <c r="Y9" s="0" t="n">
        <v>473.59</v>
      </c>
    </row>
    <row r="10" customFormat="false" ht="15" hidden="false" customHeight="false" outlineLevel="0" collapsed="false">
      <c r="A10" s="0" t="n">
        <v>8558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131.4</v>
      </c>
      <c r="H10" s="0" t="n">
        <v>332.79</v>
      </c>
      <c r="I10" s="0" t="n">
        <v>154.85</v>
      </c>
      <c r="J10" s="0" t="n">
        <v>172.58</v>
      </c>
      <c r="K10" s="0" t="n">
        <v>151.87</v>
      </c>
      <c r="L10" s="0" t="n">
        <v>305.89</v>
      </c>
      <c r="M10" s="0" t="n">
        <v>454</v>
      </c>
      <c r="N10" s="0" t="n">
        <v>499.25</v>
      </c>
      <c r="O10" s="0" t="n">
        <v>117.75</v>
      </c>
      <c r="P10" s="0" t="n">
        <v>483.02</v>
      </c>
      <c r="Q10" s="0" t="n">
        <v>456.69</v>
      </c>
      <c r="R10" s="0" t="n">
        <v>281.62</v>
      </c>
      <c r="S10" s="0" t="n">
        <v>195.74</v>
      </c>
      <c r="T10" s="0" t="n">
        <v>435.76</v>
      </c>
      <c r="U10" s="0" t="n">
        <v>244.72</v>
      </c>
      <c r="V10" s="0" t="n">
        <v>225.93</v>
      </c>
      <c r="W10" s="0" t="n">
        <v>215.79</v>
      </c>
      <c r="X10" s="0" t="n">
        <v>358.91</v>
      </c>
      <c r="Y10" s="0" t="n">
        <v>525.02</v>
      </c>
    </row>
    <row r="11" customFormat="false" ht="15" hidden="false" customHeight="false" outlineLevel="0" collapsed="false">
      <c r="A11" s="0" t="n">
        <v>8559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85.02</v>
      </c>
      <c r="H11" s="0" t="n">
        <v>92.48</v>
      </c>
      <c r="I11" s="0" t="n">
        <v>67.3</v>
      </c>
      <c r="J11" s="0" t="n">
        <v>63.22</v>
      </c>
      <c r="K11" s="0" t="n">
        <v>67.94</v>
      </c>
      <c r="L11" s="0" t="n">
        <v>131.71</v>
      </c>
      <c r="M11" s="0" t="n">
        <v>173.41</v>
      </c>
      <c r="N11" s="0" t="n">
        <v>247.92</v>
      </c>
      <c r="O11" s="0" t="n">
        <v>108.06</v>
      </c>
      <c r="P11" s="0" t="n">
        <v>101.19</v>
      </c>
      <c r="Q11" s="0" t="n">
        <v>77.36</v>
      </c>
      <c r="R11" s="0" t="n">
        <v>93.5</v>
      </c>
      <c r="S11" s="0" t="n">
        <v>135.59</v>
      </c>
      <c r="T11" s="0" t="n">
        <v>150.61</v>
      </c>
      <c r="U11" s="0" t="n">
        <v>101.26</v>
      </c>
      <c r="V11" s="0" t="n">
        <v>83.58</v>
      </c>
      <c r="W11" s="0" t="n">
        <v>92.95</v>
      </c>
      <c r="X11" s="0" t="n">
        <v>164.49</v>
      </c>
      <c r="Y11" s="0" t="n">
        <v>244.04</v>
      </c>
    </row>
    <row r="12" customFormat="false" ht="15" hidden="false" customHeight="false" outlineLevel="0" collapsed="false">
      <c r="A12" s="0" t="n">
        <v>8560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51.19</v>
      </c>
      <c r="H12" s="0" t="n">
        <v>153.54</v>
      </c>
      <c r="I12" s="0" t="n">
        <v>125.01</v>
      </c>
      <c r="J12" s="0" t="n">
        <v>130.52</v>
      </c>
      <c r="K12" s="0" t="n">
        <v>91.61</v>
      </c>
      <c r="L12" s="0" t="n">
        <v>150.09</v>
      </c>
      <c r="M12" s="0" t="n">
        <v>209.74</v>
      </c>
      <c r="N12" s="0" t="n">
        <v>185.37</v>
      </c>
      <c r="O12" s="0" t="n">
        <v>131.51</v>
      </c>
      <c r="P12" s="0" t="n">
        <v>105.59</v>
      </c>
      <c r="Q12" s="0" t="n">
        <v>72.64</v>
      </c>
      <c r="R12" s="0" t="n">
        <v>89.99</v>
      </c>
      <c r="S12" s="0" t="n">
        <v>123.52</v>
      </c>
      <c r="T12" s="0" t="n">
        <v>213.59</v>
      </c>
      <c r="U12" s="0" t="n">
        <v>175.89</v>
      </c>
      <c r="V12" s="0" t="n">
        <v>185.75</v>
      </c>
      <c r="W12" s="0" t="n">
        <v>115.98</v>
      </c>
      <c r="X12" s="0" t="n">
        <v>187.53</v>
      </c>
      <c r="Y12" s="0" t="n">
        <v>400.32</v>
      </c>
    </row>
    <row r="13" customFormat="false" ht="15" hidden="false" customHeight="false" outlineLevel="0" collapsed="false">
      <c r="A13" s="0" t="n">
        <v>8561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114.46</v>
      </c>
      <c r="H13" s="0" t="n">
        <v>156.2</v>
      </c>
      <c r="I13" s="0" t="n">
        <v>110.71</v>
      </c>
      <c r="J13" s="0" t="n">
        <v>260.77</v>
      </c>
      <c r="K13" s="0" t="n">
        <v>179.33</v>
      </c>
      <c r="L13" s="0" t="n">
        <v>224.35</v>
      </c>
      <c r="M13" s="0" t="n">
        <v>412.73</v>
      </c>
      <c r="N13" s="0" t="n">
        <v>606.87</v>
      </c>
      <c r="O13" s="0" t="n">
        <v>152.73</v>
      </c>
      <c r="P13" s="0" t="n">
        <v>491.2</v>
      </c>
      <c r="Q13" s="0" t="n">
        <v>404.96</v>
      </c>
      <c r="R13" s="0" t="n">
        <v>240.01</v>
      </c>
      <c r="S13" s="0" t="n">
        <v>180.49</v>
      </c>
      <c r="T13" s="0" t="n">
        <v>212.19</v>
      </c>
      <c r="U13" s="0" t="n">
        <v>175.43</v>
      </c>
      <c r="V13" s="0" t="n">
        <v>339.01</v>
      </c>
      <c r="W13" s="0" t="n">
        <v>251.07</v>
      </c>
      <c r="X13" s="0" t="n">
        <v>287</v>
      </c>
      <c r="Y13" s="0" t="n">
        <v>499.04</v>
      </c>
    </row>
    <row r="14" customFormat="false" ht="15" hidden="false" customHeight="false" outlineLevel="0" collapsed="false">
      <c r="A14" s="0" t="n">
        <v>8562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74.36</v>
      </c>
      <c r="H14" s="0" t="n">
        <v>212.65</v>
      </c>
      <c r="I14" s="0" t="n">
        <v>196.15</v>
      </c>
      <c r="J14" s="0" t="n">
        <v>271.38</v>
      </c>
      <c r="K14" s="0" t="n">
        <v>232.4</v>
      </c>
      <c r="L14" s="0" t="n">
        <v>267.24</v>
      </c>
      <c r="M14" s="0" t="n">
        <v>355.82</v>
      </c>
      <c r="N14" s="0" t="n">
        <v>442.68</v>
      </c>
      <c r="O14" s="0" t="n">
        <v>117.14</v>
      </c>
      <c r="P14" s="0" t="n">
        <v>501.52</v>
      </c>
      <c r="Q14" s="0" t="n">
        <v>378.61</v>
      </c>
      <c r="R14" s="0" t="n">
        <v>286.56</v>
      </c>
      <c r="S14" s="0" t="n">
        <v>128.8</v>
      </c>
      <c r="T14" s="0" t="n">
        <v>271.26</v>
      </c>
      <c r="U14" s="0" t="n">
        <v>269.14</v>
      </c>
      <c r="V14" s="0" t="n">
        <v>401.39</v>
      </c>
      <c r="W14" s="0" t="n">
        <v>298.92</v>
      </c>
      <c r="X14" s="0" t="n">
        <v>330.2</v>
      </c>
      <c r="Y14" s="0" t="n">
        <v>399.6</v>
      </c>
    </row>
    <row r="15" customFormat="false" ht="15" hidden="false" customHeight="false" outlineLevel="0" collapsed="false">
      <c r="A15" s="0" t="n">
        <v>8563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80.49</v>
      </c>
      <c r="H15" s="0" t="n">
        <v>305.09</v>
      </c>
      <c r="I15" s="0" t="n">
        <v>247.72</v>
      </c>
      <c r="J15" s="0" t="n">
        <v>457.79</v>
      </c>
      <c r="K15" s="0" t="n">
        <v>280.07</v>
      </c>
      <c r="L15" s="0" t="n">
        <v>373.47</v>
      </c>
      <c r="M15" s="0" t="n">
        <v>467.85</v>
      </c>
      <c r="N15" s="0" t="n">
        <v>609.1</v>
      </c>
      <c r="O15" s="0" t="n">
        <v>125.46</v>
      </c>
      <c r="P15" s="0" t="n">
        <v>424.54</v>
      </c>
      <c r="Q15" s="0" t="n">
        <v>524.58</v>
      </c>
      <c r="R15" s="0" t="n">
        <v>411.31</v>
      </c>
      <c r="S15" s="0" t="n">
        <v>134.32</v>
      </c>
      <c r="T15" s="0" t="n">
        <v>403.13</v>
      </c>
      <c r="U15" s="0" t="n">
        <v>345.53</v>
      </c>
      <c r="V15" s="0" t="n">
        <v>523.95</v>
      </c>
      <c r="W15" s="0" t="n">
        <v>345.87</v>
      </c>
      <c r="X15" s="0" t="n">
        <v>442.35</v>
      </c>
      <c r="Y15" s="0" t="n">
        <v>522.52</v>
      </c>
    </row>
    <row r="16" customFormat="false" ht="15" hidden="false" customHeight="false" outlineLevel="0" collapsed="false">
      <c r="A16" s="0" t="n">
        <v>8568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197.21</v>
      </c>
      <c r="H16" s="0" t="n">
        <v>107.96</v>
      </c>
      <c r="I16" s="0" t="n">
        <v>57.75</v>
      </c>
      <c r="J16" s="0" t="n">
        <v>57.76</v>
      </c>
      <c r="K16" s="0" t="n">
        <v>156.48</v>
      </c>
      <c r="L16" s="0" t="n">
        <v>109.34</v>
      </c>
      <c r="M16" s="0" t="n">
        <v>81.96</v>
      </c>
      <c r="N16" s="0" t="n">
        <v>104.55</v>
      </c>
      <c r="O16" s="0" t="n">
        <v>64.71</v>
      </c>
      <c r="P16" s="0" t="n">
        <v>144.05</v>
      </c>
      <c r="Q16" s="0" t="n">
        <v>114.68</v>
      </c>
      <c r="R16" s="0" t="n">
        <v>57.95</v>
      </c>
      <c r="S16" s="0" t="n">
        <v>155.67</v>
      </c>
      <c r="T16" s="0" t="n">
        <v>95.69</v>
      </c>
      <c r="U16" s="0" t="n">
        <v>73.01</v>
      </c>
      <c r="V16" s="0" t="n">
        <v>131.64</v>
      </c>
      <c r="W16" s="0" t="n">
        <v>214.16</v>
      </c>
      <c r="X16" s="0" t="n">
        <v>0</v>
      </c>
      <c r="Y16" s="0" t="n">
        <v>0</v>
      </c>
    </row>
    <row r="17" customFormat="false" ht="15" hidden="false" customHeight="false" outlineLevel="0" collapsed="false">
      <c r="A17" s="0" t="n">
        <v>8569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242.74</v>
      </c>
      <c r="H17" s="0" t="n">
        <v>219.19</v>
      </c>
      <c r="I17" s="0" t="n">
        <v>209.34</v>
      </c>
      <c r="J17" s="0" t="n">
        <v>210.33</v>
      </c>
      <c r="K17" s="0" t="n">
        <v>189.9</v>
      </c>
      <c r="L17" s="0" t="n">
        <v>190.38</v>
      </c>
      <c r="M17" s="0" t="n">
        <v>193.93</v>
      </c>
      <c r="N17" s="0" t="n">
        <v>203.58</v>
      </c>
      <c r="O17" s="0" t="n">
        <v>205.73</v>
      </c>
      <c r="P17" s="0" t="n">
        <v>206.28</v>
      </c>
      <c r="Q17" s="0" t="n">
        <v>209.82</v>
      </c>
      <c r="R17" s="0" t="n">
        <v>233.02</v>
      </c>
      <c r="S17" s="0" t="n">
        <v>237.28</v>
      </c>
      <c r="T17" s="0" t="n">
        <v>266.33</v>
      </c>
      <c r="U17" s="0" t="n">
        <v>225.34</v>
      </c>
      <c r="V17" s="0" t="n">
        <v>236</v>
      </c>
      <c r="W17" s="0" t="n">
        <v>204.34</v>
      </c>
      <c r="X17" s="0" t="n">
        <v>0</v>
      </c>
      <c r="Y17" s="0" t="n">
        <v>0</v>
      </c>
    </row>
    <row r="18" customFormat="false" ht="15" hidden="false" customHeight="false" outlineLevel="0" collapsed="false">
      <c r="A18" s="0" t="n">
        <v>8570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237.82</v>
      </c>
      <c r="J18" s="0" t="n">
        <v>194.8</v>
      </c>
      <c r="K18" s="0" t="n">
        <v>152.7</v>
      </c>
      <c r="L18" s="0" t="n">
        <v>84.08</v>
      </c>
      <c r="M18" s="0" t="n">
        <v>156.38</v>
      </c>
      <c r="N18" s="0" t="n">
        <v>191.84</v>
      </c>
      <c r="O18" s="0" t="n">
        <v>247.16</v>
      </c>
      <c r="P18" s="0" t="n">
        <v>137.84</v>
      </c>
      <c r="Q18" s="0" t="n">
        <v>112.15</v>
      </c>
      <c r="R18" s="0" t="n">
        <v>186.88</v>
      </c>
      <c r="S18" s="0" t="n">
        <v>247.21</v>
      </c>
      <c r="T18" s="0" t="n">
        <v>287.01</v>
      </c>
      <c r="U18" s="0" t="n">
        <v>230.81</v>
      </c>
      <c r="V18" s="0" t="n">
        <v>276.44</v>
      </c>
      <c r="W18" s="0" t="n">
        <v>139.84</v>
      </c>
      <c r="X18" s="0" t="n">
        <v>0</v>
      </c>
      <c r="Y18" s="0" t="n">
        <v>0</v>
      </c>
    </row>
    <row r="19" customFormat="false" ht="15" hidden="false" customHeight="false" outlineLevel="0" collapsed="false">
      <c r="A19" s="0" t="n">
        <v>8571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48.8</v>
      </c>
      <c r="H19" s="0" t="n">
        <v>87.84</v>
      </c>
      <c r="I19" s="0" t="n">
        <v>47.65</v>
      </c>
      <c r="J19" s="0" t="n">
        <v>56.89</v>
      </c>
      <c r="K19" s="0" t="n">
        <v>54.07</v>
      </c>
      <c r="L19" s="0" t="n">
        <v>53.92</v>
      </c>
      <c r="M19" s="0" t="n">
        <v>76.54</v>
      </c>
      <c r="N19" s="0" t="n">
        <v>42.09</v>
      </c>
      <c r="O19" s="0" t="n">
        <v>39.38</v>
      </c>
      <c r="P19" s="0" t="n">
        <v>74.06</v>
      </c>
      <c r="Q19" s="0" t="n">
        <v>82.16</v>
      </c>
      <c r="R19" s="0" t="n">
        <v>50.76</v>
      </c>
      <c r="S19" s="0" t="n">
        <v>68.32</v>
      </c>
      <c r="T19" s="0" t="n">
        <v>74.95</v>
      </c>
      <c r="U19" s="0" t="n">
        <v>74.28</v>
      </c>
      <c r="V19" s="0" t="n">
        <v>67.62</v>
      </c>
      <c r="W19" s="0" t="n">
        <v>68.56</v>
      </c>
      <c r="X19" s="0" t="n">
        <v>0</v>
      </c>
      <c r="Y19" s="0" t="n">
        <v>0</v>
      </c>
    </row>
    <row r="20" customFormat="false" ht="15" hidden="false" customHeight="false" outlineLevel="0" collapsed="false">
      <c r="A20" s="0" t="n">
        <v>8572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142.7</v>
      </c>
      <c r="H20" s="0" t="n">
        <v>158.03</v>
      </c>
      <c r="I20" s="0" t="n">
        <v>104.93</v>
      </c>
      <c r="J20" s="0" t="n">
        <v>109.06</v>
      </c>
      <c r="K20" s="0" t="n">
        <v>62.3</v>
      </c>
      <c r="L20" s="0" t="n">
        <v>62.29</v>
      </c>
      <c r="M20" s="0" t="n">
        <v>157.8</v>
      </c>
      <c r="N20" s="0" t="n">
        <v>198.54</v>
      </c>
      <c r="O20" s="0" t="n">
        <v>134.89</v>
      </c>
      <c r="P20" s="0" t="n">
        <v>110.65</v>
      </c>
      <c r="Q20" s="0" t="n">
        <v>105.97</v>
      </c>
      <c r="R20" s="0" t="n">
        <v>117.91</v>
      </c>
      <c r="S20" s="0" t="n">
        <v>123.7</v>
      </c>
      <c r="T20" s="0" t="n">
        <v>98.87</v>
      </c>
      <c r="U20" s="0" t="n">
        <v>105.2</v>
      </c>
      <c r="V20" s="0" t="n">
        <v>90.93</v>
      </c>
      <c r="W20" s="0" t="n">
        <v>57.95</v>
      </c>
      <c r="X20" s="0" t="n">
        <v>0</v>
      </c>
      <c r="Y20" s="0" t="n">
        <v>0</v>
      </c>
    </row>
    <row r="21" customFormat="false" ht="15" hidden="false" customHeight="false" outlineLevel="0" collapsed="false">
      <c r="A21" s="0" t="n">
        <v>8573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47.1</v>
      </c>
      <c r="H21" s="0" t="n">
        <v>102.36</v>
      </c>
      <c r="I21" s="0" t="n">
        <v>78.98</v>
      </c>
      <c r="J21" s="0" t="n">
        <v>99.58</v>
      </c>
      <c r="K21" s="0" t="n">
        <v>74.5</v>
      </c>
      <c r="L21" s="0" t="n">
        <v>68.43</v>
      </c>
      <c r="M21" s="0" t="n">
        <v>74.5</v>
      </c>
      <c r="N21" s="0" t="n">
        <v>105.08</v>
      </c>
      <c r="O21" s="0" t="n">
        <v>138.22</v>
      </c>
      <c r="P21" s="0" t="n">
        <v>106.65</v>
      </c>
      <c r="Q21" s="0" t="n">
        <v>83.05</v>
      </c>
      <c r="R21" s="0" t="n">
        <v>64.55</v>
      </c>
      <c r="S21" s="0" t="n">
        <v>76.49</v>
      </c>
      <c r="T21" s="0" t="n">
        <v>91.62</v>
      </c>
      <c r="U21" s="0" t="n">
        <v>58.77</v>
      </c>
      <c r="V21" s="0" t="n">
        <v>58.18</v>
      </c>
      <c r="W21" s="0" t="n">
        <v>55.48</v>
      </c>
      <c r="X21" s="0" t="n">
        <v>0</v>
      </c>
      <c r="Y21" s="0" t="n">
        <v>0</v>
      </c>
    </row>
    <row r="22" customFormat="false" ht="15" hidden="false" customHeight="false" outlineLevel="0" collapsed="false">
      <c r="A22" s="0" t="n">
        <v>8574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62.66</v>
      </c>
      <c r="V22" s="0" t="n">
        <v>52.63</v>
      </c>
      <c r="W22" s="0" t="n">
        <v>53.78</v>
      </c>
      <c r="X22" s="0" t="n">
        <v>0</v>
      </c>
      <c r="Y22" s="0" t="n">
        <v>0</v>
      </c>
    </row>
    <row r="23" customFormat="false" ht="15" hidden="false" customHeight="false" outlineLevel="0" collapsed="false">
      <c r="A23" s="0" t="n">
        <v>8575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40.13</v>
      </c>
      <c r="H23" s="0" t="n">
        <v>113.72</v>
      </c>
      <c r="I23" s="0" t="n">
        <v>75.18</v>
      </c>
      <c r="J23" s="0" t="n">
        <v>54.02</v>
      </c>
      <c r="K23" s="0" t="n">
        <v>53.3</v>
      </c>
      <c r="L23" s="0" t="n">
        <v>53.49</v>
      </c>
      <c r="M23" s="0" t="n">
        <v>66.13</v>
      </c>
      <c r="N23" s="0" t="n">
        <v>53.49</v>
      </c>
      <c r="O23" s="0" t="n">
        <v>53.49</v>
      </c>
      <c r="P23" s="0" t="n">
        <v>53.49</v>
      </c>
      <c r="Q23" s="0" t="n">
        <v>59.64</v>
      </c>
      <c r="R23" s="0" t="n">
        <v>53.49</v>
      </c>
      <c r="S23" s="0" t="n">
        <v>53.49</v>
      </c>
      <c r="T23" s="0" t="n">
        <v>53.49</v>
      </c>
      <c r="U23" s="0" t="n">
        <v>84.44</v>
      </c>
      <c r="V23" s="0" t="n">
        <v>86.3</v>
      </c>
      <c r="W23" s="0" t="n">
        <v>53.49</v>
      </c>
      <c r="X23" s="0" t="n">
        <v>0</v>
      </c>
      <c r="Y23" s="0" t="n">
        <v>0</v>
      </c>
    </row>
    <row r="24" customFormat="false" ht="15" hidden="false" customHeight="false" outlineLevel="0" collapsed="false">
      <c r="A24" s="0" t="n">
        <v>8579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4.17</v>
      </c>
      <c r="H24" s="0" t="n">
        <v>38.81</v>
      </c>
      <c r="I24" s="0" t="n">
        <v>29.88</v>
      </c>
      <c r="J24" s="0" t="n">
        <v>29.89</v>
      </c>
      <c r="K24" s="0" t="n">
        <v>29.89</v>
      </c>
      <c r="L24" s="0" t="n">
        <v>30.08</v>
      </c>
      <c r="M24" s="0" t="n">
        <v>30.08</v>
      </c>
      <c r="N24" s="0" t="n">
        <v>30.08</v>
      </c>
      <c r="O24" s="0" t="n">
        <v>41.58</v>
      </c>
      <c r="P24" s="0" t="n">
        <v>32.89</v>
      </c>
      <c r="Q24" s="0" t="n">
        <v>35.43</v>
      </c>
      <c r="R24" s="0" t="n">
        <v>30.08</v>
      </c>
      <c r="S24" s="0" t="n">
        <v>59.76</v>
      </c>
      <c r="T24" s="0" t="n">
        <v>45.3</v>
      </c>
      <c r="U24" s="0" t="n">
        <v>30.07</v>
      </c>
      <c r="V24" s="0" t="n">
        <v>30.27</v>
      </c>
      <c r="W24" s="0" t="n">
        <v>30.08</v>
      </c>
      <c r="X24" s="0" t="n">
        <v>0</v>
      </c>
      <c r="Y24" s="0" t="n">
        <v>0</v>
      </c>
    </row>
    <row r="25" customFormat="false" ht="15" hidden="false" customHeight="false" outlineLevel="0" collapsed="false">
      <c r="A25" s="0" t="n">
        <v>8580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57.56</v>
      </c>
      <c r="H25" s="0" t="n">
        <v>84.21</v>
      </c>
      <c r="I25" s="0" t="n">
        <v>44.54</v>
      </c>
      <c r="J25" s="0" t="n">
        <v>79.6</v>
      </c>
      <c r="K25" s="0" t="n">
        <v>44.55</v>
      </c>
      <c r="L25" s="0" t="n">
        <v>44.74</v>
      </c>
      <c r="M25" s="0" t="n">
        <v>50.05</v>
      </c>
      <c r="N25" s="0" t="n">
        <v>68.03</v>
      </c>
      <c r="O25" s="0" t="n">
        <v>100.62</v>
      </c>
      <c r="P25" s="0" t="n">
        <v>68.28</v>
      </c>
      <c r="Q25" s="0" t="n">
        <v>74.86</v>
      </c>
      <c r="R25" s="0" t="n">
        <v>98.21</v>
      </c>
      <c r="S25" s="0" t="n">
        <v>185.93</v>
      </c>
      <c r="T25" s="0" t="n">
        <v>227.02</v>
      </c>
      <c r="U25" s="0" t="n">
        <v>130.45</v>
      </c>
      <c r="V25" s="0" t="n">
        <v>129.43</v>
      </c>
      <c r="W25" s="0" t="n">
        <v>68.32</v>
      </c>
      <c r="X25" s="0" t="n">
        <v>0</v>
      </c>
      <c r="Y25" s="0" t="n">
        <v>0</v>
      </c>
    </row>
    <row r="26" customFormat="false" ht="15" hidden="false" customHeight="false" outlineLevel="0" collapsed="false">
      <c r="A26" s="0" t="n">
        <v>8581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184.43</v>
      </c>
      <c r="H26" s="0" t="n">
        <v>228.2</v>
      </c>
      <c r="I26" s="0" t="n">
        <v>253.06</v>
      </c>
      <c r="J26" s="0" t="n">
        <v>162.55</v>
      </c>
      <c r="K26" s="0" t="n">
        <v>99.76</v>
      </c>
      <c r="L26" s="0" t="n">
        <v>93.71</v>
      </c>
      <c r="M26" s="0" t="n">
        <v>151.01</v>
      </c>
      <c r="N26" s="0" t="n">
        <v>123.8</v>
      </c>
      <c r="O26" s="0" t="n">
        <v>89.88</v>
      </c>
      <c r="P26" s="0" t="n">
        <v>110.76</v>
      </c>
      <c r="Q26" s="0" t="n">
        <v>115.59</v>
      </c>
      <c r="R26" s="0" t="n">
        <v>181.22</v>
      </c>
      <c r="S26" s="0" t="n">
        <v>196.25</v>
      </c>
      <c r="T26" s="0" t="n">
        <v>0</v>
      </c>
      <c r="U26" s="0" t="n">
        <v>123.89</v>
      </c>
      <c r="V26" s="0" t="n">
        <v>110.69</v>
      </c>
      <c r="W26" s="0" t="n">
        <v>82.16</v>
      </c>
      <c r="X26" s="0" t="n">
        <v>0</v>
      </c>
      <c r="Y26" s="0" t="n">
        <v>0</v>
      </c>
    </row>
    <row r="27" customFormat="false" ht="15" hidden="false" customHeight="false" outlineLevel="0" collapsed="false">
      <c r="A27" s="0" t="n">
        <v>8584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290.71</v>
      </c>
      <c r="H27" s="0" t="n">
        <v>324.28</v>
      </c>
      <c r="I27" s="0" t="n">
        <v>271.18</v>
      </c>
      <c r="J27" s="0" t="n">
        <v>294.1</v>
      </c>
      <c r="K27" s="0" t="n">
        <v>305.38</v>
      </c>
      <c r="L27" s="0" t="n">
        <v>240.86</v>
      </c>
      <c r="M27" s="0" t="n">
        <v>379.37</v>
      </c>
      <c r="N27" s="0" t="n">
        <v>463.88</v>
      </c>
      <c r="O27" s="0" t="n">
        <v>533.81</v>
      </c>
      <c r="P27" s="0" t="n">
        <v>372.47</v>
      </c>
      <c r="Q27" s="0" t="n">
        <v>384.38</v>
      </c>
      <c r="R27" s="0" t="n">
        <v>309.32</v>
      </c>
      <c r="S27" s="0" t="n">
        <v>368.67</v>
      </c>
      <c r="T27" s="0" t="n">
        <v>343.52</v>
      </c>
      <c r="U27" s="0" t="n">
        <v>280.31</v>
      </c>
      <c r="V27" s="0" t="n">
        <v>335.76</v>
      </c>
      <c r="W27" s="0" t="n">
        <v>67.21</v>
      </c>
      <c r="X27" s="0" t="n">
        <v>0</v>
      </c>
      <c r="Y27" s="0" t="n">
        <v>0</v>
      </c>
    </row>
    <row r="28" customFormat="false" ht="15" hidden="false" customHeight="false" outlineLevel="0" collapsed="false">
      <c r="A28" s="0" t="n">
        <v>8585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42.64</v>
      </c>
      <c r="H28" s="0" t="n">
        <v>52.53</v>
      </c>
      <c r="I28" s="0" t="n">
        <v>52.52</v>
      </c>
      <c r="J28" s="0" t="n">
        <v>52.53</v>
      </c>
      <c r="K28" s="0" t="n">
        <v>96.36</v>
      </c>
      <c r="L28" s="0" t="n">
        <v>158.5</v>
      </c>
      <c r="M28" s="0" t="n">
        <v>323.81</v>
      </c>
      <c r="N28" s="0" t="n">
        <v>532.71</v>
      </c>
      <c r="O28" s="0" t="n">
        <v>651.11</v>
      </c>
      <c r="P28" s="0" t="n">
        <v>444.67</v>
      </c>
      <c r="Q28" s="0" t="n">
        <v>119.88</v>
      </c>
      <c r="R28" s="0" t="n">
        <v>48.59</v>
      </c>
      <c r="S28" s="0" t="n">
        <v>48.59</v>
      </c>
      <c r="T28" s="0" t="n">
        <v>48.59</v>
      </c>
      <c r="U28" s="0" t="n">
        <v>48.58</v>
      </c>
      <c r="V28" s="0" t="n">
        <v>48.59</v>
      </c>
      <c r="W28" s="0" t="n">
        <v>111.27</v>
      </c>
      <c r="X28" s="0" t="n">
        <v>0</v>
      </c>
      <c r="Y28" s="0" t="n">
        <v>0</v>
      </c>
    </row>
    <row r="29" customFormat="false" ht="15" hidden="false" customHeight="false" outlineLevel="0" collapsed="false">
      <c r="A29" s="0" t="n">
        <v>8586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57.56</v>
      </c>
      <c r="H29" s="0" t="n">
        <v>84.21</v>
      </c>
      <c r="I29" s="0" t="n">
        <v>44.54</v>
      </c>
      <c r="J29" s="0" t="n">
        <v>79.6</v>
      </c>
      <c r="K29" s="0" t="n">
        <v>44.55</v>
      </c>
      <c r="L29" s="0" t="n">
        <v>44.74</v>
      </c>
      <c r="M29" s="0" t="n">
        <v>50.05</v>
      </c>
      <c r="N29" s="0" t="n">
        <v>68.03</v>
      </c>
      <c r="O29" s="0" t="n">
        <v>100.62</v>
      </c>
      <c r="P29" s="0" t="n">
        <v>68.28</v>
      </c>
      <c r="Q29" s="0" t="n">
        <v>74.86</v>
      </c>
      <c r="R29" s="0" t="n">
        <v>98.21</v>
      </c>
      <c r="S29" s="0" t="n">
        <v>185.93</v>
      </c>
      <c r="T29" s="0" t="n">
        <v>227.02</v>
      </c>
      <c r="U29" s="0" t="n">
        <v>130.45</v>
      </c>
      <c r="V29" s="0" t="n">
        <v>129.43</v>
      </c>
      <c r="W29" s="0" t="n">
        <v>68.32</v>
      </c>
      <c r="X29" s="0" t="n">
        <v>0</v>
      </c>
      <c r="Y29" s="0" t="n">
        <v>0</v>
      </c>
    </row>
    <row r="30" customFormat="false" ht="15" hidden="false" customHeight="false" outlineLevel="0" collapsed="false">
      <c r="A30" s="0" t="n">
        <v>8588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109.99</v>
      </c>
      <c r="H30" s="0" t="n">
        <v>103.64</v>
      </c>
      <c r="I30" s="0" t="n">
        <v>88.68</v>
      </c>
      <c r="J30" s="0" t="n">
        <v>82.9</v>
      </c>
      <c r="K30" s="0" t="n">
        <v>70.77</v>
      </c>
      <c r="L30" s="0" t="n">
        <v>60.15</v>
      </c>
      <c r="M30" s="0" t="n">
        <v>65.72</v>
      </c>
      <c r="N30" s="0" t="n">
        <v>71.95</v>
      </c>
      <c r="O30" s="0" t="n">
        <v>80.73</v>
      </c>
      <c r="P30" s="0" t="n">
        <v>75.31</v>
      </c>
      <c r="Q30" s="0" t="n">
        <v>94.24</v>
      </c>
      <c r="R30" s="0" t="n">
        <v>100.13</v>
      </c>
      <c r="S30" s="0" t="n">
        <v>79.2</v>
      </c>
      <c r="T30" s="0" t="n">
        <v>54.04</v>
      </c>
      <c r="U30" s="0" t="n">
        <v>45.11</v>
      </c>
      <c r="V30" s="0" t="n">
        <v>44.24</v>
      </c>
      <c r="W30" s="0" t="n">
        <v>41.17</v>
      </c>
      <c r="X30" s="0" t="n">
        <v>0</v>
      </c>
      <c r="Y30" s="0" t="n">
        <v>0</v>
      </c>
    </row>
    <row r="31" customFormat="false" ht="15" hidden="false" customHeight="false" outlineLevel="0" collapsed="false">
      <c r="A31" s="0" t="n">
        <v>8589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205.47</v>
      </c>
      <c r="H31" s="0" t="n">
        <v>180.57</v>
      </c>
      <c r="I31" s="0" t="n">
        <v>117.27</v>
      </c>
      <c r="J31" s="0" t="n">
        <v>110.2</v>
      </c>
      <c r="K31" s="0" t="n">
        <v>156.35</v>
      </c>
      <c r="L31" s="0" t="n">
        <v>119.87</v>
      </c>
      <c r="M31" s="0" t="n">
        <v>107.22</v>
      </c>
      <c r="N31" s="0" t="n">
        <v>95.46</v>
      </c>
      <c r="O31" s="0" t="n">
        <v>96.08</v>
      </c>
      <c r="P31" s="0" t="n">
        <v>120.23</v>
      </c>
      <c r="Q31" s="0" t="n">
        <v>147.18</v>
      </c>
      <c r="R31" s="0" t="n">
        <v>119.33</v>
      </c>
      <c r="S31" s="0" t="n">
        <v>180.97</v>
      </c>
      <c r="T31" s="0" t="n">
        <v>141.69</v>
      </c>
      <c r="U31" s="0" t="n">
        <v>112.85</v>
      </c>
      <c r="V31" s="0" t="n">
        <v>113.52</v>
      </c>
      <c r="W31" s="0" t="n">
        <v>101.6</v>
      </c>
      <c r="X31" s="0" t="n">
        <v>0</v>
      </c>
      <c r="Y31" s="0" t="n">
        <v>0</v>
      </c>
    </row>
    <row r="32" customFormat="false" ht="15" hidden="false" customHeight="false" outlineLevel="0" collapsed="false">
      <c r="A32" s="0" t="n">
        <v>8590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140.66</v>
      </c>
      <c r="H32" s="0" t="n">
        <v>134.18</v>
      </c>
      <c r="I32" s="0" t="n">
        <v>89.76</v>
      </c>
      <c r="J32" s="0" t="n">
        <v>109.97</v>
      </c>
      <c r="K32" s="0" t="n">
        <v>103.97</v>
      </c>
      <c r="L32" s="0" t="n">
        <v>101.4</v>
      </c>
      <c r="M32" s="0" t="n">
        <v>119.43</v>
      </c>
      <c r="N32" s="0" t="n">
        <v>157.59</v>
      </c>
      <c r="O32" s="0" t="n">
        <v>113.58</v>
      </c>
      <c r="P32" s="0" t="n">
        <v>111.7</v>
      </c>
      <c r="Q32" s="0" t="n">
        <v>107.47</v>
      </c>
      <c r="R32" s="0" t="n">
        <v>104.65</v>
      </c>
      <c r="S32" s="0" t="n">
        <v>129.96</v>
      </c>
      <c r="T32" s="0" t="n">
        <v>127.07</v>
      </c>
      <c r="U32" s="0" t="n">
        <v>121.45</v>
      </c>
      <c r="V32" s="0" t="n">
        <v>103.58</v>
      </c>
      <c r="W32" s="0" t="n">
        <v>78.2</v>
      </c>
      <c r="X32" s="0" t="n">
        <v>0</v>
      </c>
      <c r="Y32" s="0" t="n">
        <v>0</v>
      </c>
    </row>
    <row r="33" customFormat="false" ht="15" hidden="false" customHeight="false" outlineLevel="0" collapsed="false">
      <c r="A33" s="0" t="n">
        <v>8593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250.33</v>
      </c>
      <c r="H33" s="0" t="n">
        <v>300.47</v>
      </c>
      <c r="I33" s="0" t="n">
        <v>153.37</v>
      </c>
      <c r="J33" s="0" t="n">
        <v>98.05</v>
      </c>
      <c r="K33" s="0" t="n">
        <v>46.76</v>
      </c>
      <c r="L33" s="0" t="n">
        <v>46.95</v>
      </c>
      <c r="M33" s="0" t="n">
        <v>66.99</v>
      </c>
      <c r="N33" s="0" t="n">
        <v>80.47</v>
      </c>
      <c r="O33" s="0" t="n">
        <v>46.95</v>
      </c>
      <c r="P33" s="0" t="n">
        <v>46.95</v>
      </c>
      <c r="Q33" s="0" t="n">
        <v>47.59</v>
      </c>
      <c r="R33" s="0" t="n">
        <v>50.27</v>
      </c>
      <c r="S33" s="0" t="n">
        <v>81.56</v>
      </c>
      <c r="T33" s="0" t="n">
        <v>86.93</v>
      </c>
      <c r="U33" s="0" t="n">
        <v>118.72</v>
      </c>
      <c r="V33" s="0" t="n">
        <v>137.71</v>
      </c>
      <c r="W33" s="0" t="n">
        <v>70.26</v>
      </c>
      <c r="X33" s="0" t="n">
        <v>0</v>
      </c>
      <c r="Y33" s="0" t="n">
        <v>0</v>
      </c>
    </row>
    <row r="34" customFormat="false" ht="15" hidden="false" customHeight="false" outlineLevel="0" collapsed="false">
      <c r="A34" s="0" t="n">
        <v>8594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151.14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95.38</v>
      </c>
      <c r="O34" s="0" t="n">
        <v>123.9</v>
      </c>
      <c r="P34" s="0" t="n">
        <v>69.87</v>
      </c>
      <c r="Q34" s="0" t="n">
        <v>49.33</v>
      </c>
      <c r="R34" s="0" t="n">
        <v>0</v>
      </c>
      <c r="S34" s="0" t="n">
        <v>42.49</v>
      </c>
      <c r="T34" s="0" t="n">
        <v>111.24</v>
      </c>
      <c r="U34" s="0" t="n">
        <v>93.63</v>
      </c>
      <c r="V34" s="0" t="n">
        <v>97.9</v>
      </c>
      <c r="W34" s="0" t="n">
        <v>42.2</v>
      </c>
      <c r="X34" s="0" t="n">
        <v>0</v>
      </c>
      <c r="Y34" s="0" t="n">
        <v>0</v>
      </c>
    </row>
    <row r="35" customFormat="false" ht="15" hidden="false" customHeight="false" outlineLevel="0" collapsed="false">
      <c r="A35" s="0" t="n">
        <v>8597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183.99</v>
      </c>
      <c r="H35" s="0" t="n">
        <v>208.66</v>
      </c>
      <c r="I35" s="0" t="n">
        <v>164.96</v>
      </c>
      <c r="J35" s="0" t="n">
        <v>184.6</v>
      </c>
      <c r="K35" s="0" t="n">
        <v>105.48</v>
      </c>
      <c r="L35" s="0" t="n">
        <v>99.48</v>
      </c>
      <c r="M35" s="0" t="n">
        <v>125.01</v>
      </c>
      <c r="N35" s="0" t="n">
        <v>160.11</v>
      </c>
      <c r="O35" s="0" t="n">
        <v>158.62</v>
      </c>
      <c r="P35" s="0" t="n">
        <v>121.02</v>
      </c>
      <c r="Q35" s="0" t="n">
        <v>144.5</v>
      </c>
      <c r="R35" s="0" t="n">
        <v>171.88</v>
      </c>
      <c r="S35" s="0" t="n">
        <v>180.64</v>
      </c>
      <c r="T35" s="0" t="n">
        <v>279.86</v>
      </c>
      <c r="U35" s="0" t="n">
        <v>154.99</v>
      </c>
      <c r="V35" s="0" t="n">
        <v>162.32</v>
      </c>
      <c r="W35" s="0" t="n">
        <v>116.13</v>
      </c>
      <c r="X35" s="0" t="n">
        <v>0</v>
      </c>
      <c r="Y35" s="0" t="n">
        <v>0</v>
      </c>
    </row>
    <row r="36" customFormat="false" ht="15" hidden="false" customHeight="false" outlineLevel="0" collapsed="false">
      <c r="A36" s="0" t="n">
        <v>8599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34.93</v>
      </c>
      <c r="H36" s="0" t="n">
        <v>40.56</v>
      </c>
      <c r="I36" s="0" t="n">
        <v>28.45</v>
      </c>
      <c r="J36" s="0" t="n">
        <v>32.65</v>
      </c>
      <c r="K36" s="0" t="n">
        <v>28.32</v>
      </c>
      <c r="L36" s="0" t="n">
        <v>24.49</v>
      </c>
      <c r="M36" s="0" t="n">
        <v>38.8</v>
      </c>
      <c r="N36" s="0" t="n">
        <v>35.69</v>
      </c>
      <c r="O36" s="0" t="n">
        <v>36.82</v>
      </c>
      <c r="P36" s="0" t="n">
        <v>32.56</v>
      </c>
      <c r="Q36" s="0" t="n">
        <v>39.99</v>
      </c>
      <c r="R36" s="0" t="n">
        <v>36.5</v>
      </c>
      <c r="S36" s="0" t="n">
        <v>41.24</v>
      </c>
      <c r="T36" s="0" t="n">
        <v>45.72</v>
      </c>
      <c r="U36" s="0" t="n">
        <v>29.07</v>
      </c>
      <c r="V36" s="0" t="n">
        <v>32.75</v>
      </c>
      <c r="W36" s="0" t="n">
        <v>28.68</v>
      </c>
      <c r="X36" s="0" t="n">
        <v>0</v>
      </c>
      <c r="Y36" s="0" t="n">
        <v>0</v>
      </c>
    </row>
    <row r="37" customFormat="false" ht="15" hidden="false" customHeight="false" outlineLevel="0" collapsed="false">
      <c r="A37" s="0" t="n">
        <v>8600</v>
      </c>
      <c r="B37" s="0" t="n">
        <v>0</v>
      </c>
      <c r="C37" s="0" t="n">
        <v>0</v>
      </c>
      <c r="D37" s="0" t="n">
        <v>0</v>
      </c>
      <c r="E37" s="0" t="n">
        <v>177.12</v>
      </c>
      <c r="F37" s="0" t="n">
        <v>204.62</v>
      </c>
      <c r="G37" s="0" t="n">
        <v>217.29</v>
      </c>
      <c r="H37" s="0" t="n">
        <v>120.17</v>
      </c>
      <c r="I37" s="0" t="n">
        <v>215.39</v>
      </c>
      <c r="J37" s="0" t="n">
        <v>192.67</v>
      </c>
      <c r="K37" s="0" t="n">
        <v>186.75</v>
      </c>
      <c r="L37" s="0" t="n">
        <v>256.6</v>
      </c>
      <c r="M37" s="0" t="n">
        <v>320.88</v>
      </c>
      <c r="N37" s="0" t="n">
        <v>513.52</v>
      </c>
      <c r="O37" s="0" t="n">
        <v>434.38</v>
      </c>
      <c r="P37" s="0" t="n">
        <v>379.45</v>
      </c>
      <c r="Q37" s="0" t="n">
        <v>311.35</v>
      </c>
      <c r="R37" s="0" t="n">
        <v>170.8</v>
      </c>
      <c r="S37" s="0" t="n">
        <v>165</v>
      </c>
      <c r="T37" s="0" t="n">
        <v>160.49</v>
      </c>
      <c r="U37" s="0" t="n">
        <v>211.41</v>
      </c>
      <c r="V37" s="0" t="n">
        <v>194.07</v>
      </c>
      <c r="W37" s="0" t="n">
        <v>204.35</v>
      </c>
      <c r="X37" s="0" t="n">
        <v>0</v>
      </c>
      <c r="Y37" s="0" t="n">
        <v>0</v>
      </c>
    </row>
    <row r="38" customFormat="false" ht="15" hidden="false" customHeight="false" outlineLevel="0" collapsed="false">
      <c r="A38" s="0" t="n">
        <v>8601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48.8</v>
      </c>
      <c r="H38" s="0" t="n">
        <v>87.84</v>
      </c>
      <c r="I38" s="0" t="n">
        <v>47.65</v>
      </c>
      <c r="J38" s="0" t="n">
        <v>56.89</v>
      </c>
      <c r="K38" s="0" t="n">
        <v>54.07</v>
      </c>
      <c r="L38" s="0" t="n">
        <v>53.92</v>
      </c>
      <c r="M38" s="0" t="n">
        <v>76.54</v>
      </c>
      <c r="N38" s="0" t="n">
        <v>42.09</v>
      </c>
      <c r="O38" s="0" t="n">
        <v>39.38</v>
      </c>
      <c r="P38" s="0" t="n">
        <v>74.06</v>
      </c>
      <c r="Q38" s="0" t="n">
        <v>82.16</v>
      </c>
      <c r="R38" s="0" t="n">
        <v>50.76</v>
      </c>
      <c r="S38" s="0" t="n">
        <v>68.32</v>
      </c>
      <c r="T38" s="0" t="n">
        <v>74.95</v>
      </c>
      <c r="U38" s="0" t="n">
        <v>74.28</v>
      </c>
      <c r="V38" s="0" t="n">
        <v>67.62</v>
      </c>
      <c r="W38" s="0" t="n">
        <v>68.56</v>
      </c>
      <c r="X38" s="0" t="n">
        <v>0</v>
      </c>
      <c r="Y38" s="0" t="n">
        <v>0</v>
      </c>
    </row>
    <row r="39" customFormat="false" ht="15" hidden="false" customHeight="false" outlineLevel="0" collapsed="false">
      <c r="A39" s="0" t="n">
        <v>8604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101.08</v>
      </c>
      <c r="H39" s="0" t="n">
        <v>100.46</v>
      </c>
      <c r="I39" s="0" t="n">
        <v>67.75</v>
      </c>
      <c r="J39" s="0" t="n">
        <v>70.88</v>
      </c>
      <c r="K39" s="0" t="n">
        <v>33.21</v>
      </c>
      <c r="L39" s="0" t="n">
        <v>46.03</v>
      </c>
      <c r="M39" s="0" t="n">
        <v>63.22</v>
      </c>
      <c r="N39" s="0" t="n">
        <v>43.54</v>
      </c>
      <c r="O39" s="0" t="n">
        <v>97.03</v>
      </c>
      <c r="P39" s="0" t="n">
        <v>53.97</v>
      </c>
      <c r="Q39" s="0" t="n">
        <v>70.02</v>
      </c>
      <c r="R39" s="0" t="n">
        <v>65.2</v>
      </c>
      <c r="S39" s="0" t="n">
        <v>75.99</v>
      </c>
      <c r="T39" s="0" t="n">
        <v>74.93</v>
      </c>
      <c r="U39" s="0" t="n">
        <v>73.78</v>
      </c>
      <c r="V39" s="0" t="n">
        <v>153.96</v>
      </c>
      <c r="W39" s="0" t="n">
        <v>66.73</v>
      </c>
      <c r="X39" s="0" t="n">
        <v>0</v>
      </c>
      <c r="Y39" s="0" t="n">
        <v>0</v>
      </c>
    </row>
    <row r="40" customFormat="false" ht="15" hidden="false" customHeight="false" outlineLevel="0" collapsed="false">
      <c r="A40" s="0" t="n">
        <v>8605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89.75</v>
      </c>
      <c r="H40" s="0" t="n">
        <v>108.92</v>
      </c>
      <c r="I40" s="0" t="n">
        <v>73.59</v>
      </c>
      <c r="J40" s="0" t="n">
        <v>77.8</v>
      </c>
      <c r="K40" s="0" t="n">
        <v>61.24</v>
      </c>
      <c r="L40" s="0" t="n">
        <v>63.51</v>
      </c>
      <c r="M40" s="0" t="n">
        <v>96.98</v>
      </c>
      <c r="N40" s="0" t="n">
        <v>81.79</v>
      </c>
      <c r="O40" s="0" t="n">
        <v>88.77</v>
      </c>
      <c r="P40" s="0" t="n">
        <v>74.94</v>
      </c>
      <c r="Q40" s="0" t="n">
        <v>73.06</v>
      </c>
      <c r="R40" s="0" t="n">
        <v>77.56</v>
      </c>
      <c r="S40" s="0" t="n">
        <v>93.16</v>
      </c>
      <c r="T40" s="0" t="n">
        <v>91.18</v>
      </c>
      <c r="U40" s="0" t="n">
        <v>67.79</v>
      </c>
      <c r="V40" s="0" t="n">
        <v>75.66</v>
      </c>
      <c r="W40" s="0" t="n">
        <v>57.57</v>
      </c>
      <c r="X40" s="0" t="n">
        <v>0</v>
      </c>
      <c r="Y40" s="0" t="n">
        <v>0</v>
      </c>
    </row>
    <row r="41" customFormat="false" ht="15" hidden="false" customHeight="false" outlineLevel="0" collapsed="false">
      <c r="A41" s="0" t="n">
        <v>8606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90.02</v>
      </c>
      <c r="H41" s="0" t="n">
        <v>133.35</v>
      </c>
      <c r="I41" s="0" t="n">
        <v>87.14</v>
      </c>
      <c r="J41" s="0" t="n">
        <v>80.25</v>
      </c>
      <c r="K41" s="0" t="n">
        <v>53.25</v>
      </c>
      <c r="L41" s="0" t="n">
        <v>42.98</v>
      </c>
      <c r="M41" s="0" t="n">
        <v>51.71</v>
      </c>
      <c r="N41" s="0" t="n">
        <v>75.05</v>
      </c>
      <c r="O41" s="0" t="n">
        <v>105.46</v>
      </c>
      <c r="P41" s="0" t="n">
        <v>67.14</v>
      </c>
      <c r="Q41" s="0" t="n">
        <v>65.41</v>
      </c>
      <c r="R41" s="0" t="n">
        <v>70.95</v>
      </c>
      <c r="S41" s="0" t="n">
        <v>61.44</v>
      </c>
      <c r="T41" s="0" t="n">
        <v>55.79</v>
      </c>
      <c r="U41" s="0" t="n">
        <v>58.96</v>
      </c>
      <c r="V41" s="0" t="n">
        <v>59.58</v>
      </c>
      <c r="W41" s="0" t="n">
        <v>31.76</v>
      </c>
      <c r="X41" s="0" t="n">
        <v>0</v>
      </c>
      <c r="Y41" s="0" t="n">
        <v>0</v>
      </c>
    </row>
    <row r="42" customFormat="false" ht="15" hidden="false" customHeight="false" outlineLevel="0" collapsed="false">
      <c r="A42" s="0" t="n">
        <v>8607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206.38</v>
      </c>
      <c r="H42" s="0" t="n">
        <v>195.81</v>
      </c>
      <c r="I42" s="0" t="n">
        <v>143.12</v>
      </c>
      <c r="J42" s="0" t="n">
        <v>105.5</v>
      </c>
      <c r="K42" s="0" t="n">
        <v>61.13</v>
      </c>
      <c r="L42" s="0" t="n">
        <v>55.64</v>
      </c>
      <c r="M42" s="0" t="n">
        <v>2296.4</v>
      </c>
      <c r="N42" s="0" t="n">
        <v>68.33</v>
      </c>
      <c r="O42" s="0" t="n">
        <v>73.64</v>
      </c>
      <c r="P42" s="0" t="n">
        <v>67.28</v>
      </c>
      <c r="Q42" s="0" t="n">
        <v>71.22</v>
      </c>
      <c r="R42" s="0" t="n">
        <v>115.97</v>
      </c>
      <c r="S42" s="0" t="n">
        <v>141.81</v>
      </c>
      <c r="T42" s="0" t="n">
        <v>189.29</v>
      </c>
      <c r="U42" s="0" t="n">
        <v>147.98</v>
      </c>
      <c r="V42" s="0" t="n">
        <v>177.84</v>
      </c>
      <c r="W42" s="0" t="n">
        <v>107.11</v>
      </c>
      <c r="X42" s="0" t="n">
        <v>0</v>
      </c>
      <c r="Y42" s="0" t="n">
        <v>0</v>
      </c>
    </row>
    <row r="43" customFormat="false" ht="15" hidden="false" customHeight="false" outlineLevel="0" collapsed="false">
      <c r="A43" s="0" t="n">
        <v>8611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40.13</v>
      </c>
      <c r="H43" s="0" t="n">
        <v>113.72</v>
      </c>
      <c r="I43" s="0" t="n">
        <v>75.18</v>
      </c>
      <c r="J43" s="0" t="n">
        <v>54.02</v>
      </c>
      <c r="K43" s="0" t="n">
        <v>53.3</v>
      </c>
      <c r="L43" s="0" t="n">
        <v>53.49</v>
      </c>
      <c r="M43" s="0" t="n">
        <v>66.13</v>
      </c>
      <c r="N43" s="0" t="n">
        <v>53.49</v>
      </c>
      <c r="O43" s="0" t="n">
        <v>53.49</v>
      </c>
      <c r="P43" s="0" t="n">
        <v>53.49</v>
      </c>
      <c r="Q43" s="0" t="n">
        <v>59.64</v>
      </c>
      <c r="R43" s="0" t="n">
        <v>53.49</v>
      </c>
      <c r="S43" s="0" t="n">
        <v>53.49</v>
      </c>
      <c r="T43" s="0" t="n">
        <v>53.49</v>
      </c>
      <c r="U43" s="0" t="n">
        <v>84.44</v>
      </c>
      <c r="V43" s="0" t="n">
        <v>86.3</v>
      </c>
      <c r="W43" s="0" t="n">
        <v>53.49</v>
      </c>
      <c r="X43" s="0" t="n">
        <v>0</v>
      </c>
      <c r="Y43" s="0" t="n">
        <v>0</v>
      </c>
    </row>
    <row r="44" customFormat="false" ht="15" hidden="false" customHeight="false" outlineLevel="0" collapsed="false">
      <c r="A44" s="0" t="n">
        <v>8612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347.11</v>
      </c>
      <c r="H44" s="0" t="n">
        <v>371.75</v>
      </c>
      <c r="I44" s="0" t="n">
        <v>300.62</v>
      </c>
      <c r="J44" s="0" t="n">
        <v>294.73</v>
      </c>
      <c r="K44" s="0" t="n">
        <v>169.66</v>
      </c>
      <c r="L44" s="0" t="n">
        <v>79.89</v>
      </c>
      <c r="M44" s="0" t="n">
        <v>63.9</v>
      </c>
      <c r="N44" s="0" t="n">
        <v>53.49</v>
      </c>
      <c r="O44" s="0" t="n">
        <v>83.14</v>
      </c>
      <c r="P44" s="0" t="n">
        <v>68.13</v>
      </c>
      <c r="Q44" s="0" t="n">
        <v>65.56</v>
      </c>
      <c r="R44" s="0" t="n">
        <v>165.45</v>
      </c>
      <c r="S44" s="0" t="n">
        <v>344.09</v>
      </c>
      <c r="T44" s="0" t="n">
        <v>343.37</v>
      </c>
      <c r="U44" s="0" t="n">
        <v>215.59</v>
      </c>
      <c r="V44" s="0" t="n">
        <v>339.06</v>
      </c>
      <c r="W44" s="0" t="n">
        <v>133.97</v>
      </c>
      <c r="X44" s="0" t="n">
        <v>0</v>
      </c>
      <c r="Y44" s="0" t="n">
        <v>0</v>
      </c>
    </row>
    <row r="45" customFormat="false" ht="15" hidden="false" customHeight="false" outlineLevel="0" collapsed="false">
      <c r="A45" s="0" t="n">
        <v>8613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118.49</v>
      </c>
      <c r="H45" s="0" t="n">
        <v>154.22</v>
      </c>
      <c r="I45" s="0" t="n">
        <v>87.47</v>
      </c>
      <c r="J45" s="0" t="n">
        <v>83.49</v>
      </c>
      <c r="K45" s="0" t="n">
        <v>78.65</v>
      </c>
      <c r="L45" s="0" t="n">
        <v>78.84</v>
      </c>
      <c r="M45" s="0" t="n">
        <v>121.87</v>
      </c>
      <c r="N45" s="0" t="n">
        <v>124.02</v>
      </c>
      <c r="O45" s="0" t="n">
        <v>93.77</v>
      </c>
      <c r="P45" s="0" t="n">
        <v>93.31</v>
      </c>
      <c r="Q45" s="0" t="n">
        <v>94.56</v>
      </c>
      <c r="R45" s="0" t="n">
        <v>93.5</v>
      </c>
      <c r="S45" s="0" t="n">
        <v>165.13</v>
      </c>
      <c r="T45" s="0" t="n">
        <v>175.03</v>
      </c>
      <c r="U45" s="0" t="n">
        <v>121.96</v>
      </c>
      <c r="V45" s="0" t="n">
        <v>78.84</v>
      </c>
      <c r="W45" s="0" t="n">
        <v>78.84</v>
      </c>
      <c r="X45" s="0" t="n">
        <v>0</v>
      </c>
      <c r="Y45" s="0" t="n">
        <v>0</v>
      </c>
    </row>
    <row r="46" customFormat="false" ht="15" hidden="false" customHeight="false" outlineLevel="0" collapsed="false">
      <c r="A46" s="0" t="n">
        <v>8614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39.85</v>
      </c>
      <c r="H46" s="0" t="n">
        <v>51.78</v>
      </c>
      <c r="I46" s="0" t="n">
        <v>37.33</v>
      </c>
      <c r="J46" s="0" t="n">
        <v>41.41</v>
      </c>
      <c r="K46" s="0" t="n">
        <v>97.03</v>
      </c>
      <c r="L46" s="0" t="n">
        <v>0</v>
      </c>
      <c r="M46" s="0" t="n">
        <v>0</v>
      </c>
      <c r="N46" s="0" t="n">
        <v>42.75</v>
      </c>
      <c r="O46" s="0" t="n">
        <v>31.97</v>
      </c>
      <c r="P46" s="0" t="n">
        <v>0</v>
      </c>
      <c r="Q46" s="0" t="n">
        <v>52.56</v>
      </c>
      <c r="R46" s="0" t="n">
        <v>44.32</v>
      </c>
      <c r="S46" s="0" t="n">
        <v>39.84</v>
      </c>
      <c r="T46" s="0" t="n">
        <v>45.55</v>
      </c>
      <c r="U46" s="0" t="n">
        <v>44.05</v>
      </c>
      <c r="V46" s="0" t="n">
        <v>37.65</v>
      </c>
      <c r="W46" s="0" t="n">
        <v>36.42</v>
      </c>
      <c r="X46" s="0" t="n">
        <v>0</v>
      </c>
      <c r="Y46" s="0" t="n">
        <v>0</v>
      </c>
    </row>
    <row r="47" customFormat="false" ht="15" hidden="false" customHeight="false" outlineLevel="0" collapsed="false">
      <c r="A47" s="0" t="n">
        <v>8617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24.44</v>
      </c>
      <c r="H47" s="0" t="n">
        <v>103.27</v>
      </c>
      <c r="I47" s="0" t="n">
        <v>38.12</v>
      </c>
      <c r="J47" s="0" t="n">
        <v>30.84</v>
      </c>
      <c r="K47" s="0" t="n">
        <v>62.64</v>
      </c>
      <c r="L47" s="0" t="n">
        <v>48.65</v>
      </c>
      <c r="M47" s="0" t="n">
        <v>38.22</v>
      </c>
      <c r="N47" s="0" t="n">
        <v>30.61</v>
      </c>
      <c r="O47" s="0" t="n">
        <v>30.61</v>
      </c>
      <c r="P47" s="0" t="n">
        <v>30.61</v>
      </c>
      <c r="Q47" s="0" t="n">
        <v>30.61</v>
      </c>
      <c r="R47" s="0" t="n">
        <v>46.48</v>
      </c>
      <c r="S47" s="0" t="n">
        <v>34.29</v>
      </c>
      <c r="T47" s="0" t="n">
        <v>31.16</v>
      </c>
      <c r="U47" s="0" t="n">
        <v>30.6</v>
      </c>
      <c r="V47" s="0" t="n">
        <v>30.61</v>
      </c>
      <c r="W47" s="0" t="n">
        <v>30.61</v>
      </c>
      <c r="X47" s="0" t="n">
        <v>0</v>
      </c>
      <c r="Y47" s="0" t="n">
        <v>0</v>
      </c>
    </row>
    <row r="48" customFormat="false" ht="15" hidden="false" customHeight="false" outlineLevel="0" collapsed="false">
      <c r="A48" s="0" t="n">
        <v>8618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142.7</v>
      </c>
      <c r="H48" s="0" t="n">
        <v>158.03</v>
      </c>
      <c r="I48" s="0" t="n">
        <v>104.93</v>
      </c>
      <c r="J48" s="0" t="n">
        <v>109.06</v>
      </c>
      <c r="K48" s="0" t="n">
        <v>62.3</v>
      </c>
      <c r="L48" s="0" t="n">
        <v>62.29</v>
      </c>
      <c r="M48" s="0" t="n">
        <v>157.8</v>
      </c>
      <c r="N48" s="0" t="n">
        <v>198.54</v>
      </c>
      <c r="O48" s="0" t="n">
        <v>134.89</v>
      </c>
      <c r="P48" s="0" t="n">
        <v>110.65</v>
      </c>
      <c r="Q48" s="0" t="n">
        <v>105.97</v>
      </c>
      <c r="R48" s="0" t="n">
        <v>117.91</v>
      </c>
      <c r="S48" s="0" t="n">
        <v>123.7</v>
      </c>
      <c r="T48" s="0" t="n">
        <v>98.87</v>
      </c>
      <c r="U48" s="0" t="n">
        <v>105.2</v>
      </c>
      <c r="V48" s="0" t="n">
        <v>90.93</v>
      </c>
      <c r="W48" s="0" t="n">
        <v>57.95</v>
      </c>
      <c r="X48" s="0" t="n">
        <v>0</v>
      </c>
      <c r="Y48" s="0" t="n">
        <v>0</v>
      </c>
    </row>
    <row r="49" customFormat="false" ht="15" hidden="false" customHeight="false" outlineLevel="0" collapsed="false">
      <c r="A49" s="0" t="n">
        <v>8620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36.64</v>
      </c>
      <c r="H49" s="0" t="n">
        <v>50.58</v>
      </c>
      <c r="I49" s="0" t="n">
        <v>40.66</v>
      </c>
      <c r="J49" s="0" t="n">
        <v>36.23</v>
      </c>
      <c r="K49" s="0" t="n">
        <v>56.58</v>
      </c>
      <c r="L49" s="0" t="n">
        <v>36.42</v>
      </c>
      <c r="M49" s="0" t="n">
        <v>73.55</v>
      </c>
      <c r="N49" s="0" t="n">
        <v>129.06</v>
      </c>
      <c r="O49" s="0" t="n">
        <v>123.92</v>
      </c>
      <c r="P49" s="0" t="n">
        <v>91.35</v>
      </c>
      <c r="Q49" s="0" t="n">
        <v>61.86</v>
      </c>
      <c r="R49" s="0" t="n">
        <v>36.42</v>
      </c>
      <c r="S49" s="0" t="n">
        <v>36.42</v>
      </c>
      <c r="T49" s="0" t="n">
        <v>36.42</v>
      </c>
      <c r="U49" s="0" t="n">
        <v>36.41</v>
      </c>
      <c r="V49" s="0" t="n">
        <v>36.42</v>
      </c>
      <c r="W49" s="0" t="n">
        <v>36.42</v>
      </c>
      <c r="X49" s="0" t="n">
        <v>0</v>
      </c>
      <c r="Y49" s="0" t="n">
        <v>0</v>
      </c>
    </row>
    <row r="50" customFormat="false" ht="15" hidden="false" customHeight="false" outlineLevel="0" collapsed="false">
      <c r="A50" s="0" t="n">
        <v>8621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4.17</v>
      </c>
      <c r="H50" s="0" t="n">
        <v>38.81</v>
      </c>
      <c r="I50" s="0" t="n">
        <v>29.88</v>
      </c>
      <c r="J50" s="0" t="n">
        <v>29.89</v>
      </c>
      <c r="K50" s="0" t="n">
        <v>29.89</v>
      </c>
      <c r="L50" s="0" t="n">
        <v>30.08</v>
      </c>
      <c r="M50" s="0" t="n">
        <v>30.08</v>
      </c>
      <c r="N50" s="0" t="n">
        <v>30.08</v>
      </c>
      <c r="O50" s="0" t="n">
        <v>41.58</v>
      </c>
      <c r="P50" s="0" t="n">
        <v>32.89</v>
      </c>
      <c r="Q50" s="0" t="n">
        <v>35.43</v>
      </c>
      <c r="R50" s="0" t="n">
        <v>30.08</v>
      </c>
      <c r="S50" s="0" t="n">
        <v>59.76</v>
      </c>
      <c r="T50" s="0" t="n">
        <v>45.3</v>
      </c>
      <c r="U50" s="0" t="n">
        <v>30.07</v>
      </c>
      <c r="V50" s="0" t="n">
        <v>30.27</v>
      </c>
      <c r="W50" s="0" t="n">
        <v>30.08</v>
      </c>
      <c r="X50" s="0" t="n">
        <v>0</v>
      </c>
      <c r="Y50" s="0" t="n">
        <v>0</v>
      </c>
    </row>
    <row r="51" customFormat="false" ht="15" hidden="false" customHeight="false" outlineLevel="0" collapsed="false">
      <c r="A51" s="0" t="n">
        <v>8622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187.37</v>
      </c>
      <c r="H51" s="0" t="n">
        <v>356.58</v>
      </c>
      <c r="I51" s="0" t="n">
        <v>235.43</v>
      </c>
      <c r="J51" s="0" t="n">
        <v>209.2</v>
      </c>
      <c r="K51" s="0" t="n">
        <v>182.14</v>
      </c>
      <c r="L51" s="0" t="n">
        <v>207.52</v>
      </c>
      <c r="M51" s="0" t="n">
        <v>386.58</v>
      </c>
      <c r="N51" s="0" t="n">
        <v>538.58</v>
      </c>
      <c r="O51" s="0" t="n">
        <v>419.91</v>
      </c>
      <c r="P51" s="0" t="n">
        <v>343.48</v>
      </c>
      <c r="Q51" s="0" t="n">
        <v>342.43</v>
      </c>
      <c r="R51" s="0" t="n">
        <v>233.64</v>
      </c>
      <c r="S51" s="0" t="n">
        <v>286.64</v>
      </c>
      <c r="T51" s="0" t="n">
        <v>392.56</v>
      </c>
      <c r="U51" s="0" t="n">
        <v>325.89</v>
      </c>
      <c r="V51" s="0" t="n">
        <v>280.12</v>
      </c>
      <c r="W51" s="0" t="n">
        <v>251.73</v>
      </c>
      <c r="X51" s="0" t="n">
        <v>0</v>
      </c>
      <c r="Y51" s="0" t="n">
        <v>0</v>
      </c>
    </row>
    <row r="52" customFormat="false" ht="15" hidden="false" customHeight="false" outlineLevel="0" collapsed="false">
      <c r="A52" s="0" t="n">
        <v>8623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197.21</v>
      </c>
      <c r="H52" s="0" t="n">
        <v>107.96</v>
      </c>
      <c r="I52" s="0" t="n">
        <v>57.75</v>
      </c>
      <c r="J52" s="0" t="n">
        <v>57.76</v>
      </c>
      <c r="K52" s="0" t="n">
        <v>156.48</v>
      </c>
      <c r="L52" s="0" t="n">
        <v>109.34</v>
      </c>
      <c r="M52" s="0" t="n">
        <v>81.96</v>
      </c>
      <c r="N52" s="0" t="n">
        <v>104.55</v>
      </c>
      <c r="O52" s="0" t="n">
        <v>64.71</v>
      </c>
      <c r="P52" s="0" t="n">
        <v>144.05</v>
      </c>
      <c r="Q52" s="0" t="n">
        <v>114.68</v>
      </c>
      <c r="R52" s="0" t="n">
        <v>57.95</v>
      </c>
      <c r="S52" s="0" t="n">
        <v>155.67</v>
      </c>
      <c r="T52" s="0" t="n">
        <v>95.69</v>
      </c>
      <c r="U52" s="0" t="n">
        <v>73.01</v>
      </c>
      <c r="V52" s="0" t="n">
        <v>131.64</v>
      </c>
      <c r="W52" s="0" t="n">
        <v>214.16</v>
      </c>
      <c r="X52" s="0" t="n">
        <v>0</v>
      </c>
      <c r="Y52" s="0" t="n">
        <v>0</v>
      </c>
    </row>
    <row r="53" customFormat="false" ht="15" hidden="false" customHeight="false" outlineLevel="0" collapsed="false">
      <c r="A53" s="0" t="n">
        <v>8624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180.47</v>
      </c>
      <c r="H53" s="0" t="n">
        <v>158.91</v>
      </c>
      <c r="I53" s="0" t="n">
        <v>141.13</v>
      </c>
      <c r="J53" s="0" t="n">
        <v>152.98</v>
      </c>
      <c r="K53" s="0" t="n">
        <v>157.74</v>
      </c>
      <c r="L53" s="0" t="n">
        <v>113.65</v>
      </c>
      <c r="M53" s="0" t="n">
        <v>193.9</v>
      </c>
      <c r="N53" s="0" t="n">
        <v>208.65</v>
      </c>
      <c r="O53" s="0" t="n">
        <v>154.35</v>
      </c>
      <c r="P53" s="0" t="n">
        <v>155.61</v>
      </c>
      <c r="Q53" s="0" t="n">
        <v>97.8</v>
      </c>
      <c r="R53" s="0" t="n">
        <v>151.27</v>
      </c>
      <c r="S53" s="0" t="n">
        <v>251.03</v>
      </c>
      <c r="T53" s="0" t="n">
        <v>157.49</v>
      </c>
      <c r="U53" s="0" t="n">
        <v>190.46</v>
      </c>
      <c r="V53" s="0" t="n">
        <v>136.69</v>
      </c>
      <c r="W53" s="0" t="n">
        <v>63.08</v>
      </c>
      <c r="X53" s="0" t="n">
        <v>0</v>
      </c>
      <c r="Y53" s="0" t="n">
        <v>0</v>
      </c>
    </row>
    <row r="54" customFormat="false" ht="15" hidden="false" customHeight="false" outlineLevel="0" collapsed="false">
      <c r="A54" s="0" t="n">
        <v>8625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69.32</v>
      </c>
      <c r="H54" s="0" t="n">
        <v>68.18</v>
      </c>
      <c r="I54" s="0" t="n">
        <v>67.91</v>
      </c>
      <c r="J54" s="0" t="n">
        <v>65.5</v>
      </c>
      <c r="K54" s="0" t="n">
        <v>63</v>
      </c>
      <c r="L54" s="0" t="n">
        <v>66.74</v>
      </c>
      <c r="M54" s="0" t="n">
        <v>76.22</v>
      </c>
      <c r="N54" s="0" t="n">
        <v>103.09</v>
      </c>
      <c r="O54" s="0" t="n">
        <v>113.81</v>
      </c>
      <c r="P54" s="0" t="n">
        <v>63.43</v>
      </c>
      <c r="Q54" s="0" t="n">
        <v>65.43</v>
      </c>
      <c r="R54" s="0" t="n">
        <v>70.01</v>
      </c>
      <c r="S54" s="0" t="n">
        <v>68.52</v>
      </c>
      <c r="T54" s="0" t="n">
        <v>70.37</v>
      </c>
      <c r="U54" s="0" t="n">
        <v>71.34</v>
      </c>
      <c r="V54" s="0" t="n">
        <v>69.79</v>
      </c>
      <c r="W54" s="0" t="n">
        <v>67.31</v>
      </c>
      <c r="X54" s="0" t="n">
        <v>0</v>
      </c>
      <c r="Y54" s="0" t="n">
        <v>0</v>
      </c>
    </row>
    <row r="55" customFormat="false" ht="15" hidden="false" customHeight="false" outlineLevel="0" collapsed="false">
      <c r="A55" s="0" t="n">
        <v>8626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47.83</v>
      </c>
      <c r="H55" s="0" t="n">
        <v>50.78</v>
      </c>
      <c r="I55" s="0" t="n">
        <v>50.77</v>
      </c>
      <c r="J55" s="0" t="n">
        <v>50.78</v>
      </c>
      <c r="K55" s="0" t="n">
        <v>50.78</v>
      </c>
      <c r="L55" s="0" t="n">
        <v>50.97</v>
      </c>
      <c r="M55" s="0" t="n">
        <v>65.4</v>
      </c>
      <c r="N55" s="0" t="n">
        <v>50.97</v>
      </c>
      <c r="O55" s="0" t="n">
        <v>50.97</v>
      </c>
      <c r="P55" s="0" t="n">
        <v>50.97</v>
      </c>
      <c r="Q55" s="0" t="n">
        <v>66.67</v>
      </c>
      <c r="R55" s="0" t="n">
        <v>64.71</v>
      </c>
      <c r="S55" s="0" t="n">
        <v>50.97</v>
      </c>
      <c r="T55" s="0" t="n">
        <v>50.97</v>
      </c>
      <c r="U55" s="0" t="n">
        <v>50.96</v>
      </c>
      <c r="V55" s="0" t="n">
        <v>50.97</v>
      </c>
      <c r="W55" s="0" t="n">
        <v>50.97</v>
      </c>
      <c r="X55" s="0" t="n">
        <v>0</v>
      </c>
      <c r="Y55" s="0" t="n">
        <v>0</v>
      </c>
    </row>
    <row r="56" customFormat="false" ht="15" hidden="false" customHeight="false" outlineLevel="0" collapsed="false">
      <c r="A56" s="0" t="n">
        <v>8627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30.2</v>
      </c>
      <c r="H56" s="0" t="n">
        <v>34.09</v>
      </c>
      <c r="I56" s="0" t="n">
        <v>59.75</v>
      </c>
      <c r="J56" s="0" t="n">
        <v>34.51</v>
      </c>
      <c r="K56" s="0" t="n">
        <v>39.85</v>
      </c>
      <c r="L56" s="0" t="n">
        <v>53.43</v>
      </c>
      <c r="M56" s="0" t="n">
        <v>116.93</v>
      </c>
      <c r="N56" s="0" t="n">
        <v>93.33</v>
      </c>
      <c r="O56" s="0" t="n">
        <v>112.19</v>
      </c>
      <c r="P56" s="0" t="n">
        <v>101.59</v>
      </c>
      <c r="Q56" s="0" t="n">
        <v>86.7</v>
      </c>
      <c r="R56" s="0" t="n">
        <v>120.39</v>
      </c>
      <c r="S56" s="0" t="n">
        <v>129.97</v>
      </c>
      <c r="T56" s="0" t="n">
        <v>202.95</v>
      </c>
      <c r="U56" s="0" t="n">
        <v>104.89</v>
      </c>
      <c r="V56" s="0" t="n">
        <v>100.84</v>
      </c>
      <c r="W56" s="0" t="n">
        <v>34.7</v>
      </c>
      <c r="X56" s="0" t="n">
        <v>0</v>
      </c>
      <c r="Y56" s="0" t="n">
        <v>0</v>
      </c>
    </row>
    <row r="57" customFormat="false" ht="15" hidden="false" customHeight="false" outlineLevel="0" collapsed="false">
      <c r="A57" s="0" t="n">
        <v>8628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152.3</v>
      </c>
      <c r="H57" s="0" t="n">
        <v>155.74</v>
      </c>
      <c r="I57" s="0" t="n">
        <v>135.53</v>
      </c>
      <c r="J57" s="0" t="n">
        <v>151.45</v>
      </c>
      <c r="K57" s="0" t="n">
        <v>121.1</v>
      </c>
      <c r="L57" s="0" t="n">
        <v>117.22</v>
      </c>
      <c r="M57" s="0" t="n">
        <v>135.4</v>
      </c>
      <c r="N57" s="0" t="n">
        <v>157.11</v>
      </c>
      <c r="O57" s="0" t="n">
        <v>145.6</v>
      </c>
      <c r="P57" s="0" t="n">
        <v>133.59</v>
      </c>
      <c r="Q57" s="0" t="n">
        <v>124.12</v>
      </c>
      <c r="R57" s="0" t="n">
        <v>141.72</v>
      </c>
      <c r="S57" s="0" t="n">
        <v>181.57</v>
      </c>
      <c r="T57" s="0" t="n">
        <v>190.85</v>
      </c>
      <c r="U57" s="0" t="n">
        <v>144.71</v>
      </c>
      <c r="V57" s="0" t="n">
        <v>140.88</v>
      </c>
      <c r="W57" s="0" t="n">
        <v>121.29</v>
      </c>
      <c r="X57" s="0" t="n">
        <v>0</v>
      </c>
      <c r="Y57" s="0" t="n">
        <v>0</v>
      </c>
    </row>
    <row r="58" customFormat="false" ht="15" hidden="false" customHeight="false" outlineLevel="0" collapsed="false">
      <c r="A58" s="0" t="n">
        <v>8630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192.1</v>
      </c>
      <c r="H58" s="0" t="n">
        <v>178.04</v>
      </c>
      <c r="I58" s="0" t="n">
        <v>145.32</v>
      </c>
      <c r="J58" s="0" t="n">
        <v>133.89</v>
      </c>
      <c r="K58" s="0" t="n">
        <v>81.14</v>
      </c>
      <c r="L58" s="0" t="n">
        <v>70.79</v>
      </c>
      <c r="M58" s="0" t="n">
        <v>85.31</v>
      </c>
      <c r="N58" s="0" t="n">
        <v>127.02</v>
      </c>
      <c r="O58" s="0" t="n">
        <v>106.87</v>
      </c>
      <c r="P58" s="0" t="n">
        <v>97.92</v>
      </c>
      <c r="Q58" s="0" t="n">
        <v>105.82</v>
      </c>
      <c r="R58" s="0" t="n">
        <v>139.48</v>
      </c>
      <c r="S58" s="0" t="n">
        <v>194.34</v>
      </c>
      <c r="T58" s="0" t="n">
        <v>242.11</v>
      </c>
      <c r="U58" s="0" t="n">
        <v>171.01</v>
      </c>
      <c r="V58" s="0" t="n">
        <v>177.95</v>
      </c>
      <c r="W58" s="0" t="n">
        <v>93.5</v>
      </c>
      <c r="X58" s="0" t="n">
        <v>0</v>
      </c>
      <c r="Y58" s="0" t="n">
        <v>0</v>
      </c>
    </row>
    <row r="59" customFormat="false" ht="15" hidden="false" customHeight="false" outlineLevel="0" collapsed="false">
      <c r="A59" s="0" t="n">
        <v>8631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488.65</v>
      </c>
      <c r="H59" s="0" t="n">
        <v>537.73</v>
      </c>
      <c r="I59" s="0" t="n">
        <v>494.3</v>
      </c>
      <c r="J59" s="0" t="n">
        <v>528.99</v>
      </c>
      <c r="K59" s="0" t="n">
        <v>544.83</v>
      </c>
      <c r="L59" s="0" t="n">
        <v>537.05</v>
      </c>
      <c r="M59" s="0" t="n">
        <v>563.32</v>
      </c>
      <c r="N59" s="0" t="n">
        <v>575.52</v>
      </c>
      <c r="O59" s="0" t="n">
        <v>644.98</v>
      </c>
      <c r="P59" s="0" t="n">
        <v>529.15</v>
      </c>
      <c r="Q59" s="0" t="n">
        <v>488.22</v>
      </c>
      <c r="R59" s="0" t="n">
        <v>454.74</v>
      </c>
      <c r="S59" s="0" t="n">
        <v>450</v>
      </c>
      <c r="T59" s="0" t="n">
        <v>440.38</v>
      </c>
      <c r="U59" s="0" t="n">
        <v>457.36</v>
      </c>
      <c r="V59" s="0" t="n">
        <v>398.64</v>
      </c>
      <c r="W59" s="0" t="n">
        <v>437.08</v>
      </c>
      <c r="X59" s="0" t="n">
        <v>0</v>
      </c>
      <c r="Y59" s="0" t="n">
        <v>0</v>
      </c>
    </row>
    <row r="60" customFormat="false" ht="15" hidden="false" customHeight="false" outlineLevel="0" collapsed="false">
      <c r="A60" s="0" t="n">
        <v>8632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94.92</v>
      </c>
      <c r="H60" s="0" t="n">
        <v>86.01</v>
      </c>
      <c r="I60" s="0" t="n">
        <v>79.35</v>
      </c>
      <c r="J60" s="0" t="n">
        <v>78.97</v>
      </c>
      <c r="K60" s="0" t="n">
        <v>65.97</v>
      </c>
      <c r="L60" s="0" t="n">
        <v>67.69</v>
      </c>
      <c r="M60" s="0" t="n">
        <v>103.82</v>
      </c>
      <c r="N60" s="0" t="n">
        <v>132.38</v>
      </c>
      <c r="O60" s="0" t="n">
        <v>136.19</v>
      </c>
      <c r="P60" s="0" t="n">
        <v>77.82</v>
      </c>
      <c r="Q60" s="0" t="n">
        <v>64.73</v>
      </c>
      <c r="R60" s="0" t="n">
        <v>71.67</v>
      </c>
      <c r="S60" s="0" t="n">
        <v>82.72</v>
      </c>
      <c r="T60" s="0" t="n">
        <v>96.29</v>
      </c>
      <c r="U60" s="0" t="n">
        <v>71.93</v>
      </c>
      <c r="V60" s="0" t="n">
        <v>86.07</v>
      </c>
      <c r="W60" s="0" t="n">
        <v>73.45</v>
      </c>
      <c r="X60" s="0" t="n">
        <v>0</v>
      </c>
      <c r="Y60" s="0" t="n">
        <v>0</v>
      </c>
    </row>
    <row r="61" customFormat="false" ht="15" hidden="false" customHeight="false" outlineLevel="0" collapsed="false">
      <c r="A61" s="0" t="n">
        <v>8633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153.3</v>
      </c>
      <c r="H61" s="0" t="n">
        <v>235.52</v>
      </c>
      <c r="I61" s="0" t="n">
        <v>144.81</v>
      </c>
      <c r="J61" s="0" t="n">
        <v>170.73</v>
      </c>
      <c r="K61" s="0" t="n">
        <v>107.14</v>
      </c>
      <c r="L61" s="0" t="n">
        <v>64.89</v>
      </c>
      <c r="M61" s="0" t="n">
        <v>74.86</v>
      </c>
      <c r="N61" s="0" t="n">
        <v>64.9</v>
      </c>
      <c r="O61" s="0" t="n">
        <v>73.65</v>
      </c>
      <c r="P61" s="0" t="n">
        <v>68.86</v>
      </c>
      <c r="Q61" s="0" t="n">
        <v>64.9</v>
      </c>
      <c r="R61" s="0" t="n">
        <v>98.52</v>
      </c>
      <c r="S61" s="0" t="n">
        <v>222.19</v>
      </c>
      <c r="T61" s="0" t="n">
        <v>204.15</v>
      </c>
      <c r="U61" s="0" t="n">
        <v>117.32</v>
      </c>
      <c r="V61" s="0" t="n">
        <v>122.82</v>
      </c>
      <c r="W61" s="0" t="n">
        <v>64.9</v>
      </c>
      <c r="X61" s="0" t="n">
        <v>0</v>
      </c>
      <c r="Y61" s="0" t="n">
        <v>0</v>
      </c>
    </row>
    <row r="62" customFormat="false" ht="15" hidden="false" customHeight="false" outlineLevel="0" collapsed="false">
      <c r="A62" s="0" t="n">
        <v>8634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25.51</v>
      </c>
      <c r="H62" s="0" t="n">
        <v>36.23</v>
      </c>
      <c r="I62" s="0" t="n">
        <v>36.22</v>
      </c>
      <c r="J62" s="0" t="n">
        <v>36.23</v>
      </c>
      <c r="K62" s="0" t="n">
        <v>36.23</v>
      </c>
      <c r="L62" s="0" t="n">
        <v>36.42</v>
      </c>
      <c r="M62" s="0" t="n">
        <v>39.14</v>
      </c>
      <c r="N62" s="0" t="n">
        <v>36.42</v>
      </c>
      <c r="O62" s="0" t="n">
        <v>69.21</v>
      </c>
      <c r="P62" s="0" t="n">
        <v>36.42</v>
      </c>
      <c r="Q62" s="0" t="n">
        <v>36.42</v>
      </c>
      <c r="R62" s="0" t="n">
        <v>36.42</v>
      </c>
      <c r="S62" s="0" t="n">
        <v>36.42</v>
      </c>
      <c r="T62" s="0" t="n">
        <v>36.42</v>
      </c>
      <c r="U62" s="0" t="n">
        <v>36.41</v>
      </c>
      <c r="V62" s="0" t="n">
        <v>36.42</v>
      </c>
      <c r="W62" s="0" t="n">
        <v>36.42</v>
      </c>
      <c r="X62" s="0" t="n">
        <v>0</v>
      </c>
      <c r="Y62" s="0" t="n">
        <v>0</v>
      </c>
    </row>
    <row r="63" customFormat="false" ht="15" hidden="false" customHeight="false" outlineLevel="0" collapsed="false">
      <c r="A63" s="0" t="n">
        <v>8636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84.84</v>
      </c>
      <c r="H63" s="0" t="n">
        <v>87.6</v>
      </c>
      <c r="I63" s="0" t="n">
        <v>102.13</v>
      </c>
      <c r="J63" s="0" t="n">
        <v>112.73</v>
      </c>
      <c r="K63" s="0" t="n">
        <v>67.24</v>
      </c>
      <c r="L63" s="0" t="n">
        <v>70.09</v>
      </c>
      <c r="M63" s="0" t="n">
        <v>176.45</v>
      </c>
      <c r="N63" s="0" t="n">
        <v>216.18</v>
      </c>
      <c r="O63" s="0" t="n">
        <v>228.49</v>
      </c>
      <c r="P63" s="0" t="n">
        <v>167.21</v>
      </c>
      <c r="Q63" s="0" t="n">
        <v>89.58</v>
      </c>
      <c r="R63" s="0" t="n">
        <v>53.52</v>
      </c>
      <c r="S63" s="0" t="n">
        <v>94.91</v>
      </c>
      <c r="T63" s="0" t="n">
        <v>68.69</v>
      </c>
      <c r="U63" s="0" t="n">
        <v>52.1</v>
      </c>
      <c r="V63" s="0" t="n">
        <v>65.48</v>
      </c>
      <c r="W63" s="0" t="n">
        <v>54.69</v>
      </c>
      <c r="X63" s="0" t="n">
        <v>0</v>
      </c>
      <c r="Y63" s="0" t="n">
        <v>0</v>
      </c>
    </row>
    <row r="64" customFormat="false" ht="15" hidden="false" customHeight="false" outlineLevel="0" collapsed="false">
      <c r="A64" s="0" t="n">
        <v>8637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210.17</v>
      </c>
      <c r="H64" s="0" t="n">
        <v>158.23</v>
      </c>
      <c r="I64" s="0" t="n">
        <v>144.91</v>
      </c>
      <c r="J64" s="0" t="n">
        <v>177.92</v>
      </c>
      <c r="K64" s="0" t="n">
        <v>203.1</v>
      </c>
      <c r="L64" s="0" t="n">
        <v>248.87</v>
      </c>
      <c r="M64" s="0" t="n">
        <v>311.28</v>
      </c>
      <c r="N64" s="0" t="n">
        <v>316.34</v>
      </c>
      <c r="O64" s="0" t="n">
        <v>459.23</v>
      </c>
      <c r="P64" s="0" t="n">
        <v>343.62</v>
      </c>
      <c r="Q64" s="0" t="n">
        <v>268.93</v>
      </c>
      <c r="R64" s="0" t="n">
        <v>208.6</v>
      </c>
      <c r="S64" s="0" t="n">
        <v>225.91</v>
      </c>
      <c r="T64" s="0" t="n">
        <v>206.38</v>
      </c>
      <c r="U64" s="0" t="n">
        <v>249.36</v>
      </c>
      <c r="V64" s="0" t="n">
        <v>234.85</v>
      </c>
      <c r="W64" s="0" t="n">
        <v>245.83</v>
      </c>
      <c r="X64" s="0" t="n">
        <v>0</v>
      </c>
      <c r="Y64" s="0" t="n">
        <v>0</v>
      </c>
    </row>
    <row r="65" customFormat="false" ht="15" hidden="false" customHeight="false" outlineLevel="0" collapsed="false">
      <c r="A65" s="0" t="n">
        <v>8639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102.46</v>
      </c>
      <c r="H65" s="0" t="n">
        <v>89.21</v>
      </c>
      <c r="I65" s="0" t="n">
        <v>83.15</v>
      </c>
      <c r="J65" s="0" t="n">
        <v>72.06</v>
      </c>
      <c r="K65" s="0" t="n">
        <v>80.99</v>
      </c>
      <c r="L65" s="0" t="n">
        <v>82.21</v>
      </c>
      <c r="M65" s="0" t="n">
        <v>98.36</v>
      </c>
      <c r="N65" s="0" t="n">
        <v>101.02</v>
      </c>
      <c r="O65" s="0" t="n">
        <v>102.55</v>
      </c>
      <c r="P65" s="0" t="n">
        <v>85.84</v>
      </c>
      <c r="Q65" s="0" t="n">
        <v>73.62</v>
      </c>
      <c r="R65" s="0" t="n">
        <v>75.21</v>
      </c>
      <c r="S65" s="0" t="n">
        <v>82.48</v>
      </c>
      <c r="T65" s="0" t="n">
        <v>82.8</v>
      </c>
      <c r="U65" s="0" t="n">
        <v>76.5</v>
      </c>
      <c r="V65" s="0" t="n">
        <v>89.98</v>
      </c>
      <c r="W65" s="0" t="n">
        <v>96.87</v>
      </c>
      <c r="X65" s="0" t="n">
        <v>0</v>
      </c>
      <c r="Y65" s="0" t="n">
        <v>0</v>
      </c>
    </row>
    <row r="66" customFormat="false" ht="15" hidden="false" customHeight="false" outlineLevel="0" collapsed="false">
      <c r="A66" s="0" t="n">
        <v>8640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449.11</v>
      </c>
      <c r="G66" s="0" t="n">
        <v>662.18</v>
      </c>
      <c r="H66" s="0" t="n">
        <v>474.49</v>
      </c>
      <c r="I66" s="0" t="n">
        <v>515.45</v>
      </c>
      <c r="J66" s="0" t="n">
        <v>71.21</v>
      </c>
      <c r="K66" s="0" t="n">
        <v>492.58</v>
      </c>
      <c r="L66" s="0" t="n">
        <v>493.06</v>
      </c>
      <c r="M66" s="0" t="n">
        <v>616.1</v>
      </c>
      <c r="N66" s="0" t="n">
        <v>1183.11</v>
      </c>
      <c r="O66" s="0" t="n">
        <v>1678.46</v>
      </c>
      <c r="P66" s="0" t="n">
        <v>0</v>
      </c>
      <c r="Q66" s="0" t="n">
        <v>417.31</v>
      </c>
      <c r="R66" s="0" t="n">
        <v>248.18</v>
      </c>
      <c r="S66" s="0" t="n">
        <v>405.59</v>
      </c>
      <c r="T66" s="0" t="n">
        <v>379.31</v>
      </c>
      <c r="U66" s="0" t="n">
        <v>351.58</v>
      </c>
      <c r="V66" s="0" t="n">
        <v>359.92</v>
      </c>
      <c r="W66" s="0" t="n">
        <v>452.06</v>
      </c>
      <c r="X66" s="0" t="n">
        <v>0</v>
      </c>
      <c r="Y66" s="0" t="n">
        <v>0</v>
      </c>
    </row>
    <row r="67" customFormat="false" ht="15" hidden="false" customHeight="false" outlineLevel="0" collapsed="false">
      <c r="A67" s="0" t="n">
        <v>8642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85.15</v>
      </c>
      <c r="H67" s="0" t="n">
        <v>120.77</v>
      </c>
      <c r="I67" s="0" t="n">
        <v>92.2</v>
      </c>
      <c r="J67" s="0" t="n">
        <v>68.44</v>
      </c>
      <c r="K67" s="0" t="n">
        <v>57.76</v>
      </c>
      <c r="L67" s="0" t="n">
        <v>57.95</v>
      </c>
      <c r="M67" s="0" t="n">
        <v>84.98</v>
      </c>
      <c r="N67" s="0" t="n">
        <v>61.44</v>
      </c>
      <c r="O67" s="0" t="n">
        <v>101.42</v>
      </c>
      <c r="P67" s="0" t="n">
        <v>70.84</v>
      </c>
      <c r="Q67" s="0" t="n">
        <v>84.57</v>
      </c>
      <c r="R67" s="0" t="n">
        <v>67.08</v>
      </c>
      <c r="S67" s="0" t="n">
        <v>70.83</v>
      </c>
      <c r="T67" s="0" t="n">
        <v>70.11</v>
      </c>
      <c r="U67" s="0" t="n">
        <v>132.36</v>
      </c>
      <c r="V67" s="0" t="n">
        <v>104.69</v>
      </c>
      <c r="W67" s="0" t="n">
        <v>57.95</v>
      </c>
      <c r="X67" s="0" t="n">
        <v>0</v>
      </c>
      <c r="Y67" s="0" t="n">
        <v>0</v>
      </c>
    </row>
    <row r="68" customFormat="false" ht="15" hidden="false" customHeight="false" outlineLevel="0" collapsed="false">
      <c r="A68" s="0" t="n">
        <v>8645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41.66</v>
      </c>
      <c r="H68" s="0" t="n">
        <v>35.05</v>
      </c>
      <c r="I68" s="0" t="n">
        <v>34.81</v>
      </c>
      <c r="J68" s="0" t="n">
        <v>35.95</v>
      </c>
      <c r="K68" s="0" t="n">
        <v>31.75</v>
      </c>
      <c r="L68" s="0" t="n">
        <v>29.2</v>
      </c>
      <c r="M68" s="0" t="n">
        <v>31.73</v>
      </c>
      <c r="N68" s="0" t="n">
        <v>33.85</v>
      </c>
      <c r="O68" s="0" t="n">
        <v>33.05</v>
      </c>
      <c r="P68" s="0" t="n">
        <v>31.61</v>
      </c>
      <c r="Q68" s="0" t="n">
        <v>29.11</v>
      </c>
      <c r="R68" s="0" t="n">
        <v>28.47</v>
      </c>
      <c r="S68" s="0" t="n">
        <v>31.87</v>
      </c>
      <c r="T68" s="0" t="n">
        <v>30.7</v>
      </c>
      <c r="U68" s="0" t="n">
        <v>29.69</v>
      </c>
      <c r="V68" s="0" t="n">
        <v>30.16</v>
      </c>
      <c r="W68" s="0" t="n">
        <v>29.88</v>
      </c>
      <c r="X68" s="0" t="n">
        <v>0</v>
      </c>
      <c r="Y68" s="0" t="n">
        <v>0</v>
      </c>
    </row>
    <row r="69" customFormat="false" ht="15" hidden="false" customHeight="false" outlineLevel="0" collapsed="false">
      <c r="A69" s="0" t="n">
        <v>8646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358.67</v>
      </c>
      <c r="H69" s="0" t="n">
        <v>350.43</v>
      </c>
      <c r="I69" s="0" t="n">
        <v>337.5</v>
      </c>
      <c r="J69" s="0" t="n">
        <v>277.58</v>
      </c>
      <c r="K69" s="0" t="n">
        <v>256.26</v>
      </c>
      <c r="L69" s="0" t="n">
        <v>193.71</v>
      </c>
      <c r="M69" s="0" t="n">
        <v>181.85</v>
      </c>
      <c r="N69" s="0" t="n">
        <v>363.21</v>
      </c>
      <c r="O69" s="0" t="n">
        <v>369.07</v>
      </c>
      <c r="P69" s="0" t="n">
        <v>254.21</v>
      </c>
      <c r="Q69" s="0" t="n">
        <v>189.36</v>
      </c>
      <c r="R69" s="0" t="n">
        <v>231.97</v>
      </c>
      <c r="S69" s="0" t="n">
        <v>305.24</v>
      </c>
      <c r="T69" s="0" t="n">
        <v>452.36</v>
      </c>
      <c r="U69" s="0" t="n">
        <v>293.37</v>
      </c>
      <c r="V69" s="0" t="n">
        <v>376.52</v>
      </c>
      <c r="W69" s="0" t="n">
        <v>246.41</v>
      </c>
      <c r="X69" s="0" t="n">
        <v>0</v>
      </c>
      <c r="Y69" s="0" t="n">
        <v>0</v>
      </c>
    </row>
    <row r="70" customFormat="false" ht="15" hidden="false" customHeight="false" outlineLevel="0" collapsed="false">
      <c r="A70" s="0" t="n">
        <v>8647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118.32</v>
      </c>
      <c r="H70" s="0" t="n">
        <v>113.69</v>
      </c>
      <c r="I70" s="0" t="n">
        <v>92.56</v>
      </c>
      <c r="J70" s="0" t="n">
        <v>84.84</v>
      </c>
      <c r="K70" s="0" t="n">
        <v>76.2</v>
      </c>
      <c r="L70" s="0" t="n">
        <v>56.22</v>
      </c>
      <c r="M70" s="0" t="n">
        <v>54.26</v>
      </c>
      <c r="N70" s="0" t="n">
        <v>61.97</v>
      </c>
      <c r="O70" s="0" t="n">
        <v>68.04</v>
      </c>
      <c r="P70" s="0" t="n">
        <v>57.03</v>
      </c>
      <c r="Q70" s="0" t="n">
        <v>67.69</v>
      </c>
      <c r="R70" s="0" t="n">
        <v>86.22</v>
      </c>
      <c r="S70" s="0" t="n">
        <v>126.77</v>
      </c>
      <c r="T70" s="0" t="n">
        <v>120.39</v>
      </c>
      <c r="U70" s="0" t="n">
        <v>76.79</v>
      </c>
      <c r="V70" s="0" t="n">
        <v>111.2</v>
      </c>
      <c r="W70" s="0" t="n">
        <v>66.77</v>
      </c>
      <c r="X70" s="0" t="n">
        <v>0</v>
      </c>
      <c r="Y70" s="0" t="n">
        <v>0</v>
      </c>
    </row>
    <row r="71" customFormat="false" ht="15" hidden="false" customHeight="false" outlineLevel="0" collapsed="false">
      <c r="A71" s="0" t="n">
        <v>8648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36.63</v>
      </c>
      <c r="H71" s="0" t="n">
        <v>65.34</v>
      </c>
      <c r="I71" s="0" t="n">
        <v>88.68</v>
      </c>
      <c r="J71" s="0" t="n">
        <v>93.12</v>
      </c>
      <c r="K71" s="0" t="n">
        <v>84.43</v>
      </c>
      <c r="L71" s="0" t="n">
        <v>101.18</v>
      </c>
      <c r="M71" s="0" t="n">
        <v>101.75</v>
      </c>
      <c r="N71" s="0" t="n">
        <v>102.95</v>
      </c>
      <c r="O71" s="0" t="n">
        <v>100.4</v>
      </c>
      <c r="P71" s="0" t="n">
        <v>97.61</v>
      </c>
      <c r="Q71" s="0" t="n">
        <v>97.97</v>
      </c>
      <c r="R71" s="0" t="n">
        <v>102.17</v>
      </c>
      <c r="S71" s="0" t="n">
        <v>84.78</v>
      </c>
      <c r="T71" s="0" t="n">
        <v>86.04</v>
      </c>
      <c r="U71" s="0" t="n">
        <v>90.5</v>
      </c>
      <c r="V71" s="0" t="n">
        <v>92.13</v>
      </c>
      <c r="W71" s="0" t="n">
        <v>105.09</v>
      </c>
      <c r="X71" s="0" t="n">
        <v>0</v>
      </c>
      <c r="Y71" s="0" t="n">
        <v>0</v>
      </c>
    </row>
    <row r="72" customFormat="false" ht="15" hidden="false" customHeight="false" outlineLevel="0" collapsed="false">
      <c r="A72" s="0" t="n">
        <v>8650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47.1</v>
      </c>
      <c r="H72" s="0" t="n">
        <v>102.36</v>
      </c>
      <c r="I72" s="0" t="n">
        <v>78.98</v>
      </c>
      <c r="J72" s="0" t="n">
        <v>99.58</v>
      </c>
      <c r="K72" s="0" t="n">
        <v>74.5</v>
      </c>
      <c r="L72" s="0" t="n">
        <v>68.43</v>
      </c>
      <c r="M72" s="0" t="n">
        <v>74.5</v>
      </c>
      <c r="N72" s="0" t="n">
        <v>105.08</v>
      </c>
      <c r="O72" s="0" t="n">
        <v>138.22</v>
      </c>
      <c r="P72" s="0" t="n">
        <v>106.65</v>
      </c>
      <c r="Q72" s="0" t="n">
        <v>83.05</v>
      </c>
      <c r="R72" s="0" t="n">
        <v>64.55</v>
      </c>
      <c r="S72" s="0" t="n">
        <v>76.49</v>
      </c>
      <c r="T72" s="0" t="n">
        <v>91.62</v>
      </c>
      <c r="U72" s="0" t="n">
        <v>58.77</v>
      </c>
      <c r="V72" s="0" t="n">
        <v>58.18</v>
      </c>
      <c r="W72" s="0" t="n">
        <v>55.48</v>
      </c>
      <c r="X72" s="0" t="n">
        <v>0</v>
      </c>
      <c r="Y72" s="0" t="n">
        <v>0</v>
      </c>
    </row>
    <row r="73" customFormat="false" ht="15" hidden="false" customHeight="false" outlineLevel="0" collapsed="false">
      <c r="A73" s="0" t="n">
        <v>8651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179.27</v>
      </c>
      <c r="H73" s="0" t="n">
        <v>171.75</v>
      </c>
      <c r="I73" s="0" t="n">
        <v>160.16</v>
      </c>
      <c r="J73" s="0" t="n">
        <v>129.92</v>
      </c>
      <c r="K73" s="0" t="n">
        <v>139.63</v>
      </c>
      <c r="L73" s="0" t="n">
        <v>145.33</v>
      </c>
      <c r="M73" s="0" t="n">
        <v>125.55</v>
      </c>
      <c r="N73" s="0" t="n">
        <v>124.24</v>
      </c>
      <c r="O73" s="0" t="n">
        <v>120.84</v>
      </c>
      <c r="P73" s="0" t="n">
        <v>128.59</v>
      </c>
      <c r="Q73" s="0" t="n">
        <v>127.75</v>
      </c>
      <c r="R73" s="0" t="n">
        <v>133.81</v>
      </c>
      <c r="S73" s="0" t="n">
        <v>141.93</v>
      </c>
      <c r="T73" s="0" t="n">
        <v>138.58</v>
      </c>
      <c r="U73" s="0" t="n">
        <v>129.93</v>
      </c>
      <c r="V73" s="0" t="n">
        <v>125.39</v>
      </c>
      <c r="W73" s="0" t="n">
        <v>116.23</v>
      </c>
      <c r="X73" s="0" t="n">
        <v>0</v>
      </c>
      <c r="Y73" s="0" t="n">
        <v>0</v>
      </c>
    </row>
    <row r="74" customFormat="false" ht="15" hidden="false" customHeight="false" outlineLevel="0" collapsed="false">
      <c r="A74" s="0" t="n">
        <v>8653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60.01</v>
      </c>
      <c r="H74" s="0" t="n">
        <v>68.16</v>
      </c>
      <c r="I74" s="0" t="n">
        <v>67.64</v>
      </c>
      <c r="J74" s="0" t="n">
        <v>73.35</v>
      </c>
      <c r="K74" s="0" t="n">
        <v>53.01</v>
      </c>
      <c r="L74" s="0" t="n">
        <v>58.62</v>
      </c>
      <c r="M74" s="0" t="n">
        <v>72.58</v>
      </c>
      <c r="N74" s="0" t="n">
        <v>79.49</v>
      </c>
      <c r="O74" s="0" t="n">
        <v>70.45</v>
      </c>
      <c r="P74" s="0" t="n">
        <v>70.07</v>
      </c>
      <c r="Q74" s="0" t="n">
        <v>52.96</v>
      </c>
      <c r="R74" s="0" t="n">
        <v>59.33</v>
      </c>
      <c r="S74" s="0" t="n">
        <v>75.91</v>
      </c>
      <c r="T74" s="0" t="n">
        <v>71.54</v>
      </c>
      <c r="U74" s="0" t="n">
        <v>63.92</v>
      </c>
      <c r="V74" s="0" t="n">
        <v>69.46</v>
      </c>
      <c r="W74" s="0" t="n">
        <v>54.68</v>
      </c>
      <c r="X74" s="0" t="n">
        <v>0</v>
      </c>
      <c r="Y74" s="0" t="n">
        <v>0</v>
      </c>
    </row>
    <row r="75" customFormat="false" ht="15" hidden="false" customHeight="false" outlineLevel="0" collapsed="false">
      <c r="A75" s="0" t="n">
        <v>8655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24.29</v>
      </c>
      <c r="H75" s="0" t="n">
        <v>30.33</v>
      </c>
      <c r="I75" s="0" t="n">
        <v>30.41</v>
      </c>
      <c r="J75" s="0" t="n">
        <v>30.7</v>
      </c>
      <c r="K75" s="0" t="n">
        <v>30.44</v>
      </c>
      <c r="L75" s="0" t="n">
        <v>31.33</v>
      </c>
      <c r="M75" s="0" t="n">
        <v>30.63</v>
      </c>
      <c r="N75" s="0" t="n">
        <v>50.95</v>
      </c>
      <c r="O75" s="0" t="n">
        <v>143.88</v>
      </c>
      <c r="P75" s="0" t="n">
        <v>75.89</v>
      </c>
      <c r="Q75" s="0" t="n">
        <v>97.48</v>
      </c>
      <c r="R75" s="0" t="n">
        <v>138.15</v>
      </c>
      <c r="S75" s="0" t="n">
        <v>225.91</v>
      </c>
      <c r="T75" s="0" t="n">
        <v>280.97</v>
      </c>
      <c r="U75" s="0" t="n">
        <v>162.3</v>
      </c>
      <c r="V75" s="0" t="n">
        <v>213.17</v>
      </c>
      <c r="W75" s="0" t="n">
        <v>130.56</v>
      </c>
      <c r="X75" s="0" t="n">
        <v>0</v>
      </c>
      <c r="Y75" s="0" t="n">
        <v>0</v>
      </c>
    </row>
    <row r="76" customFormat="false" ht="15" hidden="false" customHeight="false" outlineLevel="0" collapsed="false">
      <c r="A76" s="0" t="n">
        <v>8656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139.72</v>
      </c>
      <c r="H76" s="0" t="n">
        <v>238.81</v>
      </c>
      <c r="I76" s="0" t="n">
        <v>213.22</v>
      </c>
      <c r="J76" s="0" t="n">
        <v>225.12</v>
      </c>
      <c r="K76" s="0" t="n">
        <v>105.27</v>
      </c>
      <c r="L76" s="0" t="n">
        <v>108.45</v>
      </c>
      <c r="M76" s="0" t="n">
        <v>111.84</v>
      </c>
      <c r="N76" s="0" t="n">
        <v>118.73</v>
      </c>
      <c r="O76" s="0" t="n">
        <v>117.75</v>
      </c>
      <c r="P76" s="0" t="n">
        <v>115.82</v>
      </c>
      <c r="Q76" s="0" t="n">
        <v>109.08</v>
      </c>
      <c r="R76" s="0" t="n">
        <v>115.93</v>
      </c>
      <c r="S76" s="0" t="n">
        <v>128.57</v>
      </c>
      <c r="T76" s="0" t="n">
        <v>124.52</v>
      </c>
      <c r="U76" s="0" t="n">
        <v>115.58</v>
      </c>
      <c r="V76" s="0" t="n">
        <v>122.89</v>
      </c>
      <c r="W76" s="0" t="n">
        <v>106.18</v>
      </c>
      <c r="X76" s="0" t="n">
        <v>0</v>
      </c>
      <c r="Y76" s="0" t="n">
        <v>0</v>
      </c>
    </row>
    <row r="77" customFormat="false" ht="15" hidden="false" customHeight="false" outlineLevel="0" collapsed="false">
      <c r="A77" s="0" t="n">
        <v>8657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393.41</v>
      </c>
      <c r="H77" s="0" t="n">
        <v>419.51</v>
      </c>
      <c r="I77" s="0" t="n">
        <v>389.06</v>
      </c>
      <c r="J77" s="0" t="n">
        <v>401.02</v>
      </c>
      <c r="K77" s="0" t="n">
        <v>407.94</v>
      </c>
      <c r="L77" s="0" t="n">
        <v>493.27</v>
      </c>
      <c r="M77" s="0" t="n">
        <v>521.53</v>
      </c>
      <c r="N77" s="0" t="n">
        <v>704.76</v>
      </c>
      <c r="O77" s="0" t="n">
        <v>749.93</v>
      </c>
      <c r="P77" s="0" t="n">
        <v>566.89</v>
      </c>
      <c r="Q77" s="0" t="n">
        <v>529.1</v>
      </c>
      <c r="R77" s="0" t="n">
        <v>324.93</v>
      </c>
      <c r="S77" s="0" t="n">
        <v>478.51</v>
      </c>
      <c r="T77" s="0" t="n">
        <v>445.62</v>
      </c>
      <c r="U77" s="0" t="n">
        <v>481.49</v>
      </c>
      <c r="V77" s="0" t="n">
        <v>416.01</v>
      </c>
      <c r="W77" s="0" t="n">
        <v>494.21</v>
      </c>
      <c r="X77" s="0" t="n">
        <v>0</v>
      </c>
      <c r="Y77" s="0" t="n">
        <v>0</v>
      </c>
    </row>
    <row r="78" customFormat="false" ht="15" hidden="false" customHeight="false" outlineLevel="0" collapsed="false">
      <c r="A78" s="0" t="n">
        <v>8658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172.66</v>
      </c>
      <c r="H78" s="0" t="n">
        <v>140.6</v>
      </c>
      <c r="I78" s="0" t="n">
        <v>158.47</v>
      </c>
      <c r="J78" s="0" t="n">
        <v>184.51</v>
      </c>
      <c r="K78" s="0" t="n">
        <v>194.33</v>
      </c>
      <c r="L78" s="0" t="n">
        <v>221.07</v>
      </c>
      <c r="M78" s="0" t="n">
        <v>286.14</v>
      </c>
      <c r="N78" s="0" t="n">
        <v>327.74</v>
      </c>
      <c r="O78" s="0" t="n">
        <v>322.68</v>
      </c>
      <c r="P78" s="0" t="n">
        <v>298.59</v>
      </c>
      <c r="Q78" s="0" t="n">
        <v>127.27</v>
      </c>
      <c r="R78" s="0" t="n">
        <v>86.75</v>
      </c>
      <c r="S78" s="0" t="n">
        <v>125.6</v>
      </c>
      <c r="T78" s="0" t="n">
        <v>117.49</v>
      </c>
      <c r="U78" s="0" t="n">
        <v>107.32</v>
      </c>
      <c r="V78" s="0" t="n">
        <v>98.2</v>
      </c>
      <c r="W78" s="0" t="n">
        <v>110.02</v>
      </c>
      <c r="X78" s="0" t="n">
        <v>0</v>
      </c>
      <c r="Y78" s="0" t="n">
        <v>0</v>
      </c>
    </row>
    <row r="79" customFormat="false" ht="15" hidden="false" customHeight="false" outlineLevel="0" collapsed="false">
      <c r="A79" s="0" t="n">
        <v>8659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75.72</v>
      </c>
      <c r="H79" s="0" t="n">
        <v>65.52</v>
      </c>
      <c r="I79" s="0" t="n">
        <v>59.6</v>
      </c>
      <c r="J79" s="0" t="n">
        <v>64.86</v>
      </c>
      <c r="K79" s="0" t="n">
        <v>58.86</v>
      </c>
      <c r="L79" s="0" t="n">
        <v>62.08</v>
      </c>
      <c r="M79" s="0" t="n">
        <v>68.69</v>
      </c>
      <c r="N79" s="0" t="n">
        <v>93.19</v>
      </c>
      <c r="O79" s="0" t="n">
        <v>44.32</v>
      </c>
      <c r="P79" s="0" t="n">
        <v>71.61</v>
      </c>
      <c r="Q79" s="0" t="n">
        <v>75.68</v>
      </c>
      <c r="R79" s="0" t="n">
        <v>82.53</v>
      </c>
      <c r="S79" s="0" t="n">
        <v>123.37</v>
      </c>
      <c r="T79" s="0" t="n">
        <v>111.46</v>
      </c>
      <c r="U79" s="0" t="n">
        <v>98.21</v>
      </c>
      <c r="V79" s="0" t="n">
        <v>102.11</v>
      </c>
      <c r="W79" s="0" t="n">
        <v>93.47</v>
      </c>
      <c r="X79" s="0" t="n">
        <v>0</v>
      </c>
      <c r="Y79" s="0" t="n">
        <v>0</v>
      </c>
    </row>
    <row r="80" customFormat="false" ht="15" hidden="false" customHeight="false" outlineLevel="0" collapsed="false">
      <c r="A80" s="0" t="n">
        <v>8660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194.59</v>
      </c>
      <c r="H80" s="0" t="n">
        <v>200.53</v>
      </c>
      <c r="I80" s="0" t="n">
        <v>189.95</v>
      </c>
      <c r="J80" s="0" t="n">
        <v>191.45</v>
      </c>
      <c r="K80" s="0" t="n">
        <v>170.59</v>
      </c>
      <c r="L80" s="0" t="n">
        <v>187.58</v>
      </c>
      <c r="M80" s="0" t="n">
        <v>243.75</v>
      </c>
      <c r="N80" s="0" t="n">
        <v>225.29</v>
      </c>
      <c r="O80" s="0" t="n">
        <v>265.1</v>
      </c>
      <c r="P80" s="0" t="n">
        <v>177.17</v>
      </c>
      <c r="Q80" s="0" t="n">
        <v>163.95</v>
      </c>
      <c r="R80" s="0" t="n">
        <v>163.55</v>
      </c>
      <c r="S80" s="0" t="n">
        <v>169.55</v>
      </c>
      <c r="T80" s="0" t="n">
        <v>163.22</v>
      </c>
      <c r="U80" s="0" t="n">
        <v>171.38</v>
      </c>
      <c r="V80" s="0" t="n">
        <v>159.33</v>
      </c>
      <c r="W80" s="0" t="n">
        <v>114.01</v>
      </c>
      <c r="X80" s="0" t="n">
        <v>0</v>
      </c>
      <c r="Y80" s="0" t="n">
        <v>0</v>
      </c>
    </row>
    <row r="81" customFormat="false" ht="15" hidden="false" customHeight="false" outlineLevel="0" collapsed="false">
      <c r="A81" s="0" t="n">
        <v>8662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133.65</v>
      </c>
      <c r="H81" s="0" t="n">
        <v>145.22</v>
      </c>
      <c r="I81" s="0" t="n">
        <v>137.24</v>
      </c>
      <c r="J81" s="0" t="n">
        <v>134.79</v>
      </c>
      <c r="K81" s="0" t="n">
        <v>106.91</v>
      </c>
      <c r="L81" s="0" t="n">
        <v>99.99</v>
      </c>
      <c r="M81" s="0" t="n">
        <v>105.79</v>
      </c>
      <c r="N81" s="0" t="n">
        <v>111.83</v>
      </c>
      <c r="O81" s="0" t="n">
        <v>115.89</v>
      </c>
      <c r="P81" s="0" t="n">
        <v>113.78</v>
      </c>
      <c r="Q81" s="0" t="n">
        <v>108.16</v>
      </c>
      <c r="R81" s="0" t="n">
        <v>116.05</v>
      </c>
      <c r="S81" s="0" t="n">
        <v>136.53</v>
      </c>
      <c r="T81" s="0" t="n">
        <v>161.18</v>
      </c>
      <c r="U81" s="0" t="n">
        <v>142.85</v>
      </c>
      <c r="V81" s="0" t="n">
        <v>135.28</v>
      </c>
      <c r="W81" s="0" t="n">
        <v>103.79</v>
      </c>
      <c r="X81" s="0" t="n">
        <v>0</v>
      </c>
      <c r="Y81" s="0" t="n">
        <v>0</v>
      </c>
    </row>
    <row r="82" customFormat="false" ht="15" hidden="false" customHeight="false" outlineLevel="0" collapsed="false">
      <c r="A82" s="0" t="n">
        <v>8663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88.32</v>
      </c>
      <c r="H82" s="0" t="n">
        <v>83.4</v>
      </c>
      <c r="I82" s="0" t="n">
        <v>82.42</v>
      </c>
      <c r="J82" s="0" t="n">
        <v>82.92</v>
      </c>
      <c r="K82" s="0" t="n">
        <v>82.87</v>
      </c>
      <c r="L82" s="0" t="n">
        <v>87.13</v>
      </c>
      <c r="M82" s="0" t="n">
        <v>84.8</v>
      </c>
      <c r="N82" s="0" t="n">
        <v>86.52</v>
      </c>
      <c r="O82" s="0" t="n">
        <v>83.41</v>
      </c>
      <c r="P82" s="0" t="n">
        <v>87.34</v>
      </c>
      <c r="Q82" s="0" t="n">
        <v>89.19</v>
      </c>
      <c r="R82" s="0" t="n">
        <v>86.85</v>
      </c>
      <c r="S82" s="0" t="n">
        <v>82.81</v>
      </c>
      <c r="T82" s="0" t="n">
        <v>59.72</v>
      </c>
      <c r="U82" s="0" t="n">
        <v>82.24</v>
      </c>
      <c r="V82" s="0" t="n">
        <v>84.62</v>
      </c>
      <c r="W82" s="0" t="n">
        <v>83.26</v>
      </c>
      <c r="X82" s="0" t="n">
        <v>0</v>
      </c>
      <c r="Y82" s="0" t="n">
        <v>0</v>
      </c>
    </row>
    <row r="83" customFormat="false" ht="15" hidden="false" customHeight="false" outlineLevel="0" collapsed="false">
      <c r="A83" s="0" t="n">
        <v>8665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66.43</v>
      </c>
      <c r="H83" s="0" t="n">
        <v>73.23</v>
      </c>
      <c r="I83" s="0" t="n">
        <v>88.95</v>
      </c>
      <c r="J83" s="0" t="n">
        <v>92.01</v>
      </c>
      <c r="K83" s="0" t="n">
        <v>89.3</v>
      </c>
      <c r="L83" s="0" t="n">
        <v>90.55</v>
      </c>
      <c r="M83" s="0" t="n">
        <v>96.07</v>
      </c>
      <c r="N83" s="0" t="n">
        <v>104.36</v>
      </c>
      <c r="O83" s="0" t="n">
        <v>101.37</v>
      </c>
      <c r="P83" s="0" t="n">
        <v>96.2</v>
      </c>
      <c r="Q83" s="0" t="n">
        <v>95.27</v>
      </c>
      <c r="R83" s="0" t="n">
        <v>94.89</v>
      </c>
      <c r="S83" s="0" t="n">
        <v>95.73</v>
      </c>
      <c r="T83" s="0" t="n">
        <v>94.77</v>
      </c>
      <c r="U83" s="0" t="n">
        <v>92.26</v>
      </c>
      <c r="V83" s="0" t="n">
        <v>97.02</v>
      </c>
      <c r="W83" s="0" t="n">
        <v>94.05</v>
      </c>
      <c r="X83" s="0" t="n">
        <v>0</v>
      </c>
      <c r="Y83" s="0" t="n">
        <v>0</v>
      </c>
    </row>
    <row r="84" customFormat="false" ht="15" hidden="false" customHeight="false" outlineLevel="0" collapsed="false">
      <c r="A84" s="0" t="n">
        <v>8666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67.16</v>
      </c>
      <c r="H84" s="0" t="n">
        <v>58.6</v>
      </c>
      <c r="I84" s="0" t="n">
        <v>56.07</v>
      </c>
      <c r="J84" s="0" t="n">
        <v>52.58</v>
      </c>
      <c r="K84" s="0" t="n">
        <v>50.55</v>
      </c>
      <c r="L84" s="0" t="n">
        <v>53.01</v>
      </c>
      <c r="M84" s="0" t="n">
        <v>43.93</v>
      </c>
      <c r="N84" s="0" t="n">
        <v>42.04</v>
      </c>
      <c r="O84" s="0" t="n">
        <v>43.36</v>
      </c>
      <c r="P84" s="0" t="n">
        <v>56.91</v>
      </c>
      <c r="Q84" s="0" t="n">
        <v>55.94</v>
      </c>
      <c r="R84" s="0" t="n">
        <v>57.3</v>
      </c>
      <c r="S84" s="0" t="n">
        <v>59</v>
      </c>
      <c r="T84" s="0" t="n">
        <v>61.26</v>
      </c>
      <c r="U84" s="0" t="n">
        <v>51.7</v>
      </c>
      <c r="V84" s="0" t="n">
        <v>60.92</v>
      </c>
      <c r="W84" s="0" t="n">
        <v>51.83</v>
      </c>
      <c r="X84" s="0" t="n">
        <v>0</v>
      </c>
      <c r="Y84" s="0" t="n">
        <v>0</v>
      </c>
    </row>
    <row r="85" customFormat="false" ht="15" hidden="false" customHeight="false" outlineLevel="0" collapsed="false">
      <c r="A85" s="0" t="n">
        <v>8667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242.74</v>
      </c>
      <c r="H85" s="0" t="n">
        <v>219.19</v>
      </c>
      <c r="I85" s="0" t="n">
        <v>209.34</v>
      </c>
      <c r="J85" s="0" t="n">
        <v>210.33</v>
      </c>
      <c r="K85" s="0" t="n">
        <v>189.9</v>
      </c>
      <c r="L85" s="0" t="n">
        <v>190.38</v>
      </c>
      <c r="M85" s="0" t="n">
        <v>193.93</v>
      </c>
      <c r="N85" s="0" t="n">
        <v>203.58</v>
      </c>
      <c r="O85" s="0" t="n">
        <v>205.73</v>
      </c>
      <c r="P85" s="0" t="n">
        <v>206.28</v>
      </c>
      <c r="Q85" s="0" t="n">
        <v>209.82</v>
      </c>
      <c r="R85" s="0" t="n">
        <v>233.02</v>
      </c>
      <c r="S85" s="0" t="n">
        <v>237.28</v>
      </c>
      <c r="T85" s="0" t="n">
        <v>266.33</v>
      </c>
      <c r="U85" s="0" t="n">
        <v>225.34</v>
      </c>
      <c r="V85" s="0" t="n">
        <v>236</v>
      </c>
      <c r="W85" s="0" t="n">
        <v>204.34</v>
      </c>
      <c r="X85" s="0" t="n">
        <v>0</v>
      </c>
      <c r="Y85" s="0" t="n">
        <v>0</v>
      </c>
    </row>
    <row r="86" customFormat="false" ht="15" hidden="false" customHeight="false" outlineLevel="0" collapsed="false">
      <c r="A86" s="0" t="n">
        <v>8670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271.49</v>
      </c>
      <c r="H86" s="0" t="n">
        <v>223.27</v>
      </c>
      <c r="I86" s="0" t="n">
        <v>165.31</v>
      </c>
      <c r="J86" s="0" t="n">
        <v>212.39</v>
      </c>
      <c r="K86" s="0" t="n">
        <v>192.81</v>
      </c>
      <c r="L86" s="0" t="n">
        <v>199.72</v>
      </c>
      <c r="M86" s="0" t="n">
        <v>242.68</v>
      </c>
      <c r="N86" s="0" t="n">
        <v>304.15</v>
      </c>
      <c r="O86" s="0" t="n">
        <v>226.56</v>
      </c>
      <c r="P86" s="0" t="n">
        <v>226.4</v>
      </c>
      <c r="Q86" s="0" t="n">
        <v>216.69</v>
      </c>
      <c r="R86" s="0" t="n">
        <v>185.6</v>
      </c>
      <c r="S86" s="0" t="n">
        <v>167.69</v>
      </c>
      <c r="T86" s="0" t="n">
        <v>176.58</v>
      </c>
      <c r="U86" s="0" t="n">
        <v>191.31</v>
      </c>
      <c r="V86" s="0" t="n">
        <v>206.85</v>
      </c>
      <c r="W86" s="0" t="n">
        <v>196.66</v>
      </c>
      <c r="X86" s="0" t="n">
        <v>0</v>
      </c>
      <c r="Y86" s="0" t="n">
        <v>0</v>
      </c>
    </row>
    <row r="87" customFormat="false" ht="15" hidden="false" customHeight="false" outlineLevel="0" collapsed="false">
      <c r="A87" s="0" t="n">
        <v>8671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59.65</v>
      </c>
      <c r="H87" s="0" t="n">
        <v>58.03</v>
      </c>
      <c r="I87" s="0" t="n">
        <v>88.58</v>
      </c>
      <c r="J87" s="0" t="n">
        <v>110.11</v>
      </c>
      <c r="K87" s="0" t="n">
        <v>86.86</v>
      </c>
      <c r="L87" s="0" t="n">
        <v>94.08</v>
      </c>
      <c r="M87" s="0" t="n">
        <v>60.44</v>
      </c>
      <c r="N87" s="0" t="n">
        <v>164.62</v>
      </c>
      <c r="O87" s="0" t="n">
        <v>102.38</v>
      </c>
      <c r="P87" s="0" t="n">
        <v>95.01</v>
      </c>
      <c r="Q87" s="0" t="n">
        <v>128.23</v>
      </c>
      <c r="R87" s="0" t="n">
        <v>157.68</v>
      </c>
      <c r="S87" s="0" t="n">
        <v>163.88</v>
      </c>
      <c r="T87" s="0" t="n">
        <v>215.59</v>
      </c>
      <c r="U87" s="0" t="n">
        <v>255.58</v>
      </c>
      <c r="V87" s="0" t="n">
        <v>212.36</v>
      </c>
      <c r="W87" s="0" t="n">
        <v>149.56</v>
      </c>
      <c r="X87" s="0" t="n">
        <v>0</v>
      </c>
      <c r="Y87" s="0" t="n">
        <v>0</v>
      </c>
    </row>
    <row r="88" customFormat="false" ht="15" hidden="false" customHeight="false" outlineLevel="0" collapsed="false">
      <c r="A88" s="0" t="n">
        <v>8672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71.29</v>
      </c>
      <c r="I88" s="0" t="n">
        <v>81.17</v>
      </c>
      <c r="J88" s="0" t="n">
        <v>67.38</v>
      </c>
      <c r="K88" s="0" t="n">
        <v>86.28</v>
      </c>
      <c r="L88" s="0" t="n">
        <v>82.2</v>
      </c>
      <c r="M88" s="0" t="n">
        <v>101.38</v>
      </c>
      <c r="N88" s="0" t="n">
        <v>107.26</v>
      </c>
      <c r="O88" s="0" t="n">
        <v>107.01</v>
      </c>
      <c r="P88" s="0" t="n">
        <v>97.17</v>
      </c>
      <c r="Q88" s="0" t="n">
        <v>98.27</v>
      </c>
      <c r="R88" s="0" t="n">
        <v>76.38</v>
      </c>
      <c r="S88" s="0" t="n">
        <v>108.71</v>
      </c>
      <c r="T88" s="0" t="n">
        <v>56.84</v>
      </c>
      <c r="U88" s="0" t="n">
        <v>83.29</v>
      </c>
      <c r="V88" s="0" t="n">
        <v>110.19</v>
      </c>
      <c r="W88" s="0" t="n">
        <v>105.17</v>
      </c>
      <c r="X88" s="0" t="n">
        <v>0</v>
      </c>
      <c r="Y88" s="0" t="n">
        <v>0</v>
      </c>
    </row>
    <row r="89" customFormat="false" ht="15" hidden="false" customHeight="false" outlineLevel="0" collapsed="false">
      <c r="A89" s="0" t="n">
        <v>8674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237.82</v>
      </c>
      <c r="J89" s="0" t="n">
        <v>194.8</v>
      </c>
      <c r="K89" s="0" t="n">
        <v>152.7</v>
      </c>
      <c r="L89" s="0" t="n">
        <v>84.08</v>
      </c>
      <c r="M89" s="0" t="n">
        <v>156.38</v>
      </c>
      <c r="N89" s="0" t="n">
        <v>191.84</v>
      </c>
      <c r="O89" s="0" t="n">
        <v>247.16</v>
      </c>
      <c r="P89" s="0" t="n">
        <v>137.84</v>
      </c>
      <c r="Q89" s="0" t="n">
        <v>112.15</v>
      </c>
      <c r="R89" s="0" t="n">
        <v>186.88</v>
      </c>
      <c r="S89" s="0" t="n">
        <v>247.21</v>
      </c>
      <c r="T89" s="0" t="n">
        <v>287.01</v>
      </c>
      <c r="U89" s="0" t="n">
        <v>230.81</v>
      </c>
      <c r="V89" s="0" t="n">
        <v>276.44</v>
      </c>
      <c r="W89" s="0" t="n">
        <v>139.84</v>
      </c>
      <c r="X89" s="0" t="n">
        <v>0</v>
      </c>
      <c r="Y89" s="0" t="n">
        <v>0</v>
      </c>
    </row>
    <row r="90" customFormat="false" ht="15" hidden="false" customHeight="false" outlineLevel="0" collapsed="false">
      <c r="A90" s="0" t="n">
        <v>8676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371.95</v>
      </c>
      <c r="J90" s="0" t="n">
        <v>624.44</v>
      </c>
      <c r="K90" s="0" t="n">
        <v>608.5</v>
      </c>
      <c r="L90" s="0" t="n">
        <v>558.97</v>
      </c>
      <c r="M90" s="0" t="n">
        <v>531.97</v>
      </c>
      <c r="N90" s="0" t="n">
        <v>602.51</v>
      </c>
      <c r="O90" s="0" t="n">
        <v>614.23</v>
      </c>
      <c r="P90" s="0" t="n">
        <v>527.74</v>
      </c>
      <c r="Q90" s="0" t="n">
        <v>518.28</v>
      </c>
      <c r="R90" s="0" t="n">
        <v>526.58</v>
      </c>
      <c r="S90" s="0" t="n">
        <v>689.52</v>
      </c>
      <c r="T90" s="0" t="n">
        <v>670.6</v>
      </c>
      <c r="U90" s="0" t="n">
        <v>530.95</v>
      </c>
      <c r="V90" s="0" t="n">
        <v>522.32</v>
      </c>
      <c r="W90" s="0" t="n">
        <v>506.43</v>
      </c>
      <c r="X90" s="0" t="n">
        <v>0</v>
      </c>
      <c r="Y90" s="0" t="n">
        <v>0</v>
      </c>
    </row>
    <row r="91" customFormat="false" ht="15" hidden="false" customHeight="false" outlineLevel="0" collapsed="false">
      <c r="A91" s="0" t="n">
        <v>8677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130.28</v>
      </c>
      <c r="K91" s="0" t="n">
        <v>86.89</v>
      </c>
      <c r="L91" s="0" t="n">
        <v>123.44</v>
      </c>
      <c r="M91" s="0" t="n">
        <v>100.73</v>
      </c>
      <c r="N91" s="0" t="n">
        <v>168.47</v>
      </c>
      <c r="O91" s="0" t="n">
        <v>174.45</v>
      </c>
      <c r="P91" s="0" t="n">
        <v>139.44</v>
      </c>
      <c r="Q91" s="0" t="n">
        <v>129.46</v>
      </c>
      <c r="R91" s="0" t="n">
        <v>108.57</v>
      </c>
      <c r="S91" s="0" t="n">
        <v>121.96</v>
      </c>
      <c r="T91" s="0" t="n">
        <v>139.72</v>
      </c>
      <c r="U91" s="0" t="n">
        <v>108.09</v>
      </c>
      <c r="V91" s="0" t="n">
        <v>113.96</v>
      </c>
      <c r="W91" s="0" t="n">
        <v>110.63</v>
      </c>
      <c r="X91" s="0" t="n">
        <v>0</v>
      </c>
      <c r="Y91" s="0" t="n">
        <v>0</v>
      </c>
    </row>
    <row r="92" customFormat="false" ht="15" hidden="false" customHeight="false" outlineLevel="0" collapsed="false">
      <c r="A92" s="0" t="n">
        <v>8678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156.99</v>
      </c>
      <c r="K92" s="0" t="n">
        <v>159.88</v>
      </c>
      <c r="L92" s="0" t="n">
        <v>155.71</v>
      </c>
      <c r="M92" s="0" t="n">
        <v>179.05</v>
      </c>
      <c r="N92" s="0" t="n">
        <v>158.95</v>
      </c>
      <c r="O92" s="0" t="n">
        <v>171.66</v>
      </c>
      <c r="P92" s="0" t="n">
        <v>160.19</v>
      </c>
      <c r="Q92" s="0" t="n">
        <v>168.94</v>
      </c>
      <c r="R92" s="0" t="n">
        <v>155.65</v>
      </c>
      <c r="S92" s="0" t="n">
        <v>129.09</v>
      </c>
      <c r="T92" s="0" t="n">
        <v>128.09</v>
      </c>
      <c r="U92" s="0" t="n">
        <v>127.88</v>
      </c>
      <c r="V92" s="0" t="n">
        <v>132.18</v>
      </c>
      <c r="W92" s="0" t="n">
        <v>145.46</v>
      </c>
      <c r="X92" s="0" t="n">
        <v>0</v>
      </c>
      <c r="Y92" s="0" t="n">
        <v>0</v>
      </c>
    </row>
    <row r="93" customFormat="false" ht="15" hidden="false" customHeight="false" outlineLevel="0" collapsed="false">
      <c r="A93" s="0" t="n">
        <v>8679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55.51</v>
      </c>
      <c r="K93" s="0" t="n">
        <v>54.59</v>
      </c>
      <c r="L93" s="0" t="n">
        <v>55.04</v>
      </c>
      <c r="M93" s="0" t="n">
        <v>57.65</v>
      </c>
      <c r="N93" s="0" t="n">
        <v>61.04</v>
      </c>
      <c r="O93" s="0" t="n">
        <v>63.23</v>
      </c>
      <c r="P93" s="0" t="n">
        <v>58.99</v>
      </c>
      <c r="Q93" s="0" t="n">
        <v>53.54</v>
      </c>
      <c r="R93" s="0" t="n">
        <v>53.16</v>
      </c>
      <c r="S93" s="0" t="n">
        <v>50.92</v>
      </c>
      <c r="T93" s="0" t="n">
        <v>52.69</v>
      </c>
      <c r="U93" s="0" t="n">
        <v>51.88</v>
      </c>
      <c r="V93" s="0" t="n">
        <v>51.56</v>
      </c>
      <c r="W93" s="0" t="n">
        <v>50.65</v>
      </c>
      <c r="X93" s="0" t="n">
        <v>0</v>
      </c>
      <c r="Y93" s="0" t="n">
        <v>0</v>
      </c>
    </row>
    <row r="94" customFormat="false" ht="15" hidden="false" customHeight="false" outlineLevel="0" collapsed="false">
      <c r="A94" s="0" t="n">
        <v>8680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112.02</v>
      </c>
      <c r="K94" s="0" t="n">
        <v>144.01</v>
      </c>
      <c r="L94" s="0" t="n">
        <v>145.69</v>
      </c>
      <c r="M94" s="0" t="n">
        <v>154.99</v>
      </c>
      <c r="N94" s="0" t="n">
        <v>145.89</v>
      </c>
      <c r="O94" s="0" t="n">
        <v>151.85</v>
      </c>
      <c r="P94" s="0" t="n">
        <v>136.86</v>
      </c>
      <c r="Q94" s="0" t="n">
        <v>134.53</v>
      </c>
      <c r="R94" s="0" t="n">
        <v>144.57</v>
      </c>
      <c r="S94" s="0" t="n">
        <v>150.52</v>
      </c>
      <c r="T94" s="0" t="n">
        <v>181.28</v>
      </c>
      <c r="U94" s="0" t="n">
        <v>153.51</v>
      </c>
      <c r="V94" s="0" t="n">
        <v>166.78</v>
      </c>
      <c r="W94" s="0" t="n">
        <v>143.64</v>
      </c>
      <c r="X94" s="0" t="n">
        <v>0</v>
      </c>
      <c r="Y94" s="0" t="n">
        <v>0</v>
      </c>
    </row>
    <row r="95" customFormat="false" ht="15" hidden="false" customHeight="false" outlineLevel="0" collapsed="false">
      <c r="A95" s="0" t="n">
        <v>8681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114.03</v>
      </c>
      <c r="K95" s="0" t="n">
        <v>0</v>
      </c>
      <c r="L95" s="0" t="n">
        <v>87.24</v>
      </c>
      <c r="M95" s="0" t="n">
        <v>101.39</v>
      </c>
      <c r="N95" s="0" t="n">
        <v>120.89</v>
      </c>
      <c r="O95" s="0" t="n">
        <v>93.58</v>
      </c>
      <c r="P95" s="0" t="n">
        <v>0</v>
      </c>
      <c r="Q95" s="0" t="n">
        <v>89.5</v>
      </c>
      <c r="R95" s="0" t="n">
        <v>107.26</v>
      </c>
      <c r="S95" s="0" t="n">
        <v>158.65</v>
      </c>
      <c r="T95" s="0" t="n">
        <v>169.19</v>
      </c>
      <c r="U95" s="0" t="n">
        <v>125.64</v>
      </c>
      <c r="V95" s="0" t="n">
        <v>130.05</v>
      </c>
      <c r="W95" s="0" t="n">
        <v>95.55</v>
      </c>
      <c r="X95" s="0" t="n">
        <v>0</v>
      </c>
      <c r="Y95" s="0" t="n">
        <v>0</v>
      </c>
    </row>
    <row r="96" customFormat="false" ht="15" hidden="false" customHeight="false" outlineLevel="0" collapsed="false">
      <c r="A96" s="0" t="n">
        <v>8682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60.82</v>
      </c>
      <c r="J96" s="0" t="n">
        <v>108.09</v>
      </c>
      <c r="K96" s="0" t="n">
        <v>85.8</v>
      </c>
      <c r="L96" s="0" t="n">
        <v>81.15</v>
      </c>
      <c r="M96" s="0" t="n">
        <v>80.82</v>
      </c>
      <c r="N96" s="0" t="n">
        <v>80.07</v>
      </c>
      <c r="O96" s="0" t="n">
        <v>80.14</v>
      </c>
      <c r="P96" s="0" t="n">
        <v>80.85</v>
      </c>
      <c r="Q96" s="0" t="n">
        <v>80.09</v>
      </c>
      <c r="R96" s="0" t="n">
        <v>90.46</v>
      </c>
      <c r="S96" s="0" t="n">
        <v>112.04</v>
      </c>
      <c r="T96" s="0" t="n">
        <v>121.6</v>
      </c>
      <c r="U96" s="0" t="n">
        <v>104.6</v>
      </c>
      <c r="V96" s="0" t="n">
        <v>109.16</v>
      </c>
      <c r="W96" s="0" t="n">
        <v>88.23</v>
      </c>
      <c r="X96" s="0" t="n">
        <v>0</v>
      </c>
      <c r="Y96" s="0" t="n">
        <v>0</v>
      </c>
    </row>
    <row r="97" customFormat="false" ht="15" hidden="false" customHeight="false" outlineLevel="0" collapsed="false">
      <c r="A97" s="0" t="n">
        <v>8683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71.25</v>
      </c>
      <c r="J97" s="0" t="n">
        <v>119.33</v>
      </c>
      <c r="K97" s="0" t="n">
        <v>141.22</v>
      </c>
      <c r="L97" s="0" t="n">
        <v>141.85</v>
      </c>
      <c r="M97" s="0" t="n">
        <v>148.12</v>
      </c>
      <c r="N97" s="0" t="n">
        <v>205.23</v>
      </c>
      <c r="O97" s="0" t="n">
        <v>219.62</v>
      </c>
      <c r="P97" s="0" t="n">
        <v>133.77</v>
      </c>
      <c r="Q97" s="0" t="n">
        <v>144.42</v>
      </c>
      <c r="R97" s="0" t="n">
        <v>102.84</v>
      </c>
      <c r="S97" s="0" t="n">
        <v>127.74</v>
      </c>
      <c r="T97" s="0" t="n">
        <v>119.1</v>
      </c>
      <c r="U97" s="0" t="n">
        <v>115.51</v>
      </c>
      <c r="V97" s="0" t="n">
        <v>113.22</v>
      </c>
      <c r="W97" s="0" t="n">
        <v>115.73</v>
      </c>
      <c r="X97" s="0" t="n">
        <v>0</v>
      </c>
      <c r="Y97" s="0" t="n">
        <v>0</v>
      </c>
    </row>
    <row r="98" customFormat="false" ht="15" hidden="false" customHeight="false" outlineLevel="0" collapsed="false">
      <c r="A98" s="0" t="n">
        <v>8685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91.49</v>
      </c>
      <c r="K98" s="0" t="n">
        <v>0</v>
      </c>
      <c r="L98" s="0" t="n">
        <v>100.61</v>
      </c>
      <c r="M98" s="0" t="n">
        <v>69.69</v>
      </c>
      <c r="N98" s="0" t="n">
        <v>101.34</v>
      </c>
      <c r="O98" s="0" t="n">
        <v>96.5</v>
      </c>
      <c r="P98" s="0" t="n">
        <v>109.71</v>
      </c>
      <c r="Q98" s="0" t="n">
        <v>99.05</v>
      </c>
      <c r="R98" s="0" t="n">
        <v>104.36</v>
      </c>
      <c r="S98" s="0" t="n">
        <v>112.78</v>
      </c>
      <c r="T98" s="0" t="n">
        <v>137.89</v>
      </c>
      <c r="U98" s="0" t="n">
        <v>93.58</v>
      </c>
      <c r="V98" s="0" t="n">
        <v>89.09</v>
      </c>
      <c r="W98" s="0" t="n">
        <v>85.99</v>
      </c>
      <c r="X98" s="0" t="n">
        <v>0</v>
      </c>
      <c r="Y98" s="0" t="n">
        <v>0</v>
      </c>
    </row>
    <row r="99" customFormat="false" ht="15" hidden="false" customHeight="false" outlineLevel="0" collapsed="false">
      <c r="A99" s="0" t="n">
        <v>8686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85.37</v>
      </c>
      <c r="M99" s="0" t="n">
        <v>85.27</v>
      </c>
      <c r="N99" s="0" t="n">
        <v>128.1</v>
      </c>
      <c r="O99" s="0" t="n">
        <v>138.43</v>
      </c>
      <c r="P99" s="0" t="n">
        <v>93.14</v>
      </c>
      <c r="Q99" s="0" t="n">
        <v>98.52</v>
      </c>
      <c r="R99" s="0" t="n">
        <v>114.92</v>
      </c>
      <c r="S99" s="0" t="n">
        <v>236.9</v>
      </c>
      <c r="T99" s="0" t="n">
        <v>220.23</v>
      </c>
      <c r="U99" s="0" t="n">
        <v>156.77</v>
      </c>
      <c r="V99" s="0" t="n">
        <v>189.43</v>
      </c>
      <c r="W99" s="0" t="n">
        <v>92.52</v>
      </c>
      <c r="X99" s="0" t="n">
        <v>0</v>
      </c>
      <c r="Y99" s="0" t="n">
        <v>0</v>
      </c>
    </row>
    <row r="100" customFormat="false" ht="15" hidden="false" customHeight="false" outlineLevel="0" collapsed="false">
      <c r="A100" s="0" t="n">
        <v>8687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29.23</v>
      </c>
      <c r="M100" s="0" t="n">
        <v>44.55</v>
      </c>
      <c r="N100" s="0" t="n">
        <v>26.01</v>
      </c>
      <c r="O100" s="0" t="n">
        <v>53.09</v>
      </c>
      <c r="P100" s="0" t="n">
        <v>48.21</v>
      </c>
      <c r="Q100" s="0" t="n">
        <v>52.08</v>
      </c>
      <c r="R100" s="0" t="n">
        <v>42.39</v>
      </c>
      <c r="S100" s="0" t="n">
        <v>63.74</v>
      </c>
      <c r="T100" s="0" t="n">
        <v>29.62</v>
      </c>
      <c r="U100" s="0" t="n">
        <v>52.02</v>
      </c>
      <c r="V100" s="0" t="n">
        <v>45.72</v>
      </c>
      <c r="W100" s="0" t="n">
        <v>51.48</v>
      </c>
      <c r="X100" s="0" t="n">
        <v>0</v>
      </c>
      <c r="Y100" s="0" t="n">
        <v>0</v>
      </c>
    </row>
    <row r="101" customFormat="false" ht="15" hidden="false" customHeight="false" outlineLevel="0" collapsed="false">
      <c r="A101" s="0" t="n">
        <v>8688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42.6</v>
      </c>
      <c r="M101" s="0" t="n">
        <v>0</v>
      </c>
      <c r="N101" s="0" t="n">
        <v>35.75</v>
      </c>
      <c r="O101" s="0" t="n">
        <v>36.09</v>
      </c>
      <c r="P101" s="0" t="n">
        <v>32.82</v>
      </c>
      <c r="Q101" s="0" t="n">
        <v>31.05</v>
      </c>
      <c r="R101" s="0" t="n">
        <v>30.64</v>
      </c>
      <c r="S101" s="0" t="n">
        <v>31.9</v>
      </c>
      <c r="T101" s="0" t="n">
        <v>33.88</v>
      </c>
      <c r="U101" s="0" t="n">
        <v>28.96</v>
      </c>
      <c r="V101" s="0" t="n">
        <v>29.65</v>
      </c>
      <c r="W101" s="0" t="n">
        <v>28.71</v>
      </c>
      <c r="X101" s="0" t="n">
        <v>0</v>
      </c>
      <c r="Y101" s="0" t="n">
        <v>0</v>
      </c>
    </row>
    <row r="102" customFormat="false" ht="15" hidden="false" customHeight="false" outlineLevel="0" collapsed="false">
      <c r="A102" s="0" t="n">
        <v>8689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119.86</v>
      </c>
      <c r="O102" s="0" t="n">
        <v>120.44</v>
      </c>
      <c r="P102" s="0" t="n">
        <v>133.01</v>
      </c>
      <c r="Q102" s="0" t="n">
        <v>119.55</v>
      </c>
      <c r="R102" s="0" t="n">
        <v>112.61</v>
      </c>
      <c r="S102" s="0" t="n">
        <v>80.83</v>
      </c>
      <c r="T102" s="0" t="n">
        <v>86.53</v>
      </c>
      <c r="U102" s="0" t="n">
        <v>41.27</v>
      </c>
      <c r="V102" s="0" t="n">
        <v>49.23</v>
      </c>
      <c r="W102" s="0" t="n">
        <v>34.7</v>
      </c>
      <c r="X102" s="0" t="n">
        <v>0</v>
      </c>
      <c r="Y102" s="0" t="n">
        <v>0</v>
      </c>
    </row>
    <row r="103" customFormat="false" ht="15" hidden="false" customHeight="false" outlineLevel="0" collapsed="false">
      <c r="A103" s="0" t="n">
        <v>8690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232.86</v>
      </c>
      <c r="O103" s="0" t="n">
        <v>319.29</v>
      </c>
      <c r="P103" s="0" t="n">
        <v>331.38</v>
      </c>
      <c r="Q103" s="0" t="n">
        <v>319.24</v>
      </c>
      <c r="R103" s="0" t="n">
        <v>236.66</v>
      </c>
      <c r="S103" s="0" t="n">
        <v>238.63</v>
      </c>
      <c r="T103" s="0" t="n">
        <v>231.31</v>
      </c>
      <c r="U103" s="0" t="n">
        <v>138.31</v>
      </c>
      <c r="V103" s="0" t="n">
        <v>250.68</v>
      </c>
      <c r="W103" s="0" t="n">
        <v>314.85</v>
      </c>
      <c r="X103" s="0" t="n">
        <v>0</v>
      </c>
      <c r="Y103" s="0" t="n">
        <v>0</v>
      </c>
    </row>
    <row r="104" customFormat="false" ht="15" hidden="false" customHeight="false" outlineLevel="0" collapsed="false">
      <c r="A104" s="0" t="n">
        <v>8692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48.02</v>
      </c>
      <c r="P104" s="0" t="n">
        <v>0</v>
      </c>
      <c r="Q104" s="0" t="n">
        <v>0</v>
      </c>
      <c r="R104" s="0" t="n">
        <v>52.29</v>
      </c>
      <c r="S104" s="0" t="n">
        <v>53.54</v>
      </c>
      <c r="T104" s="0" t="n">
        <v>37.74</v>
      </c>
      <c r="U104" s="0" t="n">
        <v>42.72</v>
      </c>
      <c r="V104" s="0" t="n">
        <v>47.49</v>
      </c>
      <c r="W104" s="0" t="n">
        <v>47.07</v>
      </c>
      <c r="X104" s="0" t="n">
        <v>0</v>
      </c>
      <c r="Y104" s="0" t="n">
        <v>0</v>
      </c>
    </row>
    <row r="105" customFormat="false" ht="15" hidden="false" customHeight="false" outlineLevel="0" collapsed="false">
      <c r="A105" s="0" t="n">
        <v>8693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101.99</v>
      </c>
      <c r="P105" s="0" t="n">
        <v>0</v>
      </c>
      <c r="Q105" s="0" t="n">
        <v>0</v>
      </c>
      <c r="R105" s="0" t="n">
        <v>54.46</v>
      </c>
      <c r="S105" s="0" t="n">
        <v>48.72</v>
      </c>
      <c r="T105" s="0" t="n">
        <v>55.89</v>
      </c>
      <c r="U105" s="0" t="n">
        <v>53.5</v>
      </c>
      <c r="V105" s="0" t="n">
        <v>52.85</v>
      </c>
      <c r="W105" s="0" t="n">
        <v>49.47</v>
      </c>
      <c r="X105" s="0" t="n">
        <v>0</v>
      </c>
      <c r="Y105" s="0" t="n">
        <v>0</v>
      </c>
    </row>
    <row r="106" customFormat="false" ht="15" hidden="false" customHeight="false" outlineLevel="0" collapsed="false">
      <c r="A106" s="0" t="n">
        <v>8694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30.58</v>
      </c>
      <c r="S106" s="0" t="n">
        <v>68.22</v>
      </c>
      <c r="T106" s="0" t="n">
        <v>116.82</v>
      </c>
      <c r="U106" s="0" t="n">
        <v>110.26</v>
      </c>
      <c r="V106" s="0" t="n">
        <v>109.66</v>
      </c>
      <c r="W106" s="0" t="n">
        <v>92.76</v>
      </c>
      <c r="X106" s="0" t="n">
        <v>0</v>
      </c>
      <c r="Y106" s="0" t="n">
        <v>0</v>
      </c>
    </row>
    <row r="107" customFormat="false" ht="15" hidden="false" customHeight="false" outlineLevel="0" collapsed="false">
      <c r="A107" s="0" t="n">
        <v>8695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42.26</v>
      </c>
      <c r="R107" s="0" t="n">
        <v>40.45</v>
      </c>
      <c r="S107" s="0" t="n">
        <v>40.36</v>
      </c>
      <c r="T107" s="0" t="n">
        <v>41.3</v>
      </c>
      <c r="U107" s="0" t="n">
        <v>40.68</v>
      </c>
      <c r="V107" s="0" t="n">
        <v>43.96</v>
      </c>
      <c r="W107" s="0" t="n">
        <v>41.92</v>
      </c>
      <c r="X107" s="0" t="n">
        <v>0</v>
      </c>
      <c r="Y107" s="0" t="n">
        <v>0</v>
      </c>
    </row>
    <row r="108" customFormat="false" ht="15" hidden="false" customHeight="false" outlineLevel="0" collapsed="false">
      <c r="A108" s="0" t="n">
        <v>8696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94.36</v>
      </c>
      <c r="R108" s="0" t="n">
        <v>70.41</v>
      </c>
      <c r="S108" s="0" t="n">
        <v>41.79</v>
      </c>
      <c r="T108" s="0" t="n">
        <v>42.14</v>
      </c>
      <c r="U108" s="0" t="n">
        <v>46.75</v>
      </c>
      <c r="V108" s="0" t="n">
        <v>40.63</v>
      </c>
      <c r="W108" s="0" t="n">
        <v>34.86</v>
      </c>
      <c r="X108" s="0" t="n">
        <v>0</v>
      </c>
      <c r="Y108" s="0" t="n">
        <v>0</v>
      </c>
    </row>
    <row r="109" customFormat="false" ht="15" hidden="false" customHeight="false" outlineLevel="0" collapsed="false">
      <c r="A109" s="0" t="n">
        <v>8697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65.76</v>
      </c>
      <c r="P109" s="0" t="n">
        <v>0</v>
      </c>
      <c r="Q109" s="0" t="n">
        <v>0</v>
      </c>
      <c r="R109" s="0" t="n">
        <v>37.24</v>
      </c>
      <c r="S109" s="0" t="n">
        <v>36.49</v>
      </c>
      <c r="T109" s="0" t="n">
        <v>38.72</v>
      </c>
      <c r="U109" s="0" t="n">
        <v>36.12</v>
      </c>
      <c r="V109" s="0" t="n">
        <v>34.5</v>
      </c>
      <c r="W109" s="0" t="n">
        <v>37.58</v>
      </c>
      <c r="X109" s="0" t="n">
        <v>0</v>
      </c>
      <c r="Y109" s="0" t="n">
        <v>0</v>
      </c>
    </row>
    <row r="110" customFormat="false" ht="15" hidden="false" customHeight="false" outlineLevel="0" collapsed="false">
      <c r="A110" s="0" t="n">
        <v>8698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104.92</v>
      </c>
      <c r="R110" s="0" t="n">
        <v>256.57</v>
      </c>
      <c r="S110" s="0" t="n">
        <v>406.3</v>
      </c>
      <c r="T110" s="0" t="n">
        <v>391.89</v>
      </c>
      <c r="U110" s="0" t="n">
        <v>260.7</v>
      </c>
      <c r="V110" s="0" t="n">
        <v>291.94</v>
      </c>
      <c r="W110" s="0" t="n">
        <v>227.31</v>
      </c>
      <c r="X110" s="0" t="n">
        <v>0</v>
      </c>
      <c r="Y110" s="0" t="n">
        <v>0</v>
      </c>
    </row>
    <row r="111" customFormat="false" ht="15" hidden="false" customHeight="false" outlineLevel="0" collapsed="false">
      <c r="A111" s="0" t="n">
        <v>8702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69.47</v>
      </c>
      <c r="U111" s="0" t="n">
        <v>119.54</v>
      </c>
      <c r="V111" s="0" t="n">
        <v>117.27</v>
      </c>
      <c r="W111" s="0" t="n">
        <v>89.59</v>
      </c>
      <c r="X111" s="0" t="n">
        <v>0</v>
      </c>
      <c r="Y111" s="0" t="n">
        <v>0</v>
      </c>
    </row>
    <row r="112" customFormat="false" ht="15" hidden="false" customHeight="false" outlineLevel="0" collapsed="false">
      <c r="A112" s="0" t="n">
        <v>8703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86.78</v>
      </c>
      <c r="U112" s="0" t="n">
        <v>195.72</v>
      </c>
      <c r="V112" s="0" t="n">
        <v>162.48</v>
      </c>
      <c r="W112" s="0" t="n">
        <v>142.15</v>
      </c>
      <c r="X112" s="0" t="n">
        <v>0</v>
      </c>
      <c r="Y112" s="0" t="n">
        <v>0</v>
      </c>
    </row>
    <row r="113" customFormat="false" ht="15" hidden="false" customHeight="false" outlineLevel="0" collapsed="false">
      <c r="A113" s="0" t="n">
        <v>8704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82.27</v>
      </c>
      <c r="V113" s="0" t="n">
        <v>78.03</v>
      </c>
      <c r="W113" s="0" t="n">
        <v>69.14</v>
      </c>
      <c r="X113" s="0" t="n">
        <v>0</v>
      </c>
      <c r="Y113" s="0" t="n">
        <v>0</v>
      </c>
    </row>
    <row r="114" customFormat="false" ht="15" hidden="false" customHeight="false" outlineLevel="0" collapsed="false">
      <c r="A114" s="0" t="n">
        <v>8706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53.48</v>
      </c>
      <c r="V114" s="0" t="n">
        <v>57.25</v>
      </c>
      <c r="W114" s="0" t="n">
        <v>56.12</v>
      </c>
      <c r="X114" s="0" t="n">
        <v>0</v>
      </c>
      <c r="Y114" s="0" t="n">
        <v>0</v>
      </c>
    </row>
    <row r="115" customFormat="false" ht="15" hidden="false" customHeight="false" outlineLevel="0" collapsed="false">
      <c r="A115" s="0" t="n">
        <v>8707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49.6</v>
      </c>
      <c r="W115" s="0" t="n">
        <v>40.88</v>
      </c>
      <c r="X115" s="0" t="n">
        <v>0</v>
      </c>
      <c r="Y115" s="0" t="n">
        <v>0</v>
      </c>
    </row>
    <row r="116" customFormat="false" ht="15" hidden="false" customHeight="false" outlineLevel="0" collapsed="false">
      <c r="A116" s="0" t="n">
        <v>8708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271.71</v>
      </c>
      <c r="V116" s="0" t="n">
        <v>96.34</v>
      </c>
      <c r="W116" s="0" t="n">
        <v>94.96</v>
      </c>
      <c r="X116" s="0" t="n">
        <v>0</v>
      </c>
      <c r="Y116" s="0" t="n">
        <v>0</v>
      </c>
    </row>
    <row r="117" customFormat="false" ht="15" hidden="false" customHeight="false" outlineLevel="0" collapsed="false">
      <c r="A117" s="0" t="n">
        <v>8709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107.46</v>
      </c>
      <c r="V117" s="0" t="n">
        <v>111.89</v>
      </c>
      <c r="W117" s="0" t="n">
        <v>117.07</v>
      </c>
      <c r="X117" s="0" t="n">
        <v>0</v>
      </c>
      <c r="Y117" s="0" t="n">
        <v>0</v>
      </c>
    </row>
    <row r="118" customFormat="false" ht="15" hidden="false" customHeight="false" outlineLevel="0" collapsed="false">
      <c r="A118" s="0" t="n">
        <v>8710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78.71</v>
      </c>
      <c r="V118" s="0" t="n">
        <v>82.54</v>
      </c>
      <c r="W118" s="0" t="n">
        <v>64.82</v>
      </c>
      <c r="X118" s="0" t="n">
        <v>0</v>
      </c>
      <c r="Y118" s="0" t="n">
        <v>0</v>
      </c>
    </row>
    <row r="119" customFormat="false" ht="15" hidden="false" customHeight="false" outlineLevel="0" collapsed="false">
      <c r="A119" s="0" t="n">
        <v>8711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62.66</v>
      </c>
      <c r="V119" s="0" t="n">
        <v>52.63</v>
      </c>
      <c r="W119" s="0" t="n">
        <v>53.78</v>
      </c>
      <c r="X119" s="0" t="n">
        <v>0</v>
      </c>
      <c r="Y119" s="0" t="n">
        <v>0</v>
      </c>
    </row>
    <row r="120" customFormat="false" ht="15" hidden="false" customHeight="false" outlineLevel="0" collapsed="false">
      <c r="A120" s="0" t="n">
        <v>8712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61.16</v>
      </c>
      <c r="V120" s="0" t="n">
        <v>87.04</v>
      </c>
      <c r="W120" s="0" t="n">
        <v>81.16</v>
      </c>
      <c r="X120" s="0" t="n">
        <v>0</v>
      </c>
      <c r="Y120" s="0" t="n">
        <v>0</v>
      </c>
    </row>
    <row r="121" customFormat="false" ht="15" hidden="false" customHeight="false" outlineLevel="0" collapsed="false">
      <c r="A121" s="0" t="n">
        <v>8714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45.1</v>
      </c>
      <c r="V121" s="0" t="n">
        <v>71.24</v>
      </c>
      <c r="W121" s="0" t="n">
        <v>68.52</v>
      </c>
      <c r="X121" s="0" t="n">
        <v>0</v>
      </c>
      <c r="Y121" s="0" t="n">
        <v>0</v>
      </c>
    </row>
    <row r="122" customFormat="false" ht="15" hidden="false" customHeight="false" outlineLevel="0" collapsed="false">
      <c r="A122" s="0" t="n">
        <v>8715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39.06</v>
      </c>
      <c r="V122" s="0" t="n">
        <v>57.14</v>
      </c>
      <c r="W122" s="0" t="n">
        <v>47.65</v>
      </c>
      <c r="X122" s="0" t="n">
        <v>0</v>
      </c>
      <c r="Y122" s="0" t="n">
        <v>0</v>
      </c>
    </row>
    <row r="123" customFormat="false" ht="15" hidden="false" customHeight="false" outlineLevel="0" collapsed="false">
      <c r="A123" s="0" t="n">
        <v>8716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14.59</v>
      </c>
      <c r="V123" s="0" t="n">
        <v>78.76</v>
      </c>
      <c r="W123" s="0" t="n">
        <v>73.51</v>
      </c>
      <c r="X123" s="0" t="n">
        <v>0</v>
      </c>
      <c r="Y123" s="0" t="n">
        <v>0</v>
      </c>
    </row>
    <row r="124" customFormat="false" ht="15" hidden="false" customHeight="false" outlineLevel="0" collapsed="false">
      <c r="A124" s="0" t="n">
        <v>8717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28.44</v>
      </c>
      <c r="V124" s="0" t="n">
        <v>72.12</v>
      </c>
      <c r="W124" s="0" t="n">
        <v>49.98</v>
      </c>
      <c r="X124" s="0" t="n">
        <v>0</v>
      </c>
      <c r="Y124" s="0" t="n">
        <v>0</v>
      </c>
    </row>
    <row r="125" customFormat="false" ht="15" hidden="false" customHeight="false" outlineLevel="0" collapsed="false">
      <c r="A125" s="0" t="n">
        <v>8718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10.51</v>
      </c>
      <c r="V125" s="0" t="n">
        <v>82.43</v>
      </c>
      <c r="W125" s="0" t="n">
        <v>48.26</v>
      </c>
      <c r="X125" s="0" t="n">
        <v>0</v>
      </c>
      <c r="Y125" s="0" t="n">
        <v>0</v>
      </c>
    </row>
    <row r="126" customFormat="false" ht="15" hidden="false" customHeight="false" outlineLevel="0" collapsed="false">
      <c r="A126" s="0" t="n">
        <v>8719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40.58</v>
      </c>
      <c r="X126" s="0" t="n">
        <v>0</v>
      </c>
      <c r="Y126" s="0" t="n">
        <v>0</v>
      </c>
    </row>
    <row r="127" customFormat="false" ht="15" hidden="false" customHeight="false" outlineLevel="0" collapsed="false">
      <c r="A127" s="0" t="n">
        <v>8720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47.83</v>
      </c>
      <c r="X127" s="0" t="n">
        <v>0</v>
      </c>
      <c r="Y127" s="0" t="n">
        <v>0</v>
      </c>
    </row>
    <row r="128" customFormat="false" ht="15" hidden="false" customHeight="false" outlineLevel="0" collapsed="false">
      <c r="A128" s="0" t="n">
        <v>8721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65.18</v>
      </c>
      <c r="X128" s="0" t="n">
        <v>0</v>
      </c>
      <c r="Y128" s="0" t="n">
        <v>0</v>
      </c>
    </row>
    <row r="129" customFormat="false" ht="15" hidden="false" customHeight="false" outlineLevel="0" collapsed="false">
      <c r="A129" s="0" t="n">
        <v>8722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66.33</v>
      </c>
      <c r="W129" s="0" t="n">
        <v>58.66</v>
      </c>
      <c r="X129" s="0" t="n">
        <v>0</v>
      </c>
      <c r="Y129" s="0" t="n">
        <v>0</v>
      </c>
    </row>
    <row r="130" customFormat="false" ht="15" hidden="false" customHeight="false" outlineLevel="0" collapsed="false">
      <c r="A130" s="0" t="n">
        <v>8723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77.85</v>
      </c>
      <c r="W130" s="0" t="n">
        <v>104.62</v>
      </c>
      <c r="X130" s="0" t="n">
        <v>0</v>
      </c>
      <c r="Y130" s="0" t="n">
        <v>0</v>
      </c>
    </row>
    <row r="131" customFormat="false" ht="15" hidden="false" customHeight="false" outlineLevel="0" collapsed="false">
      <c r="A131" s="0" t="n">
        <v>8724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26.05</v>
      </c>
      <c r="X131" s="0" t="n">
        <v>0</v>
      </c>
      <c r="Y131" s="0" t="n">
        <v>0</v>
      </c>
    </row>
    <row r="132" customFormat="false" ht="15" hidden="false" customHeight="false" outlineLevel="0" collapsed="false">
      <c r="A132" s="0" t="n">
        <v>8725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88.1</v>
      </c>
      <c r="X132" s="0" t="n">
        <v>0</v>
      </c>
      <c r="Y132" s="0" t="n">
        <v>0</v>
      </c>
    </row>
    <row r="133" customFormat="false" ht="15" hidden="false" customHeight="false" outlineLevel="0" collapsed="false">
      <c r="A133" s="0" t="n">
        <v>8726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58.7</v>
      </c>
      <c r="X133" s="0" t="n">
        <v>0</v>
      </c>
      <c r="Y133" s="0" t="n">
        <v>0</v>
      </c>
    </row>
    <row r="134" customFormat="false" ht="15" hidden="false" customHeight="false" outlineLevel="0" collapsed="false">
      <c r="A134" s="0" t="n">
        <v>8727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54.97</v>
      </c>
      <c r="X134" s="0" t="n">
        <v>0</v>
      </c>
      <c r="Y134" s="0" t="n">
        <v>0</v>
      </c>
    </row>
    <row r="135" customFormat="false" ht="15" hidden="false" customHeight="false" outlineLevel="0" collapsed="false">
      <c r="A135" s="0" t="n">
        <v>8728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33.35</v>
      </c>
      <c r="X135" s="0" t="n">
        <v>0</v>
      </c>
      <c r="Y135" s="0" t="n">
        <v>0</v>
      </c>
    </row>
    <row r="136" customFormat="false" ht="15" hidden="false" customHeight="false" outlineLevel="0" collapsed="false">
      <c r="A136" s="0" t="n">
        <v>8729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60.42</v>
      </c>
      <c r="X136" s="0" t="n">
        <v>0</v>
      </c>
      <c r="Y136" s="0" t="n">
        <v>0</v>
      </c>
    </row>
    <row r="137" customFormat="false" ht="15" hidden="false" customHeight="false" outlineLevel="0" collapsed="false">
      <c r="A137" s="0" t="n">
        <v>8730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480.78</v>
      </c>
      <c r="G137" s="0" t="n">
        <v>869.3</v>
      </c>
      <c r="H137" s="0" t="n">
        <v>484.66</v>
      </c>
      <c r="I137" s="0" t="n">
        <v>499.94</v>
      </c>
      <c r="J137" s="0" t="n">
        <v>802.97</v>
      </c>
      <c r="K137" s="0" t="n">
        <v>1074.48</v>
      </c>
      <c r="L137" s="0" t="n">
        <v>997.35</v>
      </c>
      <c r="M137" s="0" t="n">
        <v>1001.22</v>
      </c>
      <c r="N137" s="0" t="n">
        <v>1957.85</v>
      </c>
      <c r="O137" s="0" t="n">
        <v>79.62</v>
      </c>
      <c r="P137" s="0" t="n">
        <v>1019.69</v>
      </c>
      <c r="Q137" s="0" t="n">
        <v>699.4</v>
      </c>
      <c r="R137" s="0" t="n">
        <v>233.98</v>
      </c>
      <c r="S137" s="0" t="n">
        <v>803.7</v>
      </c>
      <c r="T137" s="0" t="n">
        <v>716.71</v>
      </c>
      <c r="U137" s="0" t="n">
        <v>712.12</v>
      </c>
      <c r="V137" s="0" t="n">
        <v>540.74</v>
      </c>
      <c r="W137" s="0" t="n">
        <v>624.71</v>
      </c>
      <c r="X137" s="0" t="n">
        <v>0</v>
      </c>
      <c r="Y13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2026-06-29T12:07:15Z</dcterms:created>
  <dc:creator>openpyxl</dc:creator>
  <dc:description/>
  <dc:language>en-US</dc:language>
  <cp:lastModifiedBy/>
  <dcterms:modified xsi:type="dcterms:W3CDTF">2026-06-29T12:07:40Z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