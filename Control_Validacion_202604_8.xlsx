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2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bertodesanctis/Downloads/"/>
    </mc:Choice>
  </mc:AlternateContent>
  <xr:revisionPtr revIDLastSave="0" documentId="13_ncr:1_{0B16F9A5-AC9D-5546-96C8-A6A3A7D9C929}" xr6:coauthVersionLast="47" xr6:coauthVersionMax="47" xr10:uidLastSave="{00000000-0000-0000-0000-000000000000}"/>
  <bookViews>
    <workbookView xWindow="0" yWindow="660" windowWidth="24620" windowHeight="16580" tabRatio="500" activeTab="4" xr2:uid="{00000000-000D-0000-FFFF-FFFF00000000}"/>
  </bookViews>
  <sheets>
    <sheet name="Resumen Global" sheetId="1" r:id="rId1"/>
    <sheet name="Resumen 3.0TD" sheetId="2" r:id="rId2"/>
    <sheet name="Detalle 3.0TD" sheetId="3" r:id="rId3"/>
    <sheet name="Resumen 2.0TD" sheetId="4" r:id="rId4"/>
    <sheet name="Detalle 2.0TD" sheetId="5" r:id="rId5"/>
    <sheet name="_series_3" sheetId="6" state="hidden" r:id="rId6"/>
    <sheet name="_series_2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113" i="5" l="1"/>
  <c r="J2113" i="5"/>
  <c r="F2113" i="5"/>
  <c r="N2112" i="5"/>
  <c r="J2112" i="5"/>
  <c r="F2112" i="5"/>
  <c r="C2112" i="5"/>
  <c r="N2111" i="5"/>
  <c r="J2111" i="5"/>
  <c r="F2111" i="5"/>
  <c r="C2111" i="5"/>
  <c r="J2110" i="5"/>
  <c r="B2110" i="5"/>
  <c r="F2110" i="5" s="1"/>
  <c r="J2109" i="5"/>
  <c r="B2109" i="5"/>
  <c r="F2109" i="5" s="1"/>
  <c r="AB2108" i="5"/>
  <c r="N2108" i="5"/>
  <c r="J2108" i="5"/>
  <c r="B2108" i="5"/>
  <c r="F2108" i="5" s="1"/>
  <c r="N2107" i="5"/>
  <c r="N2114" i="5" s="1"/>
  <c r="J2107" i="5"/>
  <c r="J2114" i="5" s="1"/>
  <c r="F2107" i="5"/>
  <c r="C2107" i="5"/>
  <c r="N2106" i="5"/>
  <c r="J2106" i="5"/>
  <c r="F2106" i="5"/>
  <c r="C2106" i="5"/>
  <c r="F2099" i="5"/>
  <c r="F2098" i="5"/>
  <c r="C2098" i="5"/>
  <c r="F2097" i="5"/>
  <c r="C2097" i="5"/>
  <c r="B2096" i="5"/>
  <c r="F2096" i="5" s="1"/>
  <c r="B2095" i="5"/>
  <c r="F2095" i="5" s="1"/>
  <c r="AB2094" i="5"/>
  <c r="B2094" i="5"/>
  <c r="F2094" i="5" s="1"/>
  <c r="AD2101" i="5" s="1"/>
  <c r="K139" i="4" s="1"/>
  <c r="F2093" i="5"/>
  <c r="C2093" i="5"/>
  <c r="F2092" i="5"/>
  <c r="C2092" i="5"/>
  <c r="F2085" i="5"/>
  <c r="F2084" i="5"/>
  <c r="C2084" i="5"/>
  <c r="F2083" i="5"/>
  <c r="C2083" i="5"/>
  <c r="B2082" i="5"/>
  <c r="F2082" i="5" s="1"/>
  <c r="B2081" i="5"/>
  <c r="F2081" i="5" s="1"/>
  <c r="AB2080" i="5"/>
  <c r="B2080" i="5"/>
  <c r="F2080" i="5" s="1"/>
  <c r="F2079" i="5"/>
  <c r="C2079" i="5"/>
  <c r="F2078" i="5"/>
  <c r="C2078" i="5"/>
  <c r="F2071" i="5"/>
  <c r="F2070" i="5"/>
  <c r="C2070" i="5"/>
  <c r="F2069" i="5"/>
  <c r="C2069" i="5"/>
  <c r="B2068" i="5"/>
  <c r="F2068" i="5" s="1"/>
  <c r="B2067" i="5"/>
  <c r="F2067" i="5" s="1"/>
  <c r="AB2066" i="5"/>
  <c r="B2066" i="5"/>
  <c r="F2066" i="5" s="1"/>
  <c r="F2065" i="5"/>
  <c r="C2065" i="5"/>
  <c r="F2064" i="5"/>
  <c r="C2064" i="5"/>
  <c r="F2057" i="5"/>
  <c r="F2056" i="5"/>
  <c r="C2056" i="5"/>
  <c r="F2055" i="5"/>
  <c r="C2055" i="5"/>
  <c r="B2054" i="5"/>
  <c r="F2054" i="5" s="1"/>
  <c r="B2053" i="5"/>
  <c r="F2053" i="5" s="1"/>
  <c r="AB2052" i="5"/>
  <c r="F2052" i="5"/>
  <c r="B2052" i="5"/>
  <c r="F2051" i="5"/>
  <c r="C2051" i="5"/>
  <c r="F2050" i="5"/>
  <c r="C2050" i="5"/>
  <c r="F2043" i="5"/>
  <c r="F2042" i="5"/>
  <c r="C2042" i="5"/>
  <c r="F2041" i="5"/>
  <c r="C2041" i="5"/>
  <c r="B2040" i="5"/>
  <c r="F2040" i="5" s="1"/>
  <c r="B2039" i="5"/>
  <c r="F2039" i="5" s="1"/>
  <c r="AB2038" i="5"/>
  <c r="B2038" i="5"/>
  <c r="F2038" i="5" s="1"/>
  <c r="F2037" i="5"/>
  <c r="C2037" i="5"/>
  <c r="F2036" i="5"/>
  <c r="C2036" i="5"/>
  <c r="F2029" i="5"/>
  <c r="F2028" i="5"/>
  <c r="C2028" i="5"/>
  <c r="F2027" i="5"/>
  <c r="C2027" i="5"/>
  <c r="B2026" i="5"/>
  <c r="F2026" i="5" s="1"/>
  <c r="B2025" i="5"/>
  <c r="F2025" i="5" s="1"/>
  <c r="AB2024" i="5"/>
  <c r="B2024" i="5"/>
  <c r="F2024" i="5" s="1"/>
  <c r="AD2031" i="5" s="1"/>
  <c r="K134" i="4" s="1"/>
  <c r="F2023" i="5"/>
  <c r="C2023" i="5"/>
  <c r="F2022" i="5"/>
  <c r="C2022" i="5"/>
  <c r="J2015" i="5"/>
  <c r="F2015" i="5"/>
  <c r="J2014" i="5"/>
  <c r="F2014" i="5"/>
  <c r="C2014" i="5"/>
  <c r="J2013" i="5"/>
  <c r="F2013" i="5"/>
  <c r="C2013" i="5"/>
  <c r="J2012" i="5"/>
  <c r="B2012" i="5"/>
  <c r="F2012" i="5" s="1"/>
  <c r="J2011" i="5"/>
  <c r="B2011" i="5"/>
  <c r="F2011" i="5" s="1"/>
  <c r="AB2010" i="5"/>
  <c r="J2010" i="5"/>
  <c r="B2010" i="5"/>
  <c r="F2010" i="5" s="1"/>
  <c r="J2009" i="5"/>
  <c r="F2009" i="5"/>
  <c r="C2009" i="5"/>
  <c r="J2008" i="5"/>
  <c r="J2016" i="5" s="1"/>
  <c r="F2008" i="5"/>
  <c r="C2008" i="5"/>
  <c r="J2001" i="5"/>
  <c r="F2001" i="5"/>
  <c r="J2000" i="5"/>
  <c r="F2000" i="5"/>
  <c r="C2000" i="5"/>
  <c r="J1999" i="5"/>
  <c r="F1999" i="5"/>
  <c r="C1999" i="5"/>
  <c r="J1998" i="5"/>
  <c r="B1998" i="5"/>
  <c r="F1998" i="5" s="1"/>
  <c r="J1997" i="5"/>
  <c r="B1997" i="5"/>
  <c r="F1997" i="5" s="1"/>
  <c r="AB1996" i="5"/>
  <c r="J1996" i="5"/>
  <c r="F1996" i="5"/>
  <c r="B1996" i="5"/>
  <c r="J1995" i="5"/>
  <c r="F1995" i="5"/>
  <c r="C1995" i="5"/>
  <c r="J1994" i="5"/>
  <c r="J2002" i="5" s="1"/>
  <c r="F1994" i="5"/>
  <c r="C1994" i="5"/>
  <c r="F1987" i="5"/>
  <c r="F1986" i="5"/>
  <c r="C1986" i="5"/>
  <c r="F1985" i="5"/>
  <c r="C1985" i="5"/>
  <c r="B1984" i="5"/>
  <c r="F1984" i="5" s="1"/>
  <c r="B1983" i="5"/>
  <c r="F1983" i="5" s="1"/>
  <c r="AB1982" i="5"/>
  <c r="B1982" i="5"/>
  <c r="F1982" i="5" s="1"/>
  <c r="F1981" i="5"/>
  <c r="C1981" i="5"/>
  <c r="F1980" i="5"/>
  <c r="C1980" i="5"/>
  <c r="F1973" i="5"/>
  <c r="F1972" i="5"/>
  <c r="C1972" i="5"/>
  <c r="F1971" i="5"/>
  <c r="C1971" i="5"/>
  <c r="B1970" i="5"/>
  <c r="F1970" i="5" s="1"/>
  <c r="B1969" i="5"/>
  <c r="F1969" i="5" s="1"/>
  <c r="AB1968" i="5"/>
  <c r="F1968" i="5"/>
  <c r="B1968" i="5"/>
  <c r="F1967" i="5"/>
  <c r="C1967" i="5"/>
  <c r="F1966" i="5"/>
  <c r="C1966" i="5"/>
  <c r="F1959" i="5"/>
  <c r="F1958" i="5"/>
  <c r="C1958" i="5"/>
  <c r="F1957" i="5"/>
  <c r="C1957" i="5"/>
  <c r="B1956" i="5"/>
  <c r="F1956" i="5" s="1"/>
  <c r="B1955" i="5"/>
  <c r="F1955" i="5" s="1"/>
  <c r="AB1954" i="5"/>
  <c r="B1954" i="5"/>
  <c r="F1954" i="5" s="1"/>
  <c r="F1953" i="5"/>
  <c r="C1953" i="5"/>
  <c r="F1952" i="5"/>
  <c r="C1952" i="5"/>
  <c r="J1946" i="5"/>
  <c r="J1945" i="5"/>
  <c r="F1945" i="5"/>
  <c r="J1944" i="5"/>
  <c r="F1944" i="5"/>
  <c r="C1944" i="5"/>
  <c r="J1943" i="5"/>
  <c r="F1943" i="5"/>
  <c r="C1943" i="5"/>
  <c r="J1942" i="5"/>
  <c r="B1942" i="5"/>
  <c r="F1942" i="5" s="1"/>
  <c r="J1941" i="5"/>
  <c r="B1941" i="5"/>
  <c r="F1941" i="5" s="1"/>
  <c r="AB1940" i="5"/>
  <c r="J1940" i="5"/>
  <c r="B1940" i="5"/>
  <c r="F1940" i="5" s="1"/>
  <c r="J1939" i="5"/>
  <c r="F1939" i="5"/>
  <c r="C1939" i="5"/>
  <c r="J1938" i="5"/>
  <c r="F1938" i="5"/>
  <c r="C1938" i="5"/>
  <c r="J1931" i="5"/>
  <c r="F1931" i="5"/>
  <c r="J1930" i="5"/>
  <c r="F1930" i="5"/>
  <c r="C1930" i="5"/>
  <c r="J1929" i="5"/>
  <c r="F1929" i="5"/>
  <c r="C1929" i="5"/>
  <c r="B1928" i="5"/>
  <c r="F1928" i="5" s="1"/>
  <c r="B1927" i="5"/>
  <c r="F1927" i="5" s="1"/>
  <c r="AB1926" i="5"/>
  <c r="J1926" i="5"/>
  <c r="B1926" i="5"/>
  <c r="F1926" i="5" s="1"/>
  <c r="J1925" i="5"/>
  <c r="J1932" i="5" s="1"/>
  <c r="F1925" i="5"/>
  <c r="C1925" i="5"/>
  <c r="J1924" i="5"/>
  <c r="F1924" i="5"/>
  <c r="C1924" i="5"/>
  <c r="J1918" i="5"/>
  <c r="J1917" i="5"/>
  <c r="F1917" i="5"/>
  <c r="J1916" i="5"/>
  <c r="F1916" i="5"/>
  <c r="C1916" i="5"/>
  <c r="J1915" i="5"/>
  <c r="F1915" i="5"/>
  <c r="C1915" i="5"/>
  <c r="J1914" i="5"/>
  <c r="F1914" i="5"/>
  <c r="B1914" i="5"/>
  <c r="J1913" i="5"/>
  <c r="B1913" i="5"/>
  <c r="F1913" i="5" s="1"/>
  <c r="AB1912" i="5"/>
  <c r="J1912" i="5"/>
  <c r="B1912" i="5"/>
  <c r="F1912" i="5" s="1"/>
  <c r="J1911" i="5"/>
  <c r="F1911" i="5"/>
  <c r="C1911" i="5"/>
  <c r="J1910" i="5"/>
  <c r="F1910" i="5"/>
  <c r="C1910" i="5"/>
  <c r="J1903" i="5"/>
  <c r="F1903" i="5"/>
  <c r="J1902" i="5"/>
  <c r="F1902" i="5"/>
  <c r="C1902" i="5"/>
  <c r="J1901" i="5"/>
  <c r="F1901" i="5"/>
  <c r="C1901" i="5"/>
  <c r="J1900" i="5"/>
  <c r="B1900" i="5"/>
  <c r="F1900" i="5" s="1"/>
  <c r="J1899" i="5"/>
  <c r="B1899" i="5"/>
  <c r="F1899" i="5" s="1"/>
  <c r="AB1898" i="5"/>
  <c r="J1898" i="5"/>
  <c r="J1904" i="5" s="1"/>
  <c r="B1898" i="5"/>
  <c r="F1898" i="5" s="1"/>
  <c r="J1897" i="5"/>
  <c r="F1897" i="5"/>
  <c r="C1897" i="5"/>
  <c r="J1896" i="5"/>
  <c r="F1896" i="5"/>
  <c r="C1896" i="5"/>
  <c r="J1889" i="5"/>
  <c r="F1889" i="5"/>
  <c r="J1888" i="5"/>
  <c r="F1888" i="5"/>
  <c r="C1888" i="5"/>
  <c r="J1887" i="5"/>
  <c r="F1887" i="5"/>
  <c r="C1887" i="5"/>
  <c r="J1886" i="5"/>
  <c r="B1886" i="5"/>
  <c r="F1886" i="5" s="1"/>
  <c r="J1885" i="5"/>
  <c r="F1885" i="5"/>
  <c r="B1885" i="5"/>
  <c r="AB1884" i="5"/>
  <c r="J1884" i="5"/>
  <c r="B1884" i="5"/>
  <c r="F1884" i="5" s="1"/>
  <c r="J1883" i="5"/>
  <c r="F1883" i="5"/>
  <c r="C1883" i="5"/>
  <c r="J1882" i="5"/>
  <c r="F1882" i="5"/>
  <c r="C1882" i="5"/>
  <c r="J1875" i="5"/>
  <c r="F1875" i="5"/>
  <c r="J1874" i="5"/>
  <c r="F1874" i="5"/>
  <c r="C1874" i="5"/>
  <c r="J1873" i="5"/>
  <c r="F1873" i="5"/>
  <c r="C1873" i="5"/>
  <c r="J1872" i="5"/>
  <c r="B1872" i="5"/>
  <c r="F1872" i="5" s="1"/>
  <c r="J1871" i="5"/>
  <c r="B1871" i="5"/>
  <c r="F1871" i="5" s="1"/>
  <c r="B1877" i="5" s="1"/>
  <c r="D1877" i="5" s="1"/>
  <c r="AB1870" i="5"/>
  <c r="J1870" i="5"/>
  <c r="J1876" i="5" s="1"/>
  <c r="B1870" i="5"/>
  <c r="F1870" i="5" s="1"/>
  <c r="J1869" i="5"/>
  <c r="F1869" i="5"/>
  <c r="C1869" i="5"/>
  <c r="J1868" i="5"/>
  <c r="F1868" i="5"/>
  <c r="C1868" i="5"/>
  <c r="J1861" i="5"/>
  <c r="F1861" i="5"/>
  <c r="J1860" i="5"/>
  <c r="F1860" i="5"/>
  <c r="C1860" i="5"/>
  <c r="J1859" i="5"/>
  <c r="F1859" i="5"/>
  <c r="C1859" i="5"/>
  <c r="J1858" i="5"/>
  <c r="F1858" i="5"/>
  <c r="B1858" i="5"/>
  <c r="J1857" i="5"/>
  <c r="B1857" i="5"/>
  <c r="F1857" i="5" s="1"/>
  <c r="AB1856" i="5"/>
  <c r="J1856" i="5"/>
  <c r="B1856" i="5"/>
  <c r="F1856" i="5" s="1"/>
  <c r="AD1863" i="5" s="1"/>
  <c r="J1855" i="5"/>
  <c r="F1855" i="5"/>
  <c r="C1855" i="5"/>
  <c r="J1854" i="5"/>
  <c r="F1854" i="5"/>
  <c r="C1854" i="5"/>
  <c r="J1847" i="5"/>
  <c r="F1847" i="5"/>
  <c r="J1846" i="5"/>
  <c r="F1846" i="5"/>
  <c r="C1846" i="5"/>
  <c r="J1845" i="5"/>
  <c r="F1845" i="5"/>
  <c r="C1845" i="5"/>
  <c r="J1844" i="5"/>
  <c r="B1844" i="5"/>
  <c r="F1844" i="5" s="1"/>
  <c r="J1843" i="5"/>
  <c r="B1843" i="5"/>
  <c r="F1843" i="5" s="1"/>
  <c r="AB1842" i="5"/>
  <c r="J1842" i="5"/>
  <c r="B1842" i="5"/>
  <c r="F1842" i="5" s="1"/>
  <c r="J1841" i="5"/>
  <c r="F1841" i="5"/>
  <c r="C1841" i="5"/>
  <c r="J1840" i="5"/>
  <c r="F1840" i="5"/>
  <c r="C1840" i="5"/>
  <c r="J1833" i="5"/>
  <c r="F1833" i="5"/>
  <c r="J1832" i="5"/>
  <c r="F1832" i="5"/>
  <c r="C1832" i="5"/>
  <c r="J1831" i="5"/>
  <c r="F1831" i="5"/>
  <c r="C1831" i="5"/>
  <c r="J1830" i="5"/>
  <c r="B1830" i="5"/>
  <c r="F1830" i="5" s="1"/>
  <c r="J1829" i="5"/>
  <c r="B1829" i="5"/>
  <c r="F1829" i="5" s="1"/>
  <c r="AB1828" i="5"/>
  <c r="J1828" i="5"/>
  <c r="J1834" i="5" s="1"/>
  <c r="B1828" i="5"/>
  <c r="F1828" i="5" s="1"/>
  <c r="AD1835" i="5" s="1"/>
  <c r="J1827" i="5"/>
  <c r="F1827" i="5"/>
  <c r="C1827" i="5"/>
  <c r="J1826" i="5"/>
  <c r="F1826" i="5"/>
  <c r="C1826" i="5"/>
  <c r="J1819" i="5"/>
  <c r="F1819" i="5"/>
  <c r="J1818" i="5"/>
  <c r="F1818" i="5"/>
  <c r="C1818" i="5"/>
  <c r="J1817" i="5"/>
  <c r="F1817" i="5"/>
  <c r="C1817" i="5"/>
  <c r="J1816" i="5"/>
  <c r="B1816" i="5"/>
  <c r="F1816" i="5" s="1"/>
  <c r="J1815" i="5"/>
  <c r="B1815" i="5"/>
  <c r="F1815" i="5" s="1"/>
  <c r="AB1814" i="5"/>
  <c r="J1814" i="5"/>
  <c r="B1814" i="5"/>
  <c r="F1814" i="5" s="1"/>
  <c r="J1813" i="5"/>
  <c r="F1813" i="5"/>
  <c r="C1813" i="5"/>
  <c r="J1812" i="5"/>
  <c r="J1820" i="5" s="1"/>
  <c r="F1812" i="5"/>
  <c r="C1812" i="5"/>
  <c r="J1805" i="5"/>
  <c r="F1805" i="5"/>
  <c r="J1804" i="5"/>
  <c r="F1804" i="5"/>
  <c r="C1804" i="5"/>
  <c r="J1803" i="5"/>
  <c r="F1803" i="5"/>
  <c r="C1803" i="5"/>
  <c r="J1802" i="5"/>
  <c r="B1802" i="5"/>
  <c r="F1802" i="5" s="1"/>
  <c r="J1801" i="5"/>
  <c r="B1801" i="5"/>
  <c r="F1801" i="5" s="1"/>
  <c r="AD1807" i="5" s="1"/>
  <c r="K118" i="4" s="1"/>
  <c r="AB1800" i="5"/>
  <c r="J1800" i="5"/>
  <c r="F1800" i="5"/>
  <c r="B1800" i="5"/>
  <c r="J1799" i="5"/>
  <c r="F1799" i="5"/>
  <c r="C1799" i="5"/>
  <c r="J1798" i="5"/>
  <c r="J1806" i="5" s="1"/>
  <c r="F1798" i="5"/>
  <c r="C1798" i="5"/>
  <c r="J1791" i="5"/>
  <c r="F1791" i="5"/>
  <c r="J1790" i="5"/>
  <c r="F1790" i="5"/>
  <c r="C1790" i="5"/>
  <c r="J1789" i="5"/>
  <c r="F1789" i="5"/>
  <c r="C1789" i="5"/>
  <c r="J1788" i="5"/>
  <c r="B1788" i="5"/>
  <c r="F1788" i="5" s="1"/>
  <c r="J1787" i="5"/>
  <c r="B1787" i="5"/>
  <c r="F1787" i="5" s="1"/>
  <c r="AB1786" i="5"/>
  <c r="J1786" i="5"/>
  <c r="J1792" i="5" s="1"/>
  <c r="B1786" i="5"/>
  <c r="F1786" i="5" s="1"/>
  <c r="AD1793" i="5" s="1"/>
  <c r="K117" i="4" s="1"/>
  <c r="J1785" i="5"/>
  <c r="F1785" i="5"/>
  <c r="C1785" i="5"/>
  <c r="J1784" i="5"/>
  <c r="F1784" i="5"/>
  <c r="C1784" i="5"/>
  <c r="J1777" i="5"/>
  <c r="F1777" i="5"/>
  <c r="J1776" i="5"/>
  <c r="F1776" i="5"/>
  <c r="C1776" i="5"/>
  <c r="J1775" i="5"/>
  <c r="F1775" i="5"/>
  <c r="C1775" i="5"/>
  <c r="J1774" i="5"/>
  <c r="F1774" i="5"/>
  <c r="B1779" i="5" s="1"/>
  <c r="B1774" i="5"/>
  <c r="J1773" i="5"/>
  <c r="B1773" i="5"/>
  <c r="F1773" i="5" s="1"/>
  <c r="AB1772" i="5"/>
  <c r="J1772" i="5"/>
  <c r="B1772" i="5"/>
  <c r="F1772" i="5" s="1"/>
  <c r="J1771" i="5"/>
  <c r="F1771" i="5"/>
  <c r="C1771" i="5"/>
  <c r="J1770" i="5"/>
  <c r="F1770" i="5"/>
  <c r="C1770" i="5"/>
  <c r="J1764" i="5"/>
  <c r="J1763" i="5"/>
  <c r="F1763" i="5"/>
  <c r="J1762" i="5"/>
  <c r="F1762" i="5"/>
  <c r="C1762" i="5"/>
  <c r="J1761" i="5"/>
  <c r="F1761" i="5"/>
  <c r="C1761" i="5"/>
  <c r="J1760" i="5"/>
  <c r="F1760" i="5"/>
  <c r="B1760" i="5"/>
  <c r="J1759" i="5"/>
  <c r="B1759" i="5"/>
  <c r="F1759" i="5" s="1"/>
  <c r="AB1758" i="5"/>
  <c r="J1758" i="5"/>
  <c r="B1758" i="5"/>
  <c r="F1758" i="5" s="1"/>
  <c r="J1757" i="5"/>
  <c r="F1757" i="5"/>
  <c r="C1757" i="5"/>
  <c r="J1756" i="5"/>
  <c r="F1756" i="5"/>
  <c r="C1756" i="5"/>
  <c r="J1749" i="5"/>
  <c r="F1749" i="5"/>
  <c r="J1748" i="5"/>
  <c r="F1748" i="5"/>
  <c r="C1748" i="5"/>
  <c r="J1747" i="5"/>
  <c r="F1747" i="5"/>
  <c r="C1747" i="5"/>
  <c r="J1746" i="5"/>
  <c r="B1746" i="5"/>
  <c r="F1746" i="5" s="1"/>
  <c r="J1745" i="5"/>
  <c r="F1745" i="5"/>
  <c r="B1745" i="5"/>
  <c r="AB1744" i="5"/>
  <c r="J1744" i="5"/>
  <c r="B1744" i="5"/>
  <c r="F1744" i="5" s="1"/>
  <c r="J1743" i="5"/>
  <c r="F1743" i="5"/>
  <c r="C1743" i="5"/>
  <c r="J1742" i="5"/>
  <c r="F1742" i="5"/>
  <c r="C1742" i="5"/>
  <c r="F1735" i="5"/>
  <c r="F1737" i="5" s="1"/>
  <c r="J1730" i="5"/>
  <c r="F1730" i="5"/>
  <c r="J1729" i="5"/>
  <c r="F1729" i="5"/>
  <c r="C1729" i="5"/>
  <c r="J1728" i="5"/>
  <c r="F1728" i="5"/>
  <c r="C1728" i="5"/>
  <c r="J1727" i="5"/>
  <c r="B1727" i="5"/>
  <c r="F1727" i="5" s="1"/>
  <c r="J1726" i="5"/>
  <c r="B1726" i="5"/>
  <c r="F1726" i="5" s="1"/>
  <c r="AB1725" i="5"/>
  <c r="J1725" i="5"/>
  <c r="B1725" i="5"/>
  <c r="F1725" i="5" s="1"/>
  <c r="J1724" i="5"/>
  <c r="F1724" i="5"/>
  <c r="C1724" i="5"/>
  <c r="J1723" i="5"/>
  <c r="J1731" i="5" s="1"/>
  <c r="F1723" i="5"/>
  <c r="C1723" i="5"/>
  <c r="J1717" i="5"/>
  <c r="J1716" i="5"/>
  <c r="F1716" i="5"/>
  <c r="J1715" i="5"/>
  <c r="F1715" i="5"/>
  <c r="C1715" i="5"/>
  <c r="J1714" i="5"/>
  <c r="F1714" i="5"/>
  <c r="C1714" i="5"/>
  <c r="J1713" i="5"/>
  <c r="B1713" i="5"/>
  <c r="F1713" i="5" s="1"/>
  <c r="J1712" i="5"/>
  <c r="B1712" i="5"/>
  <c r="F1712" i="5" s="1"/>
  <c r="AB1711" i="5"/>
  <c r="J1711" i="5"/>
  <c r="B1711" i="5"/>
  <c r="F1711" i="5" s="1"/>
  <c r="J1710" i="5"/>
  <c r="F1710" i="5"/>
  <c r="C1710" i="5"/>
  <c r="J1709" i="5"/>
  <c r="F1709" i="5"/>
  <c r="C1709" i="5"/>
  <c r="J1702" i="5"/>
  <c r="F1702" i="5"/>
  <c r="J1701" i="5"/>
  <c r="F1701" i="5"/>
  <c r="C1701" i="5"/>
  <c r="J1700" i="5"/>
  <c r="F1700" i="5"/>
  <c r="C1700" i="5"/>
  <c r="J1699" i="5"/>
  <c r="B1699" i="5"/>
  <c r="F1699" i="5" s="1"/>
  <c r="J1698" i="5"/>
  <c r="B1698" i="5"/>
  <c r="F1698" i="5" s="1"/>
  <c r="AB1697" i="5"/>
  <c r="J1697" i="5"/>
  <c r="B1697" i="5"/>
  <c r="F1697" i="5" s="1"/>
  <c r="J1696" i="5"/>
  <c r="F1696" i="5"/>
  <c r="C1696" i="5"/>
  <c r="J1695" i="5"/>
  <c r="F1695" i="5"/>
  <c r="C1695" i="5"/>
  <c r="J1688" i="5"/>
  <c r="F1688" i="5"/>
  <c r="J1687" i="5"/>
  <c r="F1687" i="5"/>
  <c r="C1687" i="5"/>
  <c r="J1686" i="5"/>
  <c r="F1686" i="5"/>
  <c r="C1686" i="5"/>
  <c r="J1685" i="5"/>
  <c r="B1685" i="5"/>
  <c r="F1685" i="5" s="1"/>
  <c r="J1684" i="5"/>
  <c r="B1684" i="5"/>
  <c r="F1684" i="5" s="1"/>
  <c r="AB1683" i="5"/>
  <c r="J1683" i="5"/>
  <c r="B1683" i="5"/>
  <c r="F1683" i="5" s="1"/>
  <c r="J1682" i="5"/>
  <c r="F1682" i="5"/>
  <c r="C1682" i="5"/>
  <c r="J1681" i="5"/>
  <c r="F1681" i="5"/>
  <c r="C1681" i="5"/>
  <c r="J1674" i="5"/>
  <c r="F1674" i="5"/>
  <c r="J1673" i="5"/>
  <c r="F1673" i="5"/>
  <c r="C1673" i="5"/>
  <c r="J1672" i="5"/>
  <c r="F1672" i="5"/>
  <c r="C1672" i="5"/>
  <c r="J1671" i="5"/>
  <c r="B1671" i="5"/>
  <c r="F1671" i="5" s="1"/>
  <c r="J1670" i="5"/>
  <c r="B1670" i="5"/>
  <c r="F1670" i="5" s="1"/>
  <c r="B1676" i="5" s="1"/>
  <c r="E109" i="4" s="1"/>
  <c r="AB1669" i="5"/>
  <c r="J1669" i="5"/>
  <c r="B1669" i="5"/>
  <c r="F1669" i="5" s="1"/>
  <c r="J1668" i="5"/>
  <c r="F1668" i="5"/>
  <c r="C1668" i="5"/>
  <c r="J1667" i="5"/>
  <c r="J1675" i="5" s="1"/>
  <c r="F1667" i="5"/>
  <c r="C1667" i="5"/>
  <c r="J1660" i="5"/>
  <c r="F1660" i="5"/>
  <c r="J1659" i="5"/>
  <c r="F1659" i="5"/>
  <c r="C1659" i="5"/>
  <c r="J1658" i="5"/>
  <c r="F1658" i="5"/>
  <c r="C1658" i="5"/>
  <c r="J1657" i="5"/>
  <c r="B1657" i="5"/>
  <c r="F1657" i="5" s="1"/>
  <c r="J1656" i="5"/>
  <c r="B1656" i="5"/>
  <c r="F1656" i="5" s="1"/>
  <c r="AB1655" i="5"/>
  <c r="J1655" i="5"/>
  <c r="B1655" i="5"/>
  <c r="F1655" i="5" s="1"/>
  <c r="J1654" i="5"/>
  <c r="F1654" i="5"/>
  <c r="C1654" i="5"/>
  <c r="J1653" i="5"/>
  <c r="J1661" i="5" s="1"/>
  <c r="F1653" i="5"/>
  <c r="C1653" i="5"/>
  <c r="J1646" i="5"/>
  <c r="F1646" i="5"/>
  <c r="J1645" i="5"/>
  <c r="F1645" i="5"/>
  <c r="C1645" i="5"/>
  <c r="J1644" i="5"/>
  <c r="F1644" i="5"/>
  <c r="C1644" i="5"/>
  <c r="J1643" i="5"/>
  <c r="B1643" i="5"/>
  <c r="F1643" i="5" s="1"/>
  <c r="J1642" i="5"/>
  <c r="B1642" i="5"/>
  <c r="F1642" i="5" s="1"/>
  <c r="AB1641" i="5"/>
  <c r="J1641" i="5"/>
  <c r="B1641" i="5"/>
  <c r="F1641" i="5" s="1"/>
  <c r="J1640" i="5"/>
  <c r="F1640" i="5"/>
  <c r="C1640" i="5"/>
  <c r="J1639" i="5"/>
  <c r="J1647" i="5" s="1"/>
  <c r="F1639" i="5"/>
  <c r="C1639" i="5"/>
  <c r="J1632" i="5"/>
  <c r="F1632" i="5"/>
  <c r="J1631" i="5"/>
  <c r="F1631" i="5"/>
  <c r="C1631" i="5"/>
  <c r="J1630" i="5"/>
  <c r="F1630" i="5"/>
  <c r="C1630" i="5"/>
  <c r="J1629" i="5"/>
  <c r="B1629" i="5"/>
  <c r="F1629" i="5" s="1"/>
  <c r="J1628" i="5"/>
  <c r="B1628" i="5"/>
  <c r="F1628" i="5" s="1"/>
  <c r="AB1627" i="5"/>
  <c r="J1627" i="5"/>
  <c r="B1627" i="5"/>
  <c r="F1627" i="5" s="1"/>
  <c r="J1626" i="5"/>
  <c r="F1626" i="5"/>
  <c r="C1626" i="5"/>
  <c r="J1625" i="5"/>
  <c r="J1633" i="5" s="1"/>
  <c r="F1625" i="5"/>
  <c r="C1625" i="5"/>
  <c r="F1620" i="5"/>
  <c r="F1618" i="5"/>
  <c r="J1613" i="5"/>
  <c r="F1613" i="5"/>
  <c r="J1612" i="5"/>
  <c r="F1612" i="5"/>
  <c r="C1612" i="5"/>
  <c r="J1611" i="5"/>
  <c r="F1611" i="5"/>
  <c r="C1611" i="5"/>
  <c r="J1610" i="5"/>
  <c r="F1610" i="5"/>
  <c r="B1610" i="5"/>
  <c r="J1609" i="5"/>
  <c r="B1609" i="5"/>
  <c r="F1609" i="5" s="1"/>
  <c r="AB1608" i="5"/>
  <c r="J1608" i="5"/>
  <c r="J1614" i="5" s="1"/>
  <c r="B1608" i="5"/>
  <c r="F1608" i="5" s="1"/>
  <c r="J1607" i="5"/>
  <c r="F1607" i="5"/>
  <c r="C1607" i="5"/>
  <c r="J1606" i="5"/>
  <c r="F1606" i="5"/>
  <c r="C1606" i="5"/>
  <c r="J1599" i="5"/>
  <c r="F1599" i="5"/>
  <c r="J1598" i="5"/>
  <c r="F1598" i="5"/>
  <c r="C1598" i="5"/>
  <c r="J1597" i="5"/>
  <c r="F1597" i="5"/>
  <c r="C1597" i="5"/>
  <c r="J1596" i="5"/>
  <c r="B1596" i="5"/>
  <c r="F1596" i="5" s="1"/>
  <c r="J1595" i="5"/>
  <c r="F1595" i="5"/>
  <c r="B1595" i="5"/>
  <c r="AB1594" i="5"/>
  <c r="J1594" i="5"/>
  <c r="B1594" i="5"/>
  <c r="F1594" i="5" s="1"/>
  <c r="J1593" i="5"/>
  <c r="F1593" i="5"/>
  <c r="C1593" i="5"/>
  <c r="J1592" i="5"/>
  <c r="J1600" i="5" s="1"/>
  <c r="F1592" i="5"/>
  <c r="C1592" i="5"/>
  <c r="J1585" i="5"/>
  <c r="F1585" i="5"/>
  <c r="J1584" i="5"/>
  <c r="F1584" i="5"/>
  <c r="C1584" i="5"/>
  <c r="J1583" i="5"/>
  <c r="F1583" i="5"/>
  <c r="C1583" i="5"/>
  <c r="J1582" i="5"/>
  <c r="B1582" i="5"/>
  <c r="F1582" i="5" s="1"/>
  <c r="J1581" i="5"/>
  <c r="B1581" i="5"/>
  <c r="F1581" i="5" s="1"/>
  <c r="AB1580" i="5"/>
  <c r="J1580" i="5"/>
  <c r="B1580" i="5"/>
  <c r="F1580" i="5" s="1"/>
  <c r="J1579" i="5"/>
  <c r="F1579" i="5"/>
  <c r="C1579" i="5"/>
  <c r="J1578" i="5"/>
  <c r="J1586" i="5" s="1"/>
  <c r="F1578" i="5"/>
  <c r="C1578" i="5"/>
  <c r="J1571" i="5"/>
  <c r="F1571" i="5"/>
  <c r="J1570" i="5"/>
  <c r="F1570" i="5"/>
  <c r="C1570" i="5"/>
  <c r="J1569" i="5"/>
  <c r="F1569" i="5"/>
  <c r="C1569" i="5"/>
  <c r="J1568" i="5"/>
  <c r="B1568" i="5"/>
  <c r="F1568" i="5" s="1"/>
  <c r="J1567" i="5"/>
  <c r="B1567" i="5"/>
  <c r="F1567" i="5" s="1"/>
  <c r="AB1566" i="5"/>
  <c r="J1566" i="5"/>
  <c r="B1566" i="5"/>
  <c r="F1566" i="5" s="1"/>
  <c r="J1565" i="5"/>
  <c r="F1565" i="5"/>
  <c r="C1565" i="5"/>
  <c r="J1564" i="5"/>
  <c r="J1572" i="5" s="1"/>
  <c r="F1564" i="5"/>
  <c r="C1564" i="5"/>
  <c r="J1557" i="5"/>
  <c r="F1557" i="5"/>
  <c r="J1556" i="5"/>
  <c r="F1556" i="5"/>
  <c r="C1556" i="5"/>
  <c r="J1555" i="5"/>
  <c r="F1555" i="5"/>
  <c r="C1555" i="5"/>
  <c r="J1554" i="5"/>
  <c r="B1554" i="5"/>
  <c r="F1554" i="5" s="1"/>
  <c r="J1553" i="5"/>
  <c r="F1553" i="5"/>
  <c r="B1553" i="5"/>
  <c r="AB1552" i="5"/>
  <c r="J1552" i="5"/>
  <c r="B1552" i="5"/>
  <c r="F1552" i="5" s="1"/>
  <c r="J1551" i="5"/>
  <c r="F1551" i="5"/>
  <c r="C1551" i="5"/>
  <c r="J1550" i="5"/>
  <c r="F1550" i="5"/>
  <c r="C1550" i="5"/>
  <c r="J1544" i="5"/>
  <c r="N1543" i="5"/>
  <c r="J1543" i="5"/>
  <c r="F1543" i="5"/>
  <c r="N1542" i="5"/>
  <c r="J1542" i="5"/>
  <c r="F1542" i="5"/>
  <c r="C1542" i="5"/>
  <c r="N1541" i="5"/>
  <c r="J1541" i="5"/>
  <c r="F1541" i="5"/>
  <c r="C1541" i="5"/>
  <c r="N1540" i="5"/>
  <c r="J1540" i="5"/>
  <c r="B1540" i="5"/>
  <c r="F1540" i="5" s="1"/>
  <c r="N1539" i="5"/>
  <c r="J1539" i="5"/>
  <c r="B1539" i="5"/>
  <c r="F1539" i="5" s="1"/>
  <c r="F1544" i="5" s="1"/>
  <c r="AB1538" i="5"/>
  <c r="N1538" i="5"/>
  <c r="J1538" i="5"/>
  <c r="B1538" i="5"/>
  <c r="F1538" i="5" s="1"/>
  <c r="N1537" i="5"/>
  <c r="J1537" i="5"/>
  <c r="F1537" i="5"/>
  <c r="C1537" i="5"/>
  <c r="N1536" i="5"/>
  <c r="J1536" i="5"/>
  <c r="F1536" i="5"/>
  <c r="C1536" i="5"/>
  <c r="N1529" i="5"/>
  <c r="J1529" i="5"/>
  <c r="F1529" i="5"/>
  <c r="N1528" i="5"/>
  <c r="J1528" i="5"/>
  <c r="F1528" i="5"/>
  <c r="C1528" i="5"/>
  <c r="N1527" i="5"/>
  <c r="J1527" i="5"/>
  <c r="F1527" i="5"/>
  <c r="C1527" i="5"/>
  <c r="N1526" i="5"/>
  <c r="J1526" i="5"/>
  <c r="B1526" i="5"/>
  <c r="F1526" i="5" s="1"/>
  <c r="N1525" i="5"/>
  <c r="J1525" i="5"/>
  <c r="B1525" i="5"/>
  <c r="F1525" i="5" s="1"/>
  <c r="AB1524" i="5"/>
  <c r="N1524" i="5"/>
  <c r="J1524" i="5"/>
  <c r="B1524" i="5"/>
  <c r="F1524" i="5" s="1"/>
  <c r="N1523" i="5"/>
  <c r="J1523" i="5"/>
  <c r="J1530" i="5" s="1"/>
  <c r="F1523" i="5"/>
  <c r="C1523" i="5"/>
  <c r="N1522" i="5"/>
  <c r="J1522" i="5"/>
  <c r="F1522" i="5"/>
  <c r="C1522" i="5"/>
  <c r="J1515" i="5"/>
  <c r="F1515" i="5"/>
  <c r="J1514" i="5"/>
  <c r="F1514" i="5"/>
  <c r="C1514" i="5"/>
  <c r="J1513" i="5"/>
  <c r="F1513" i="5"/>
  <c r="C1513" i="5"/>
  <c r="J1512" i="5"/>
  <c r="B1512" i="5"/>
  <c r="F1512" i="5" s="1"/>
  <c r="J1511" i="5"/>
  <c r="B1511" i="5"/>
  <c r="F1511" i="5" s="1"/>
  <c r="AD1517" i="5" s="1"/>
  <c r="K98" i="4" s="1"/>
  <c r="AB1510" i="5"/>
  <c r="J1510" i="5"/>
  <c r="B1510" i="5"/>
  <c r="F1510" i="5" s="1"/>
  <c r="J1509" i="5"/>
  <c r="F1509" i="5"/>
  <c r="C1509" i="5"/>
  <c r="J1508" i="5"/>
  <c r="J1516" i="5" s="1"/>
  <c r="F1508" i="5"/>
  <c r="C1508" i="5"/>
  <c r="N1501" i="5"/>
  <c r="J1501" i="5"/>
  <c r="F1501" i="5"/>
  <c r="N1500" i="5"/>
  <c r="J1500" i="5"/>
  <c r="F1500" i="5"/>
  <c r="C1500" i="5"/>
  <c r="N1499" i="5"/>
  <c r="J1499" i="5"/>
  <c r="F1499" i="5"/>
  <c r="C1499" i="5"/>
  <c r="N1498" i="5"/>
  <c r="J1498" i="5"/>
  <c r="B1498" i="5"/>
  <c r="F1498" i="5" s="1"/>
  <c r="N1497" i="5"/>
  <c r="J1497" i="5"/>
  <c r="B1497" i="5"/>
  <c r="F1497" i="5" s="1"/>
  <c r="AB1496" i="5"/>
  <c r="N1496" i="5"/>
  <c r="J1496" i="5"/>
  <c r="B1496" i="5"/>
  <c r="F1496" i="5" s="1"/>
  <c r="N1495" i="5"/>
  <c r="J1495" i="5"/>
  <c r="F1495" i="5"/>
  <c r="C1495" i="5"/>
  <c r="N1494" i="5"/>
  <c r="J1494" i="5"/>
  <c r="J1502" i="5" s="1"/>
  <c r="F1494" i="5"/>
  <c r="C1494" i="5"/>
  <c r="N1487" i="5"/>
  <c r="J1487" i="5"/>
  <c r="F1487" i="5"/>
  <c r="N1486" i="5"/>
  <c r="J1486" i="5"/>
  <c r="F1486" i="5"/>
  <c r="C1486" i="5"/>
  <c r="N1485" i="5"/>
  <c r="J1485" i="5"/>
  <c r="F1485" i="5"/>
  <c r="C1485" i="5"/>
  <c r="N1484" i="5"/>
  <c r="J1484" i="5"/>
  <c r="B1484" i="5"/>
  <c r="F1484" i="5" s="1"/>
  <c r="N1483" i="5"/>
  <c r="J1483" i="5"/>
  <c r="B1483" i="5"/>
  <c r="F1483" i="5" s="1"/>
  <c r="F1488" i="5" s="1"/>
  <c r="AB1482" i="5"/>
  <c r="N1482" i="5"/>
  <c r="J1482" i="5"/>
  <c r="B1482" i="5"/>
  <c r="F1482" i="5" s="1"/>
  <c r="N1481" i="5"/>
  <c r="J1481" i="5"/>
  <c r="F1481" i="5"/>
  <c r="C1481" i="5"/>
  <c r="N1480" i="5"/>
  <c r="J1480" i="5"/>
  <c r="F1480" i="5"/>
  <c r="C1480" i="5"/>
  <c r="N1473" i="5"/>
  <c r="J1473" i="5"/>
  <c r="F1473" i="5"/>
  <c r="N1472" i="5"/>
  <c r="J1472" i="5"/>
  <c r="F1472" i="5"/>
  <c r="C1472" i="5"/>
  <c r="N1471" i="5"/>
  <c r="J1471" i="5"/>
  <c r="F1471" i="5"/>
  <c r="C1471" i="5"/>
  <c r="N1470" i="5"/>
  <c r="J1470" i="5"/>
  <c r="B1470" i="5"/>
  <c r="F1470" i="5" s="1"/>
  <c r="N1469" i="5"/>
  <c r="J1469" i="5"/>
  <c r="B1469" i="5"/>
  <c r="F1469" i="5" s="1"/>
  <c r="AD1475" i="5" s="1"/>
  <c r="K95" i="4" s="1"/>
  <c r="AB1468" i="5"/>
  <c r="N1468" i="5"/>
  <c r="J1468" i="5"/>
  <c r="B1468" i="5"/>
  <c r="F1468" i="5" s="1"/>
  <c r="N1467" i="5"/>
  <c r="J1467" i="5"/>
  <c r="F1467" i="5"/>
  <c r="C1467" i="5"/>
  <c r="N1466" i="5"/>
  <c r="J1466" i="5"/>
  <c r="F1466" i="5"/>
  <c r="C1466" i="5"/>
  <c r="N1459" i="5"/>
  <c r="J1459" i="5"/>
  <c r="F1459" i="5"/>
  <c r="N1458" i="5"/>
  <c r="J1458" i="5"/>
  <c r="F1458" i="5"/>
  <c r="C1458" i="5"/>
  <c r="N1457" i="5"/>
  <c r="J1457" i="5"/>
  <c r="F1457" i="5"/>
  <c r="C1457" i="5"/>
  <c r="N1456" i="5"/>
  <c r="J1456" i="5"/>
  <c r="B1456" i="5"/>
  <c r="F1456" i="5" s="1"/>
  <c r="N1455" i="5"/>
  <c r="J1455" i="5"/>
  <c r="B1455" i="5"/>
  <c r="F1455" i="5" s="1"/>
  <c r="B1461" i="5" s="1"/>
  <c r="I94" i="4" s="1"/>
  <c r="AB1454" i="5"/>
  <c r="N1454" i="5"/>
  <c r="J1454" i="5"/>
  <c r="B1454" i="5"/>
  <c r="F1454" i="5" s="1"/>
  <c r="N1453" i="5"/>
  <c r="J1453" i="5"/>
  <c r="F1453" i="5"/>
  <c r="C1453" i="5"/>
  <c r="N1452" i="5"/>
  <c r="N1460" i="5" s="1"/>
  <c r="J1452" i="5"/>
  <c r="F1452" i="5"/>
  <c r="C1452" i="5"/>
  <c r="N1446" i="5"/>
  <c r="N1445" i="5"/>
  <c r="J1445" i="5"/>
  <c r="F1445" i="5"/>
  <c r="N1444" i="5"/>
  <c r="J1444" i="5"/>
  <c r="F1444" i="5"/>
  <c r="C1444" i="5"/>
  <c r="N1443" i="5"/>
  <c r="J1443" i="5"/>
  <c r="F1443" i="5"/>
  <c r="C1443" i="5"/>
  <c r="N1442" i="5"/>
  <c r="J1442" i="5"/>
  <c r="B1442" i="5"/>
  <c r="F1442" i="5" s="1"/>
  <c r="N1441" i="5"/>
  <c r="J1441" i="5"/>
  <c r="B1441" i="5"/>
  <c r="F1441" i="5" s="1"/>
  <c r="AB1440" i="5"/>
  <c r="N1440" i="5"/>
  <c r="J1440" i="5"/>
  <c r="B1440" i="5"/>
  <c r="F1440" i="5" s="1"/>
  <c r="N1439" i="5"/>
  <c r="J1439" i="5"/>
  <c r="F1439" i="5"/>
  <c r="C1439" i="5"/>
  <c r="N1438" i="5"/>
  <c r="J1438" i="5"/>
  <c r="J1446" i="5" s="1"/>
  <c r="F1438" i="5"/>
  <c r="C1438" i="5"/>
  <c r="N1431" i="5"/>
  <c r="N1432" i="5" s="1"/>
  <c r="J1431" i="5"/>
  <c r="F1431" i="5"/>
  <c r="N1430" i="5"/>
  <c r="J1430" i="5"/>
  <c r="F1430" i="5"/>
  <c r="C1430" i="5"/>
  <c r="N1429" i="5"/>
  <c r="J1429" i="5"/>
  <c r="F1429" i="5"/>
  <c r="C1429" i="5"/>
  <c r="N1428" i="5"/>
  <c r="J1428" i="5"/>
  <c r="B1428" i="5"/>
  <c r="F1428" i="5" s="1"/>
  <c r="N1427" i="5"/>
  <c r="J1427" i="5"/>
  <c r="B1427" i="5"/>
  <c r="F1427" i="5" s="1"/>
  <c r="AB1426" i="5"/>
  <c r="N1426" i="5"/>
  <c r="J1426" i="5"/>
  <c r="B1426" i="5"/>
  <c r="F1426" i="5" s="1"/>
  <c r="N1425" i="5"/>
  <c r="J1425" i="5"/>
  <c r="F1425" i="5"/>
  <c r="C1425" i="5"/>
  <c r="N1424" i="5"/>
  <c r="J1424" i="5"/>
  <c r="J1432" i="5" s="1"/>
  <c r="F1424" i="5"/>
  <c r="C1424" i="5"/>
  <c r="N1417" i="5"/>
  <c r="J1417" i="5"/>
  <c r="F1417" i="5"/>
  <c r="F1418" i="5" s="1"/>
  <c r="N1416" i="5"/>
  <c r="J1416" i="5"/>
  <c r="F1416" i="5"/>
  <c r="C1416" i="5"/>
  <c r="N1415" i="5"/>
  <c r="J1415" i="5"/>
  <c r="F1415" i="5"/>
  <c r="C1415" i="5"/>
  <c r="N1414" i="5"/>
  <c r="J1414" i="5"/>
  <c r="B1414" i="5"/>
  <c r="F1414" i="5" s="1"/>
  <c r="N1413" i="5"/>
  <c r="J1413" i="5"/>
  <c r="B1413" i="5"/>
  <c r="F1413" i="5" s="1"/>
  <c r="AB1412" i="5"/>
  <c r="N1412" i="5"/>
  <c r="J1412" i="5"/>
  <c r="B1412" i="5"/>
  <c r="F1412" i="5" s="1"/>
  <c r="N1411" i="5"/>
  <c r="J1411" i="5"/>
  <c r="F1411" i="5"/>
  <c r="C1411" i="5"/>
  <c r="N1410" i="5"/>
  <c r="N1418" i="5" s="1"/>
  <c r="J1410" i="5"/>
  <c r="J1418" i="5" s="1"/>
  <c r="F1410" i="5"/>
  <c r="C1410" i="5"/>
  <c r="N1403" i="5"/>
  <c r="J1403" i="5"/>
  <c r="F1403" i="5"/>
  <c r="N1402" i="5"/>
  <c r="J1402" i="5"/>
  <c r="F1402" i="5"/>
  <c r="C1402" i="5"/>
  <c r="N1401" i="5"/>
  <c r="J1401" i="5"/>
  <c r="F1401" i="5"/>
  <c r="C1401" i="5"/>
  <c r="N1400" i="5"/>
  <c r="J1400" i="5"/>
  <c r="B1400" i="5"/>
  <c r="F1400" i="5" s="1"/>
  <c r="N1399" i="5"/>
  <c r="J1399" i="5"/>
  <c r="B1399" i="5"/>
  <c r="F1399" i="5" s="1"/>
  <c r="AB1398" i="5"/>
  <c r="N1398" i="5"/>
  <c r="J1398" i="5"/>
  <c r="B1398" i="5"/>
  <c r="F1398" i="5" s="1"/>
  <c r="N1397" i="5"/>
  <c r="J1397" i="5"/>
  <c r="F1397" i="5"/>
  <c r="C1397" i="5"/>
  <c r="N1396" i="5"/>
  <c r="N1404" i="5" s="1"/>
  <c r="J1396" i="5"/>
  <c r="F1396" i="5"/>
  <c r="C1396" i="5"/>
  <c r="N1390" i="5"/>
  <c r="J1390" i="5"/>
  <c r="N1389" i="5"/>
  <c r="J1389" i="5"/>
  <c r="F1389" i="5"/>
  <c r="N1388" i="5"/>
  <c r="J1388" i="5"/>
  <c r="F1388" i="5"/>
  <c r="C1388" i="5"/>
  <c r="N1387" i="5"/>
  <c r="J1387" i="5"/>
  <c r="F1387" i="5"/>
  <c r="C1387" i="5"/>
  <c r="N1386" i="5"/>
  <c r="J1386" i="5"/>
  <c r="F1386" i="5"/>
  <c r="B1391" i="5" s="1"/>
  <c r="B1386" i="5"/>
  <c r="N1385" i="5"/>
  <c r="J1385" i="5"/>
  <c r="B1385" i="5"/>
  <c r="F1385" i="5" s="1"/>
  <c r="AB1384" i="5"/>
  <c r="N1384" i="5"/>
  <c r="J1384" i="5"/>
  <c r="F1384" i="5"/>
  <c r="AD1391" i="5" s="1"/>
  <c r="K89" i="4" s="1"/>
  <c r="B1384" i="5"/>
  <c r="N1383" i="5"/>
  <c r="J1383" i="5"/>
  <c r="F1383" i="5"/>
  <c r="C1383" i="5"/>
  <c r="N1382" i="5"/>
  <c r="J1382" i="5"/>
  <c r="F1382" i="5"/>
  <c r="C1382" i="5"/>
  <c r="N1376" i="5"/>
  <c r="N1375" i="5"/>
  <c r="J1375" i="5"/>
  <c r="F1375" i="5"/>
  <c r="N1374" i="5"/>
  <c r="J1374" i="5"/>
  <c r="F1374" i="5"/>
  <c r="C1374" i="5"/>
  <c r="N1373" i="5"/>
  <c r="J1373" i="5"/>
  <c r="F1373" i="5"/>
  <c r="C1373" i="5"/>
  <c r="N1372" i="5"/>
  <c r="J1372" i="5"/>
  <c r="B1372" i="5"/>
  <c r="F1372" i="5" s="1"/>
  <c r="B1377" i="5" s="1"/>
  <c r="I88" i="4" s="1"/>
  <c r="N1371" i="5"/>
  <c r="J1371" i="5"/>
  <c r="B1371" i="5"/>
  <c r="F1371" i="5" s="1"/>
  <c r="AB1370" i="5"/>
  <c r="N1370" i="5"/>
  <c r="J1370" i="5"/>
  <c r="B1370" i="5"/>
  <c r="F1370" i="5" s="1"/>
  <c r="N1369" i="5"/>
  <c r="J1369" i="5"/>
  <c r="F1369" i="5"/>
  <c r="C1369" i="5"/>
  <c r="N1368" i="5"/>
  <c r="J1368" i="5"/>
  <c r="J1376" i="5" s="1"/>
  <c r="F1368" i="5"/>
  <c r="C1368" i="5"/>
  <c r="N1361" i="5"/>
  <c r="J1361" i="5"/>
  <c r="F1361" i="5"/>
  <c r="N1360" i="5"/>
  <c r="J1360" i="5"/>
  <c r="F1360" i="5"/>
  <c r="C1360" i="5"/>
  <c r="N1359" i="5"/>
  <c r="J1359" i="5"/>
  <c r="F1359" i="5"/>
  <c r="C1359" i="5"/>
  <c r="N1358" i="5"/>
  <c r="J1358" i="5"/>
  <c r="B1358" i="5"/>
  <c r="F1358" i="5" s="1"/>
  <c r="N1357" i="5"/>
  <c r="J1357" i="5"/>
  <c r="B1357" i="5"/>
  <c r="F1357" i="5" s="1"/>
  <c r="AB1356" i="5"/>
  <c r="N1356" i="5"/>
  <c r="J1356" i="5"/>
  <c r="B1356" i="5"/>
  <c r="F1356" i="5" s="1"/>
  <c r="N1355" i="5"/>
  <c r="J1355" i="5"/>
  <c r="F1355" i="5"/>
  <c r="C1355" i="5"/>
  <c r="N1354" i="5"/>
  <c r="N1362" i="5" s="1"/>
  <c r="J1354" i="5"/>
  <c r="J1362" i="5" s="1"/>
  <c r="F1354" i="5"/>
  <c r="C1354" i="5"/>
  <c r="N1347" i="5"/>
  <c r="J1347" i="5"/>
  <c r="F1347" i="5"/>
  <c r="F1348" i="5" s="1"/>
  <c r="N1346" i="5"/>
  <c r="J1346" i="5"/>
  <c r="F1346" i="5"/>
  <c r="C1346" i="5"/>
  <c r="N1345" i="5"/>
  <c r="J1345" i="5"/>
  <c r="F1345" i="5"/>
  <c r="C1345" i="5"/>
  <c r="N1344" i="5"/>
  <c r="J1344" i="5"/>
  <c r="B1344" i="5"/>
  <c r="F1344" i="5" s="1"/>
  <c r="N1343" i="5"/>
  <c r="J1343" i="5"/>
  <c r="B1343" i="5"/>
  <c r="F1343" i="5" s="1"/>
  <c r="AD1349" i="5" s="1"/>
  <c r="AB1342" i="5"/>
  <c r="N1342" i="5"/>
  <c r="J1342" i="5"/>
  <c r="F1342" i="5"/>
  <c r="B1342" i="5"/>
  <c r="N1341" i="5"/>
  <c r="J1341" i="5"/>
  <c r="F1341" i="5"/>
  <c r="C1341" i="5"/>
  <c r="N1340" i="5"/>
  <c r="N1348" i="5" s="1"/>
  <c r="J1340" i="5"/>
  <c r="F1340" i="5"/>
  <c r="C1340" i="5"/>
  <c r="N1334" i="5"/>
  <c r="J1334" i="5"/>
  <c r="N1333" i="5"/>
  <c r="J1333" i="5"/>
  <c r="F1333" i="5"/>
  <c r="N1332" i="5"/>
  <c r="J1332" i="5"/>
  <c r="F1332" i="5"/>
  <c r="C1332" i="5"/>
  <c r="N1331" i="5"/>
  <c r="J1331" i="5"/>
  <c r="F1331" i="5"/>
  <c r="C1331" i="5"/>
  <c r="N1330" i="5"/>
  <c r="J1330" i="5"/>
  <c r="B1330" i="5"/>
  <c r="F1330" i="5" s="1"/>
  <c r="N1329" i="5"/>
  <c r="J1329" i="5"/>
  <c r="B1329" i="5"/>
  <c r="F1329" i="5" s="1"/>
  <c r="AB1328" i="5"/>
  <c r="N1328" i="5"/>
  <c r="J1328" i="5"/>
  <c r="F1328" i="5"/>
  <c r="B1328" i="5"/>
  <c r="N1327" i="5"/>
  <c r="J1327" i="5"/>
  <c r="F1327" i="5"/>
  <c r="C1327" i="5"/>
  <c r="N1326" i="5"/>
  <c r="J1326" i="5"/>
  <c r="F1326" i="5"/>
  <c r="C1326" i="5"/>
  <c r="N1319" i="5"/>
  <c r="J1319" i="5"/>
  <c r="F1319" i="5"/>
  <c r="N1318" i="5"/>
  <c r="J1318" i="5"/>
  <c r="F1318" i="5"/>
  <c r="C1318" i="5"/>
  <c r="N1317" i="5"/>
  <c r="J1317" i="5"/>
  <c r="F1317" i="5"/>
  <c r="C1317" i="5"/>
  <c r="N1316" i="5"/>
  <c r="J1316" i="5"/>
  <c r="F1316" i="5"/>
  <c r="B1316" i="5"/>
  <c r="N1315" i="5"/>
  <c r="J1315" i="5"/>
  <c r="B1315" i="5"/>
  <c r="F1315" i="5" s="1"/>
  <c r="F1320" i="5" s="1"/>
  <c r="AB1314" i="5"/>
  <c r="N1314" i="5"/>
  <c r="J1314" i="5"/>
  <c r="F1314" i="5"/>
  <c r="B1314" i="5"/>
  <c r="N1313" i="5"/>
  <c r="N1320" i="5" s="1"/>
  <c r="J1313" i="5"/>
  <c r="F1313" i="5"/>
  <c r="C1313" i="5"/>
  <c r="N1312" i="5"/>
  <c r="J1312" i="5"/>
  <c r="J1320" i="5" s="1"/>
  <c r="F1312" i="5"/>
  <c r="C1312" i="5"/>
  <c r="N1305" i="5"/>
  <c r="J1305" i="5"/>
  <c r="F1305" i="5"/>
  <c r="N1304" i="5"/>
  <c r="J1304" i="5"/>
  <c r="F1304" i="5"/>
  <c r="C1304" i="5"/>
  <c r="N1303" i="5"/>
  <c r="J1303" i="5"/>
  <c r="F1303" i="5"/>
  <c r="C1303" i="5"/>
  <c r="N1302" i="5"/>
  <c r="J1302" i="5"/>
  <c r="B1302" i="5"/>
  <c r="F1302" i="5" s="1"/>
  <c r="N1301" i="5"/>
  <c r="J1301" i="5"/>
  <c r="B1301" i="5"/>
  <c r="F1301" i="5" s="1"/>
  <c r="AB1300" i="5"/>
  <c r="N1300" i="5"/>
  <c r="J1300" i="5"/>
  <c r="B1300" i="5"/>
  <c r="F1300" i="5" s="1"/>
  <c r="AD1307" i="5" s="1"/>
  <c r="K83" i="4" s="1"/>
  <c r="N1299" i="5"/>
  <c r="J1299" i="5"/>
  <c r="F1299" i="5"/>
  <c r="C1299" i="5"/>
  <c r="N1298" i="5"/>
  <c r="J1298" i="5"/>
  <c r="J1306" i="5" s="1"/>
  <c r="F1298" i="5"/>
  <c r="C1298" i="5"/>
  <c r="N1291" i="5"/>
  <c r="J1291" i="5"/>
  <c r="F1291" i="5"/>
  <c r="N1290" i="5"/>
  <c r="J1290" i="5"/>
  <c r="F1290" i="5"/>
  <c r="C1290" i="5"/>
  <c r="N1289" i="5"/>
  <c r="J1289" i="5"/>
  <c r="F1289" i="5"/>
  <c r="C1289" i="5"/>
  <c r="N1288" i="5"/>
  <c r="J1288" i="5"/>
  <c r="F1288" i="5"/>
  <c r="B1288" i="5"/>
  <c r="N1287" i="5"/>
  <c r="J1287" i="5"/>
  <c r="B1287" i="5"/>
  <c r="F1287" i="5" s="1"/>
  <c r="AB1286" i="5"/>
  <c r="N1286" i="5"/>
  <c r="J1286" i="5"/>
  <c r="F1286" i="5"/>
  <c r="AD1293" i="5" s="1"/>
  <c r="B1286" i="5"/>
  <c r="N1285" i="5"/>
  <c r="J1285" i="5"/>
  <c r="F1285" i="5"/>
  <c r="C1285" i="5"/>
  <c r="N1284" i="5"/>
  <c r="N1292" i="5" s="1"/>
  <c r="J1284" i="5"/>
  <c r="J1292" i="5" s="1"/>
  <c r="F1284" i="5"/>
  <c r="C1284" i="5"/>
  <c r="J1278" i="5"/>
  <c r="N1277" i="5"/>
  <c r="J1277" i="5"/>
  <c r="F1277" i="5"/>
  <c r="N1276" i="5"/>
  <c r="J1276" i="5"/>
  <c r="F1276" i="5"/>
  <c r="C1276" i="5"/>
  <c r="N1275" i="5"/>
  <c r="J1275" i="5"/>
  <c r="F1275" i="5"/>
  <c r="C1275" i="5"/>
  <c r="J1274" i="5"/>
  <c r="B1274" i="5"/>
  <c r="F1274" i="5" s="1"/>
  <c r="B1279" i="5" s="1"/>
  <c r="D1279" i="5" s="1"/>
  <c r="J1273" i="5"/>
  <c r="F1273" i="5"/>
  <c r="B1273" i="5"/>
  <c r="AB1272" i="5"/>
  <c r="N1272" i="5"/>
  <c r="J1272" i="5"/>
  <c r="B1272" i="5"/>
  <c r="F1272" i="5" s="1"/>
  <c r="N1271" i="5"/>
  <c r="N1278" i="5" s="1"/>
  <c r="J1271" i="5"/>
  <c r="F1271" i="5"/>
  <c r="C1271" i="5"/>
  <c r="N1270" i="5"/>
  <c r="J1270" i="5"/>
  <c r="F1270" i="5"/>
  <c r="C1270" i="5"/>
  <c r="N1263" i="5"/>
  <c r="J1263" i="5"/>
  <c r="F1263" i="5"/>
  <c r="N1262" i="5"/>
  <c r="J1262" i="5"/>
  <c r="F1262" i="5"/>
  <c r="C1262" i="5"/>
  <c r="N1261" i="5"/>
  <c r="J1261" i="5"/>
  <c r="F1261" i="5"/>
  <c r="C1261" i="5"/>
  <c r="N1260" i="5"/>
  <c r="J1260" i="5"/>
  <c r="B1260" i="5"/>
  <c r="F1260" i="5" s="1"/>
  <c r="N1259" i="5"/>
  <c r="J1259" i="5"/>
  <c r="B1259" i="5"/>
  <c r="F1259" i="5" s="1"/>
  <c r="F1264" i="5" s="1"/>
  <c r="AB1258" i="5"/>
  <c r="N1258" i="5"/>
  <c r="J1258" i="5"/>
  <c r="B1258" i="5"/>
  <c r="F1258" i="5" s="1"/>
  <c r="N1257" i="5"/>
  <c r="J1257" i="5"/>
  <c r="F1257" i="5"/>
  <c r="C1257" i="5"/>
  <c r="N1256" i="5"/>
  <c r="J1256" i="5"/>
  <c r="F1256" i="5"/>
  <c r="C1256" i="5"/>
  <c r="N1249" i="5"/>
  <c r="J1249" i="5"/>
  <c r="F1249" i="5"/>
  <c r="N1248" i="5"/>
  <c r="J1248" i="5"/>
  <c r="F1248" i="5"/>
  <c r="C1248" i="5"/>
  <c r="N1247" i="5"/>
  <c r="J1247" i="5"/>
  <c r="F1247" i="5"/>
  <c r="C1247" i="5"/>
  <c r="J1246" i="5"/>
  <c r="B1246" i="5"/>
  <c r="F1246" i="5" s="1"/>
  <c r="J1245" i="5"/>
  <c r="B1245" i="5"/>
  <c r="F1245" i="5" s="1"/>
  <c r="AB1244" i="5"/>
  <c r="N1244" i="5"/>
  <c r="J1244" i="5"/>
  <c r="F1244" i="5"/>
  <c r="B1244" i="5"/>
  <c r="J1243" i="5"/>
  <c r="F1243" i="5"/>
  <c r="C1243" i="5"/>
  <c r="N1242" i="5"/>
  <c r="N1250" i="5" s="1"/>
  <c r="J1242" i="5"/>
  <c r="F1242" i="5"/>
  <c r="C1242" i="5"/>
  <c r="N1235" i="5"/>
  <c r="J1235" i="5"/>
  <c r="F1235" i="5"/>
  <c r="N1234" i="5"/>
  <c r="J1234" i="5"/>
  <c r="F1234" i="5"/>
  <c r="C1234" i="5"/>
  <c r="N1233" i="5"/>
  <c r="J1233" i="5"/>
  <c r="F1233" i="5"/>
  <c r="C1233" i="5"/>
  <c r="N1232" i="5"/>
  <c r="J1232" i="5"/>
  <c r="B1232" i="5"/>
  <c r="F1232" i="5" s="1"/>
  <c r="J1231" i="5"/>
  <c r="B1231" i="5"/>
  <c r="F1231" i="5" s="1"/>
  <c r="AB1230" i="5"/>
  <c r="J1230" i="5"/>
  <c r="B1230" i="5"/>
  <c r="F1230" i="5" s="1"/>
  <c r="N1229" i="5"/>
  <c r="J1229" i="5"/>
  <c r="F1229" i="5"/>
  <c r="C1229" i="5"/>
  <c r="N1228" i="5"/>
  <c r="J1228" i="5"/>
  <c r="F1228" i="5"/>
  <c r="C1228" i="5"/>
  <c r="N1222" i="5"/>
  <c r="N1221" i="5"/>
  <c r="J1221" i="5"/>
  <c r="F1221" i="5"/>
  <c r="N1220" i="5"/>
  <c r="J1220" i="5"/>
  <c r="F1220" i="5"/>
  <c r="C1220" i="5"/>
  <c r="N1219" i="5"/>
  <c r="J1219" i="5"/>
  <c r="F1219" i="5"/>
  <c r="C1219" i="5"/>
  <c r="N1218" i="5"/>
  <c r="J1218" i="5"/>
  <c r="B1218" i="5"/>
  <c r="F1218" i="5" s="1"/>
  <c r="N1217" i="5"/>
  <c r="J1217" i="5"/>
  <c r="B1217" i="5"/>
  <c r="F1217" i="5" s="1"/>
  <c r="AB1216" i="5"/>
  <c r="N1216" i="5"/>
  <c r="J1216" i="5"/>
  <c r="B1216" i="5"/>
  <c r="F1216" i="5" s="1"/>
  <c r="N1215" i="5"/>
  <c r="J1215" i="5"/>
  <c r="F1215" i="5"/>
  <c r="C1215" i="5"/>
  <c r="N1214" i="5"/>
  <c r="J1214" i="5"/>
  <c r="J1222" i="5" s="1"/>
  <c r="F1214" i="5"/>
  <c r="C1214" i="5"/>
  <c r="N1208" i="5"/>
  <c r="N1207" i="5"/>
  <c r="J1207" i="5"/>
  <c r="F1207" i="5"/>
  <c r="N1206" i="5"/>
  <c r="J1206" i="5"/>
  <c r="F1206" i="5"/>
  <c r="C1206" i="5"/>
  <c r="N1205" i="5"/>
  <c r="J1205" i="5"/>
  <c r="F1205" i="5"/>
  <c r="C1205" i="5"/>
  <c r="N1204" i="5"/>
  <c r="J1204" i="5"/>
  <c r="B1204" i="5"/>
  <c r="F1204" i="5" s="1"/>
  <c r="N1203" i="5"/>
  <c r="J1203" i="5"/>
  <c r="B1203" i="5"/>
  <c r="F1203" i="5" s="1"/>
  <c r="AB1202" i="5"/>
  <c r="N1202" i="5"/>
  <c r="J1202" i="5"/>
  <c r="B1202" i="5"/>
  <c r="F1202" i="5" s="1"/>
  <c r="N1201" i="5"/>
  <c r="J1201" i="5"/>
  <c r="F1201" i="5"/>
  <c r="C1201" i="5"/>
  <c r="N1200" i="5"/>
  <c r="J1200" i="5"/>
  <c r="J1208" i="5" s="1"/>
  <c r="F1200" i="5"/>
  <c r="C1200" i="5"/>
  <c r="F1195" i="5"/>
  <c r="F1193" i="5"/>
  <c r="J1189" i="5"/>
  <c r="N1188" i="5"/>
  <c r="J1188" i="5"/>
  <c r="F1188" i="5"/>
  <c r="N1187" i="5"/>
  <c r="J1187" i="5"/>
  <c r="F1187" i="5"/>
  <c r="C1187" i="5"/>
  <c r="N1186" i="5"/>
  <c r="J1186" i="5"/>
  <c r="F1186" i="5"/>
  <c r="C1186" i="5"/>
  <c r="N1185" i="5"/>
  <c r="J1185" i="5"/>
  <c r="B1185" i="5"/>
  <c r="F1185" i="5" s="1"/>
  <c r="N1184" i="5"/>
  <c r="J1184" i="5"/>
  <c r="F1184" i="5"/>
  <c r="B1184" i="5"/>
  <c r="AB1183" i="5"/>
  <c r="N1183" i="5"/>
  <c r="J1183" i="5"/>
  <c r="B1183" i="5"/>
  <c r="F1183" i="5" s="1"/>
  <c r="N1182" i="5"/>
  <c r="J1182" i="5"/>
  <c r="F1182" i="5"/>
  <c r="C1182" i="5"/>
  <c r="N1181" i="5"/>
  <c r="J1181" i="5"/>
  <c r="F1181" i="5"/>
  <c r="C1181" i="5"/>
  <c r="J1175" i="5"/>
  <c r="N1174" i="5"/>
  <c r="J1174" i="5"/>
  <c r="F1174" i="5"/>
  <c r="N1173" i="5"/>
  <c r="J1173" i="5"/>
  <c r="F1173" i="5"/>
  <c r="C1173" i="5"/>
  <c r="N1172" i="5"/>
  <c r="J1172" i="5"/>
  <c r="F1172" i="5"/>
  <c r="C1172" i="5"/>
  <c r="N1171" i="5"/>
  <c r="J1171" i="5"/>
  <c r="B1171" i="5"/>
  <c r="F1171" i="5" s="1"/>
  <c r="N1170" i="5"/>
  <c r="J1170" i="5"/>
  <c r="F1170" i="5"/>
  <c r="B1170" i="5"/>
  <c r="AB1169" i="5"/>
  <c r="N1169" i="5"/>
  <c r="J1169" i="5"/>
  <c r="B1169" i="5"/>
  <c r="F1169" i="5" s="1"/>
  <c r="AD1176" i="5" s="1"/>
  <c r="K74" i="4" s="1"/>
  <c r="N1168" i="5"/>
  <c r="J1168" i="5"/>
  <c r="F1168" i="5"/>
  <c r="C1168" i="5"/>
  <c r="N1167" i="5"/>
  <c r="J1167" i="5"/>
  <c r="F1167" i="5"/>
  <c r="C1167" i="5"/>
  <c r="AD1162" i="5"/>
  <c r="K73" i="4" s="1"/>
  <c r="N1160" i="5"/>
  <c r="J1160" i="5"/>
  <c r="F1160" i="5"/>
  <c r="N1159" i="5"/>
  <c r="J1159" i="5"/>
  <c r="F1159" i="5"/>
  <c r="C1159" i="5"/>
  <c r="N1158" i="5"/>
  <c r="J1158" i="5"/>
  <c r="F1158" i="5"/>
  <c r="C1158" i="5"/>
  <c r="N1157" i="5"/>
  <c r="J1157" i="5"/>
  <c r="B1157" i="5"/>
  <c r="F1157" i="5" s="1"/>
  <c r="N1156" i="5"/>
  <c r="J1156" i="5"/>
  <c r="B1156" i="5"/>
  <c r="F1156" i="5" s="1"/>
  <c r="AB1155" i="5"/>
  <c r="N1155" i="5"/>
  <c r="J1155" i="5"/>
  <c r="B1155" i="5"/>
  <c r="F1155" i="5" s="1"/>
  <c r="N1154" i="5"/>
  <c r="J1154" i="5"/>
  <c r="F1154" i="5"/>
  <c r="C1154" i="5"/>
  <c r="N1153" i="5"/>
  <c r="N1161" i="5" s="1"/>
  <c r="J1153" i="5"/>
  <c r="J1161" i="5" s="1"/>
  <c r="F1153" i="5"/>
  <c r="C1153" i="5"/>
  <c r="N1147" i="5"/>
  <c r="N1146" i="5"/>
  <c r="J1146" i="5"/>
  <c r="F1146" i="5"/>
  <c r="N1145" i="5"/>
  <c r="J1145" i="5"/>
  <c r="F1145" i="5"/>
  <c r="C1145" i="5"/>
  <c r="N1144" i="5"/>
  <c r="J1144" i="5"/>
  <c r="F1144" i="5"/>
  <c r="C1144" i="5"/>
  <c r="N1143" i="5"/>
  <c r="J1143" i="5"/>
  <c r="B1143" i="5"/>
  <c r="F1143" i="5" s="1"/>
  <c r="N1142" i="5"/>
  <c r="J1142" i="5"/>
  <c r="B1142" i="5"/>
  <c r="F1142" i="5" s="1"/>
  <c r="AB1141" i="5"/>
  <c r="N1141" i="5"/>
  <c r="J1141" i="5"/>
  <c r="B1141" i="5"/>
  <c r="F1141" i="5" s="1"/>
  <c r="N1140" i="5"/>
  <c r="J1140" i="5"/>
  <c r="F1140" i="5"/>
  <c r="C1140" i="5"/>
  <c r="N1139" i="5"/>
  <c r="J1139" i="5"/>
  <c r="J1147" i="5" s="1"/>
  <c r="F1139" i="5"/>
  <c r="C1139" i="5"/>
  <c r="N1133" i="5"/>
  <c r="N1132" i="5"/>
  <c r="J1132" i="5"/>
  <c r="F1132" i="5"/>
  <c r="N1131" i="5"/>
  <c r="J1131" i="5"/>
  <c r="F1131" i="5"/>
  <c r="C1131" i="5"/>
  <c r="N1130" i="5"/>
  <c r="J1130" i="5"/>
  <c r="F1130" i="5"/>
  <c r="C1130" i="5"/>
  <c r="N1129" i="5"/>
  <c r="J1129" i="5"/>
  <c r="B1129" i="5"/>
  <c r="F1129" i="5" s="1"/>
  <c r="N1128" i="5"/>
  <c r="J1128" i="5"/>
  <c r="F1128" i="5"/>
  <c r="B1128" i="5"/>
  <c r="AB1127" i="5"/>
  <c r="N1127" i="5"/>
  <c r="J1127" i="5"/>
  <c r="B1127" i="5"/>
  <c r="F1127" i="5" s="1"/>
  <c r="N1126" i="5"/>
  <c r="J1126" i="5"/>
  <c r="F1126" i="5"/>
  <c r="C1126" i="5"/>
  <c r="N1125" i="5"/>
  <c r="J1125" i="5"/>
  <c r="F1125" i="5"/>
  <c r="C1125" i="5"/>
  <c r="F1120" i="5"/>
  <c r="F1118" i="5"/>
  <c r="J1114" i="5"/>
  <c r="N1113" i="5"/>
  <c r="J1113" i="5"/>
  <c r="F1113" i="5"/>
  <c r="N1112" i="5"/>
  <c r="J1112" i="5"/>
  <c r="F1112" i="5"/>
  <c r="C1112" i="5"/>
  <c r="N1111" i="5"/>
  <c r="J1111" i="5"/>
  <c r="F1111" i="5"/>
  <c r="C1111" i="5"/>
  <c r="N1110" i="5"/>
  <c r="J1110" i="5"/>
  <c r="B1110" i="5"/>
  <c r="F1110" i="5" s="1"/>
  <c r="N1109" i="5"/>
  <c r="J1109" i="5"/>
  <c r="B1109" i="5"/>
  <c r="F1109" i="5" s="1"/>
  <c r="AB1108" i="5"/>
  <c r="N1108" i="5"/>
  <c r="J1108" i="5"/>
  <c r="F1108" i="5"/>
  <c r="B1108" i="5"/>
  <c r="N1107" i="5"/>
  <c r="J1107" i="5"/>
  <c r="F1107" i="5"/>
  <c r="C1107" i="5"/>
  <c r="N1106" i="5"/>
  <c r="J1106" i="5"/>
  <c r="F1106" i="5"/>
  <c r="C1106" i="5"/>
  <c r="J1100" i="5"/>
  <c r="N1099" i="5"/>
  <c r="J1099" i="5"/>
  <c r="F1099" i="5"/>
  <c r="N1098" i="5"/>
  <c r="J1098" i="5"/>
  <c r="F1098" i="5"/>
  <c r="C1098" i="5"/>
  <c r="N1097" i="5"/>
  <c r="J1097" i="5"/>
  <c r="F1097" i="5"/>
  <c r="C1097" i="5"/>
  <c r="J1096" i="5"/>
  <c r="B1096" i="5"/>
  <c r="F1096" i="5" s="1"/>
  <c r="J1095" i="5"/>
  <c r="F1095" i="5"/>
  <c r="B1095" i="5"/>
  <c r="AB1094" i="5"/>
  <c r="N1094" i="5"/>
  <c r="J1094" i="5"/>
  <c r="B1094" i="5"/>
  <c r="F1094" i="5" s="1"/>
  <c r="N1093" i="5"/>
  <c r="J1093" i="5"/>
  <c r="F1093" i="5"/>
  <c r="C1093" i="5"/>
  <c r="N1092" i="5"/>
  <c r="J1092" i="5"/>
  <c r="F1092" i="5"/>
  <c r="C1092" i="5"/>
  <c r="N1086" i="5"/>
  <c r="N1085" i="5"/>
  <c r="J1085" i="5"/>
  <c r="F1085" i="5"/>
  <c r="N1084" i="5"/>
  <c r="J1084" i="5"/>
  <c r="F1084" i="5"/>
  <c r="C1084" i="5"/>
  <c r="N1083" i="5"/>
  <c r="J1083" i="5"/>
  <c r="F1083" i="5"/>
  <c r="C1083" i="5"/>
  <c r="N1082" i="5"/>
  <c r="J1082" i="5"/>
  <c r="B1082" i="5"/>
  <c r="F1082" i="5" s="1"/>
  <c r="B1087" i="5" s="1"/>
  <c r="N1081" i="5"/>
  <c r="J1081" i="5"/>
  <c r="B1081" i="5"/>
  <c r="F1081" i="5" s="1"/>
  <c r="AB1080" i="5"/>
  <c r="N1080" i="5"/>
  <c r="J1080" i="5"/>
  <c r="B1080" i="5"/>
  <c r="F1080" i="5" s="1"/>
  <c r="N1079" i="5"/>
  <c r="J1079" i="5"/>
  <c r="F1079" i="5"/>
  <c r="C1079" i="5"/>
  <c r="N1078" i="5"/>
  <c r="J1078" i="5"/>
  <c r="J1086" i="5" s="1"/>
  <c r="F1078" i="5"/>
  <c r="C1078" i="5"/>
  <c r="N1071" i="5"/>
  <c r="J1071" i="5"/>
  <c r="F1071" i="5"/>
  <c r="N1070" i="5"/>
  <c r="J1070" i="5"/>
  <c r="F1070" i="5"/>
  <c r="C1070" i="5"/>
  <c r="N1069" i="5"/>
  <c r="J1069" i="5"/>
  <c r="F1069" i="5"/>
  <c r="C1069" i="5"/>
  <c r="N1068" i="5"/>
  <c r="J1068" i="5"/>
  <c r="J1072" i="5" s="1"/>
  <c r="B1068" i="5"/>
  <c r="F1068" i="5" s="1"/>
  <c r="N1067" i="5"/>
  <c r="J1067" i="5"/>
  <c r="F1067" i="5"/>
  <c r="B1067" i="5"/>
  <c r="AB1066" i="5"/>
  <c r="N1066" i="5"/>
  <c r="J1066" i="5"/>
  <c r="B1066" i="5"/>
  <c r="F1066" i="5" s="1"/>
  <c r="N1065" i="5"/>
  <c r="J1065" i="5"/>
  <c r="F1065" i="5"/>
  <c r="C1065" i="5"/>
  <c r="N1064" i="5"/>
  <c r="N1072" i="5" s="1"/>
  <c r="J1064" i="5"/>
  <c r="F1064" i="5"/>
  <c r="C1064" i="5"/>
  <c r="F1059" i="5"/>
  <c r="F1057" i="5"/>
  <c r="J1053" i="5"/>
  <c r="N1052" i="5"/>
  <c r="J1052" i="5"/>
  <c r="F1052" i="5"/>
  <c r="N1051" i="5"/>
  <c r="J1051" i="5"/>
  <c r="F1051" i="5"/>
  <c r="C1051" i="5"/>
  <c r="N1050" i="5"/>
  <c r="J1050" i="5"/>
  <c r="F1050" i="5"/>
  <c r="C1050" i="5"/>
  <c r="N1049" i="5"/>
  <c r="J1049" i="5"/>
  <c r="B1049" i="5"/>
  <c r="F1049" i="5" s="1"/>
  <c r="B1054" i="5" s="1"/>
  <c r="I66" i="4" s="1"/>
  <c r="N1048" i="5"/>
  <c r="J1048" i="5"/>
  <c r="B1048" i="5"/>
  <c r="F1048" i="5" s="1"/>
  <c r="AB1047" i="5"/>
  <c r="N1047" i="5"/>
  <c r="J1047" i="5"/>
  <c r="F1047" i="5"/>
  <c r="B1047" i="5"/>
  <c r="N1046" i="5"/>
  <c r="J1046" i="5"/>
  <c r="F1046" i="5"/>
  <c r="C1046" i="5"/>
  <c r="N1045" i="5"/>
  <c r="N1053" i="5" s="1"/>
  <c r="J1045" i="5"/>
  <c r="F1045" i="5"/>
  <c r="C1045" i="5"/>
  <c r="F1040" i="5"/>
  <c r="F1038" i="5"/>
  <c r="N1033" i="5"/>
  <c r="J1033" i="5"/>
  <c r="F1033" i="5"/>
  <c r="N1032" i="5"/>
  <c r="J1032" i="5"/>
  <c r="F1032" i="5"/>
  <c r="C1032" i="5"/>
  <c r="N1031" i="5"/>
  <c r="J1031" i="5"/>
  <c r="F1031" i="5"/>
  <c r="C1031" i="5"/>
  <c r="N1030" i="5"/>
  <c r="J1030" i="5"/>
  <c r="B1030" i="5"/>
  <c r="F1030" i="5" s="1"/>
  <c r="N1029" i="5"/>
  <c r="N1034" i="5" s="1"/>
  <c r="J1029" i="5"/>
  <c r="B1029" i="5"/>
  <c r="F1029" i="5" s="1"/>
  <c r="F1034" i="5" s="1"/>
  <c r="AB1028" i="5"/>
  <c r="N1028" i="5"/>
  <c r="J1028" i="5"/>
  <c r="B1028" i="5"/>
  <c r="F1028" i="5" s="1"/>
  <c r="N1027" i="5"/>
  <c r="J1027" i="5"/>
  <c r="F1027" i="5"/>
  <c r="C1027" i="5"/>
  <c r="N1026" i="5"/>
  <c r="J1026" i="5"/>
  <c r="J1034" i="5" s="1"/>
  <c r="F1026" i="5"/>
  <c r="C1026" i="5"/>
  <c r="F1021" i="5"/>
  <c r="F1019" i="5"/>
  <c r="N1014" i="5"/>
  <c r="J1014" i="5"/>
  <c r="F1014" i="5"/>
  <c r="N1013" i="5"/>
  <c r="J1013" i="5"/>
  <c r="F1013" i="5"/>
  <c r="C1013" i="5"/>
  <c r="N1012" i="5"/>
  <c r="J1012" i="5"/>
  <c r="F1012" i="5"/>
  <c r="C1012" i="5"/>
  <c r="N1011" i="5"/>
  <c r="J1011" i="5"/>
  <c r="J1015" i="5" s="1"/>
  <c r="B1011" i="5"/>
  <c r="F1011" i="5" s="1"/>
  <c r="N1010" i="5"/>
  <c r="J1010" i="5"/>
  <c r="B1010" i="5"/>
  <c r="F1010" i="5" s="1"/>
  <c r="F1015" i="5" s="1"/>
  <c r="AB1009" i="5"/>
  <c r="N1009" i="5"/>
  <c r="J1009" i="5"/>
  <c r="B1009" i="5"/>
  <c r="F1009" i="5" s="1"/>
  <c r="N1008" i="5"/>
  <c r="J1008" i="5"/>
  <c r="F1008" i="5"/>
  <c r="C1008" i="5"/>
  <c r="N1007" i="5"/>
  <c r="J1007" i="5"/>
  <c r="F1007" i="5"/>
  <c r="C1007" i="5"/>
  <c r="J1001" i="5"/>
  <c r="N1000" i="5"/>
  <c r="J1000" i="5"/>
  <c r="F1000" i="5"/>
  <c r="N999" i="5"/>
  <c r="J999" i="5"/>
  <c r="F999" i="5"/>
  <c r="C999" i="5"/>
  <c r="N998" i="5"/>
  <c r="J998" i="5"/>
  <c r="F998" i="5"/>
  <c r="C998" i="5"/>
  <c r="N997" i="5"/>
  <c r="J997" i="5"/>
  <c r="B997" i="5"/>
  <c r="F997" i="5" s="1"/>
  <c r="N996" i="5"/>
  <c r="J996" i="5"/>
  <c r="B996" i="5"/>
  <c r="F996" i="5" s="1"/>
  <c r="AB995" i="5"/>
  <c r="N995" i="5"/>
  <c r="J995" i="5"/>
  <c r="B995" i="5"/>
  <c r="F995" i="5" s="1"/>
  <c r="N994" i="5"/>
  <c r="J994" i="5"/>
  <c r="F994" i="5"/>
  <c r="C994" i="5"/>
  <c r="N993" i="5"/>
  <c r="J993" i="5"/>
  <c r="F993" i="5"/>
  <c r="C993" i="5"/>
  <c r="N986" i="5"/>
  <c r="J986" i="5"/>
  <c r="F986" i="5"/>
  <c r="F987" i="5" s="1"/>
  <c r="N985" i="5"/>
  <c r="J985" i="5"/>
  <c r="F985" i="5"/>
  <c r="C985" i="5"/>
  <c r="N984" i="5"/>
  <c r="J984" i="5"/>
  <c r="F984" i="5"/>
  <c r="C984" i="5"/>
  <c r="N983" i="5"/>
  <c r="J983" i="5"/>
  <c r="F983" i="5"/>
  <c r="B983" i="5"/>
  <c r="N982" i="5"/>
  <c r="J982" i="5"/>
  <c r="B982" i="5"/>
  <c r="F982" i="5" s="1"/>
  <c r="AB981" i="5"/>
  <c r="N981" i="5"/>
  <c r="J981" i="5"/>
  <c r="F981" i="5"/>
  <c r="AD988" i="5" s="1"/>
  <c r="K62" i="4" s="1"/>
  <c r="B981" i="5"/>
  <c r="N980" i="5"/>
  <c r="J980" i="5"/>
  <c r="F980" i="5"/>
  <c r="C980" i="5"/>
  <c r="N979" i="5"/>
  <c r="N987" i="5" s="1"/>
  <c r="J979" i="5"/>
  <c r="J987" i="5" s="1"/>
  <c r="F979" i="5"/>
  <c r="C979" i="5"/>
  <c r="F972" i="5"/>
  <c r="F974" i="5" s="1"/>
  <c r="N967" i="5"/>
  <c r="J967" i="5"/>
  <c r="F967" i="5"/>
  <c r="N966" i="5"/>
  <c r="J966" i="5"/>
  <c r="F966" i="5"/>
  <c r="C966" i="5"/>
  <c r="N965" i="5"/>
  <c r="J965" i="5"/>
  <c r="F965" i="5"/>
  <c r="C965" i="5"/>
  <c r="N964" i="5"/>
  <c r="J964" i="5"/>
  <c r="F964" i="5"/>
  <c r="B964" i="5"/>
  <c r="N963" i="5"/>
  <c r="J963" i="5"/>
  <c r="B963" i="5"/>
  <c r="F963" i="5" s="1"/>
  <c r="AB962" i="5"/>
  <c r="N962" i="5"/>
  <c r="J962" i="5"/>
  <c r="B962" i="5"/>
  <c r="F962" i="5" s="1"/>
  <c r="N961" i="5"/>
  <c r="J961" i="5"/>
  <c r="F961" i="5"/>
  <c r="C961" i="5"/>
  <c r="N960" i="5"/>
  <c r="J960" i="5"/>
  <c r="J968" i="5" s="1"/>
  <c r="F960" i="5"/>
  <c r="C960" i="5"/>
  <c r="N953" i="5"/>
  <c r="J953" i="5"/>
  <c r="F953" i="5"/>
  <c r="N952" i="5"/>
  <c r="J952" i="5"/>
  <c r="F952" i="5"/>
  <c r="C952" i="5"/>
  <c r="N951" i="5"/>
  <c r="J951" i="5"/>
  <c r="F951" i="5"/>
  <c r="C951" i="5"/>
  <c r="N950" i="5"/>
  <c r="J950" i="5"/>
  <c r="B950" i="5"/>
  <c r="F950" i="5" s="1"/>
  <c r="N949" i="5"/>
  <c r="J949" i="5"/>
  <c r="B949" i="5"/>
  <c r="F949" i="5" s="1"/>
  <c r="AB948" i="5"/>
  <c r="N948" i="5"/>
  <c r="J948" i="5"/>
  <c r="B948" i="5"/>
  <c r="F948" i="5" s="1"/>
  <c r="N947" i="5"/>
  <c r="J947" i="5"/>
  <c r="F947" i="5"/>
  <c r="C947" i="5"/>
  <c r="N946" i="5"/>
  <c r="J946" i="5"/>
  <c r="J954" i="5" s="1"/>
  <c r="F946" i="5"/>
  <c r="C946" i="5"/>
  <c r="F939" i="5"/>
  <c r="F941" i="5" s="1"/>
  <c r="N934" i="5"/>
  <c r="J934" i="5"/>
  <c r="F934" i="5"/>
  <c r="N933" i="5"/>
  <c r="J933" i="5"/>
  <c r="F933" i="5"/>
  <c r="C933" i="5"/>
  <c r="N932" i="5"/>
  <c r="J932" i="5"/>
  <c r="F932" i="5"/>
  <c r="C932" i="5"/>
  <c r="N931" i="5"/>
  <c r="J931" i="5"/>
  <c r="B931" i="5"/>
  <c r="F931" i="5" s="1"/>
  <c r="AD936" i="5" s="1"/>
  <c r="K59" i="4" s="1"/>
  <c r="N930" i="5"/>
  <c r="J930" i="5"/>
  <c r="B930" i="5"/>
  <c r="F930" i="5" s="1"/>
  <c r="AB929" i="5"/>
  <c r="N929" i="5"/>
  <c r="J929" i="5"/>
  <c r="B929" i="5"/>
  <c r="F929" i="5" s="1"/>
  <c r="N928" i="5"/>
  <c r="J928" i="5"/>
  <c r="F928" i="5"/>
  <c r="C928" i="5"/>
  <c r="N927" i="5"/>
  <c r="J927" i="5"/>
  <c r="J935" i="5" s="1"/>
  <c r="F927" i="5"/>
  <c r="C927" i="5"/>
  <c r="F920" i="5"/>
  <c r="F922" i="5" s="1"/>
  <c r="N915" i="5"/>
  <c r="J915" i="5"/>
  <c r="F915" i="5"/>
  <c r="N914" i="5"/>
  <c r="J914" i="5"/>
  <c r="F914" i="5"/>
  <c r="C914" i="5"/>
  <c r="N913" i="5"/>
  <c r="J913" i="5"/>
  <c r="F913" i="5"/>
  <c r="C913" i="5"/>
  <c r="N912" i="5"/>
  <c r="J912" i="5"/>
  <c r="B912" i="5"/>
  <c r="F912" i="5" s="1"/>
  <c r="N911" i="5"/>
  <c r="J911" i="5"/>
  <c r="B911" i="5"/>
  <c r="F911" i="5" s="1"/>
  <c r="AB910" i="5"/>
  <c r="N910" i="5"/>
  <c r="J910" i="5"/>
  <c r="B910" i="5"/>
  <c r="F910" i="5" s="1"/>
  <c r="N909" i="5"/>
  <c r="J909" i="5"/>
  <c r="F909" i="5"/>
  <c r="C909" i="5"/>
  <c r="N908" i="5"/>
  <c r="N916" i="5" s="1"/>
  <c r="J908" i="5"/>
  <c r="J916" i="5" s="1"/>
  <c r="F908" i="5"/>
  <c r="C908" i="5"/>
  <c r="J902" i="5"/>
  <c r="N901" i="5"/>
  <c r="J901" i="5"/>
  <c r="F901" i="5"/>
  <c r="N900" i="5"/>
  <c r="J900" i="5"/>
  <c r="F900" i="5"/>
  <c r="C900" i="5"/>
  <c r="N899" i="5"/>
  <c r="J899" i="5"/>
  <c r="F899" i="5"/>
  <c r="C899" i="5"/>
  <c r="N898" i="5"/>
  <c r="J898" i="5"/>
  <c r="B898" i="5"/>
  <c r="F898" i="5" s="1"/>
  <c r="N897" i="5"/>
  <c r="N902" i="5" s="1"/>
  <c r="J897" i="5"/>
  <c r="B897" i="5"/>
  <c r="F897" i="5" s="1"/>
  <c r="AB896" i="5"/>
  <c r="N896" i="5"/>
  <c r="J896" i="5"/>
  <c r="B896" i="5"/>
  <c r="F896" i="5" s="1"/>
  <c r="N895" i="5"/>
  <c r="J895" i="5"/>
  <c r="F895" i="5"/>
  <c r="C895" i="5"/>
  <c r="N894" i="5"/>
  <c r="J894" i="5"/>
  <c r="F894" i="5"/>
  <c r="C894" i="5"/>
  <c r="N887" i="5"/>
  <c r="J887" i="5"/>
  <c r="F887" i="5"/>
  <c r="N886" i="5"/>
  <c r="J886" i="5"/>
  <c r="F886" i="5"/>
  <c r="C886" i="5"/>
  <c r="N885" i="5"/>
  <c r="J885" i="5"/>
  <c r="F885" i="5"/>
  <c r="F888" i="5" s="1"/>
  <c r="C885" i="5"/>
  <c r="N884" i="5"/>
  <c r="J884" i="5"/>
  <c r="B884" i="5"/>
  <c r="F884" i="5" s="1"/>
  <c r="N883" i="5"/>
  <c r="J883" i="5"/>
  <c r="B883" i="5"/>
  <c r="F883" i="5" s="1"/>
  <c r="AB882" i="5"/>
  <c r="N882" i="5"/>
  <c r="J882" i="5"/>
  <c r="F882" i="5"/>
  <c r="B882" i="5"/>
  <c r="N881" i="5"/>
  <c r="N888" i="5" s="1"/>
  <c r="J881" i="5"/>
  <c r="F881" i="5"/>
  <c r="C881" i="5"/>
  <c r="N880" i="5"/>
  <c r="J880" i="5"/>
  <c r="F880" i="5"/>
  <c r="C880" i="5"/>
  <c r="F875" i="5"/>
  <c r="F873" i="5"/>
  <c r="N868" i="5"/>
  <c r="J868" i="5"/>
  <c r="J869" i="5" s="1"/>
  <c r="F868" i="5"/>
  <c r="N867" i="5"/>
  <c r="J867" i="5"/>
  <c r="F867" i="5"/>
  <c r="C867" i="5"/>
  <c r="N866" i="5"/>
  <c r="J866" i="5"/>
  <c r="F866" i="5"/>
  <c r="C866" i="5"/>
  <c r="N865" i="5"/>
  <c r="J865" i="5"/>
  <c r="B865" i="5"/>
  <c r="F865" i="5" s="1"/>
  <c r="N864" i="5"/>
  <c r="J864" i="5"/>
  <c r="B864" i="5"/>
  <c r="F864" i="5" s="1"/>
  <c r="AB863" i="5"/>
  <c r="N863" i="5"/>
  <c r="J863" i="5"/>
  <c r="B863" i="5"/>
  <c r="F863" i="5" s="1"/>
  <c r="N862" i="5"/>
  <c r="J862" i="5"/>
  <c r="F862" i="5"/>
  <c r="C862" i="5"/>
  <c r="N861" i="5"/>
  <c r="J861" i="5"/>
  <c r="F861" i="5"/>
  <c r="C861" i="5"/>
  <c r="F854" i="5"/>
  <c r="F856" i="5" s="1"/>
  <c r="J850" i="5"/>
  <c r="N849" i="5"/>
  <c r="J849" i="5"/>
  <c r="F849" i="5"/>
  <c r="N848" i="5"/>
  <c r="J848" i="5"/>
  <c r="F848" i="5"/>
  <c r="C848" i="5"/>
  <c r="N847" i="5"/>
  <c r="J847" i="5"/>
  <c r="F847" i="5"/>
  <c r="C847" i="5"/>
  <c r="N846" i="5"/>
  <c r="J846" i="5"/>
  <c r="B846" i="5"/>
  <c r="F846" i="5" s="1"/>
  <c r="N845" i="5"/>
  <c r="J845" i="5"/>
  <c r="B845" i="5"/>
  <c r="F845" i="5" s="1"/>
  <c r="AB844" i="5"/>
  <c r="N844" i="5"/>
  <c r="J844" i="5"/>
  <c r="B844" i="5"/>
  <c r="F844" i="5" s="1"/>
  <c r="N843" i="5"/>
  <c r="J843" i="5"/>
  <c r="F843" i="5"/>
  <c r="C843" i="5"/>
  <c r="N842" i="5"/>
  <c r="J842" i="5"/>
  <c r="F842" i="5"/>
  <c r="C842" i="5"/>
  <c r="F837" i="5"/>
  <c r="F835" i="5"/>
  <c r="N830" i="5"/>
  <c r="J830" i="5"/>
  <c r="F830" i="5"/>
  <c r="N829" i="5"/>
  <c r="J829" i="5"/>
  <c r="F829" i="5"/>
  <c r="C829" i="5"/>
  <c r="N828" i="5"/>
  <c r="J828" i="5"/>
  <c r="F828" i="5"/>
  <c r="C828" i="5"/>
  <c r="N827" i="5"/>
  <c r="J827" i="5"/>
  <c r="B827" i="5"/>
  <c r="F827" i="5" s="1"/>
  <c r="N826" i="5"/>
  <c r="J826" i="5"/>
  <c r="B826" i="5"/>
  <c r="F826" i="5" s="1"/>
  <c r="AB825" i="5"/>
  <c r="N825" i="5"/>
  <c r="J825" i="5"/>
  <c r="B825" i="5"/>
  <c r="F825" i="5" s="1"/>
  <c r="N824" i="5"/>
  <c r="J824" i="5"/>
  <c r="J831" i="5" s="1"/>
  <c r="F824" i="5"/>
  <c r="C824" i="5"/>
  <c r="N823" i="5"/>
  <c r="J823" i="5"/>
  <c r="F823" i="5"/>
  <c r="C823" i="5"/>
  <c r="F816" i="5"/>
  <c r="F818" i="5" s="1"/>
  <c r="N811" i="5"/>
  <c r="J811" i="5"/>
  <c r="F811" i="5"/>
  <c r="N810" i="5"/>
  <c r="J810" i="5"/>
  <c r="F810" i="5"/>
  <c r="C810" i="5"/>
  <c r="N809" i="5"/>
  <c r="J809" i="5"/>
  <c r="F809" i="5"/>
  <c r="C809" i="5"/>
  <c r="N808" i="5"/>
  <c r="J808" i="5"/>
  <c r="B808" i="5"/>
  <c r="F808" i="5" s="1"/>
  <c r="N807" i="5"/>
  <c r="J807" i="5"/>
  <c r="B807" i="5"/>
  <c r="F807" i="5" s="1"/>
  <c r="AB806" i="5"/>
  <c r="N806" i="5"/>
  <c r="J806" i="5"/>
  <c r="B806" i="5"/>
  <c r="F806" i="5" s="1"/>
  <c r="N805" i="5"/>
  <c r="J805" i="5"/>
  <c r="J812" i="5" s="1"/>
  <c r="F805" i="5"/>
  <c r="C805" i="5"/>
  <c r="N804" i="5"/>
  <c r="J804" i="5"/>
  <c r="F804" i="5"/>
  <c r="C804" i="5"/>
  <c r="F797" i="5"/>
  <c r="F799" i="5" s="1"/>
  <c r="N792" i="5"/>
  <c r="J792" i="5"/>
  <c r="F792" i="5"/>
  <c r="N791" i="5"/>
  <c r="J791" i="5"/>
  <c r="F791" i="5"/>
  <c r="C791" i="5"/>
  <c r="N790" i="5"/>
  <c r="J790" i="5"/>
  <c r="F790" i="5"/>
  <c r="C790" i="5"/>
  <c r="N789" i="5"/>
  <c r="J789" i="5"/>
  <c r="B789" i="5"/>
  <c r="F789" i="5" s="1"/>
  <c r="N788" i="5"/>
  <c r="J788" i="5"/>
  <c r="B788" i="5"/>
  <c r="F788" i="5" s="1"/>
  <c r="AB787" i="5"/>
  <c r="N787" i="5"/>
  <c r="J787" i="5"/>
  <c r="B787" i="5"/>
  <c r="F787" i="5" s="1"/>
  <c r="N786" i="5"/>
  <c r="J786" i="5"/>
  <c r="J793" i="5" s="1"/>
  <c r="F786" i="5"/>
  <c r="C786" i="5"/>
  <c r="N785" i="5"/>
  <c r="J785" i="5"/>
  <c r="F785" i="5"/>
  <c r="C785" i="5"/>
  <c r="F778" i="5"/>
  <c r="F780" i="5" s="1"/>
  <c r="N773" i="5"/>
  <c r="J773" i="5"/>
  <c r="F773" i="5"/>
  <c r="N772" i="5"/>
  <c r="J772" i="5"/>
  <c r="F772" i="5"/>
  <c r="C772" i="5"/>
  <c r="N771" i="5"/>
  <c r="J771" i="5"/>
  <c r="F771" i="5"/>
  <c r="C771" i="5"/>
  <c r="N770" i="5"/>
  <c r="J770" i="5"/>
  <c r="B770" i="5"/>
  <c r="F770" i="5" s="1"/>
  <c r="N769" i="5"/>
  <c r="J769" i="5"/>
  <c r="J774" i="5" s="1"/>
  <c r="B769" i="5"/>
  <c r="F769" i="5" s="1"/>
  <c r="AB768" i="5"/>
  <c r="N768" i="5"/>
  <c r="J768" i="5"/>
  <c r="B768" i="5"/>
  <c r="F768" i="5" s="1"/>
  <c r="N767" i="5"/>
  <c r="N774" i="5" s="1"/>
  <c r="J767" i="5"/>
  <c r="F767" i="5"/>
  <c r="C767" i="5"/>
  <c r="N766" i="5"/>
  <c r="J766" i="5"/>
  <c r="F766" i="5"/>
  <c r="C766" i="5"/>
  <c r="F761" i="5"/>
  <c r="F759" i="5"/>
  <c r="N754" i="5"/>
  <c r="J754" i="5"/>
  <c r="F754" i="5"/>
  <c r="N753" i="5"/>
  <c r="J753" i="5"/>
  <c r="F753" i="5"/>
  <c r="C753" i="5"/>
  <c r="N752" i="5"/>
  <c r="J752" i="5"/>
  <c r="F752" i="5"/>
  <c r="C752" i="5"/>
  <c r="N751" i="5"/>
  <c r="J751" i="5"/>
  <c r="B751" i="5"/>
  <c r="F751" i="5" s="1"/>
  <c r="N750" i="5"/>
  <c r="J750" i="5"/>
  <c r="F750" i="5"/>
  <c r="F755" i="5" s="1"/>
  <c r="B750" i="5"/>
  <c r="AB749" i="5"/>
  <c r="N749" i="5"/>
  <c r="J749" i="5"/>
  <c r="B749" i="5"/>
  <c r="F749" i="5" s="1"/>
  <c r="N748" i="5"/>
  <c r="J748" i="5"/>
  <c r="J755" i="5" s="1"/>
  <c r="F748" i="5"/>
  <c r="C748" i="5"/>
  <c r="N747" i="5"/>
  <c r="J747" i="5"/>
  <c r="F747" i="5"/>
  <c r="C747" i="5"/>
  <c r="F742" i="5"/>
  <c r="F740" i="5"/>
  <c r="N735" i="5"/>
  <c r="J735" i="5"/>
  <c r="F735" i="5"/>
  <c r="N734" i="5"/>
  <c r="J734" i="5"/>
  <c r="F734" i="5"/>
  <c r="C734" i="5"/>
  <c r="N733" i="5"/>
  <c r="J733" i="5"/>
  <c r="F733" i="5"/>
  <c r="C733" i="5"/>
  <c r="N732" i="5"/>
  <c r="J732" i="5"/>
  <c r="B732" i="5"/>
  <c r="F732" i="5" s="1"/>
  <c r="N731" i="5"/>
  <c r="J731" i="5"/>
  <c r="J736" i="5" s="1"/>
  <c r="F731" i="5"/>
  <c r="B731" i="5"/>
  <c r="AB730" i="5"/>
  <c r="N730" i="5"/>
  <c r="J730" i="5"/>
  <c r="B730" i="5"/>
  <c r="F730" i="5" s="1"/>
  <c r="AD737" i="5" s="1"/>
  <c r="K48" i="4" s="1"/>
  <c r="N729" i="5"/>
  <c r="N736" i="5" s="1"/>
  <c r="J729" i="5"/>
  <c r="F729" i="5"/>
  <c r="C729" i="5"/>
  <c r="N728" i="5"/>
  <c r="J728" i="5"/>
  <c r="F728" i="5"/>
  <c r="C728" i="5"/>
  <c r="F723" i="5"/>
  <c r="F721" i="5"/>
  <c r="J717" i="5"/>
  <c r="N716" i="5"/>
  <c r="J716" i="5"/>
  <c r="F716" i="5"/>
  <c r="N715" i="5"/>
  <c r="J715" i="5"/>
  <c r="F715" i="5"/>
  <c r="C715" i="5"/>
  <c r="N714" i="5"/>
  <c r="J714" i="5"/>
  <c r="F714" i="5"/>
  <c r="C714" i="5"/>
  <c r="N713" i="5"/>
  <c r="J713" i="5"/>
  <c r="B713" i="5"/>
  <c r="F713" i="5" s="1"/>
  <c r="N712" i="5"/>
  <c r="J712" i="5"/>
  <c r="B712" i="5"/>
  <c r="F712" i="5" s="1"/>
  <c r="AB711" i="5"/>
  <c r="N711" i="5"/>
  <c r="J711" i="5"/>
  <c r="B711" i="5"/>
  <c r="F711" i="5" s="1"/>
  <c r="N710" i="5"/>
  <c r="J710" i="5"/>
  <c r="F710" i="5"/>
  <c r="C710" i="5"/>
  <c r="N709" i="5"/>
  <c r="J709" i="5"/>
  <c r="F709" i="5"/>
  <c r="C709" i="5"/>
  <c r="F702" i="5"/>
  <c r="F704" i="5" s="1"/>
  <c r="J698" i="5"/>
  <c r="N697" i="5"/>
  <c r="J697" i="5"/>
  <c r="F697" i="5"/>
  <c r="N696" i="5"/>
  <c r="J696" i="5"/>
  <c r="F696" i="5"/>
  <c r="C696" i="5"/>
  <c r="N695" i="5"/>
  <c r="J695" i="5"/>
  <c r="F695" i="5"/>
  <c r="C695" i="5"/>
  <c r="N694" i="5"/>
  <c r="J694" i="5"/>
  <c r="B694" i="5"/>
  <c r="F694" i="5" s="1"/>
  <c r="N693" i="5"/>
  <c r="J693" i="5"/>
  <c r="B693" i="5"/>
  <c r="F693" i="5" s="1"/>
  <c r="AB692" i="5"/>
  <c r="N692" i="5"/>
  <c r="J692" i="5"/>
  <c r="B692" i="5"/>
  <c r="F692" i="5" s="1"/>
  <c r="N691" i="5"/>
  <c r="J691" i="5"/>
  <c r="F691" i="5"/>
  <c r="C691" i="5"/>
  <c r="N690" i="5"/>
  <c r="J690" i="5"/>
  <c r="F690" i="5"/>
  <c r="C690" i="5"/>
  <c r="F685" i="5"/>
  <c r="F683" i="5"/>
  <c r="N678" i="5"/>
  <c r="J678" i="5"/>
  <c r="F678" i="5"/>
  <c r="N677" i="5"/>
  <c r="J677" i="5"/>
  <c r="F677" i="5"/>
  <c r="C677" i="5"/>
  <c r="N676" i="5"/>
  <c r="J676" i="5"/>
  <c r="F676" i="5"/>
  <c r="C676" i="5"/>
  <c r="N675" i="5"/>
  <c r="J675" i="5"/>
  <c r="B675" i="5"/>
  <c r="F675" i="5" s="1"/>
  <c r="N674" i="5"/>
  <c r="J674" i="5"/>
  <c r="B674" i="5"/>
  <c r="F674" i="5" s="1"/>
  <c r="AB673" i="5"/>
  <c r="N673" i="5"/>
  <c r="J673" i="5"/>
  <c r="B673" i="5"/>
  <c r="F673" i="5" s="1"/>
  <c r="N672" i="5"/>
  <c r="J672" i="5"/>
  <c r="J679" i="5" s="1"/>
  <c r="F672" i="5"/>
  <c r="C672" i="5"/>
  <c r="N671" i="5"/>
  <c r="J671" i="5"/>
  <c r="F671" i="5"/>
  <c r="C671" i="5"/>
  <c r="F664" i="5"/>
  <c r="F666" i="5" s="1"/>
  <c r="N659" i="5"/>
  <c r="J659" i="5"/>
  <c r="F659" i="5"/>
  <c r="N658" i="5"/>
  <c r="J658" i="5"/>
  <c r="F658" i="5"/>
  <c r="C658" i="5"/>
  <c r="N657" i="5"/>
  <c r="J657" i="5"/>
  <c r="F657" i="5"/>
  <c r="C657" i="5"/>
  <c r="N656" i="5"/>
  <c r="J656" i="5"/>
  <c r="B656" i="5"/>
  <c r="F656" i="5" s="1"/>
  <c r="N655" i="5"/>
  <c r="J655" i="5"/>
  <c r="B655" i="5"/>
  <c r="F655" i="5" s="1"/>
  <c r="AB654" i="5"/>
  <c r="N654" i="5"/>
  <c r="J654" i="5"/>
  <c r="B654" i="5"/>
  <c r="F654" i="5" s="1"/>
  <c r="N653" i="5"/>
  <c r="J653" i="5"/>
  <c r="J660" i="5" s="1"/>
  <c r="F653" i="5"/>
  <c r="C653" i="5"/>
  <c r="N652" i="5"/>
  <c r="J652" i="5"/>
  <c r="F652" i="5"/>
  <c r="C652" i="5"/>
  <c r="F645" i="5"/>
  <c r="F647" i="5" s="1"/>
  <c r="N640" i="5"/>
  <c r="J640" i="5"/>
  <c r="F640" i="5"/>
  <c r="N639" i="5"/>
  <c r="J639" i="5"/>
  <c r="F639" i="5"/>
  <c r="C639" i="5"/>
  <c r="N638" i="5"/>
  <c r="J638" i="5"/>
  <c r="F638" i="5"/>
  <c r="C638" i="5"/>
  <c r="N637" i="5"/>
  <c r="J637" i="5"/>
  <c r="B637" i="5"/>
  <c r="F637" i="5" s="1"/>
  <c r="N636" i="5"/>
  <c r="J636" i="5"/>
  <c r="B636" i="5"/>
  <c r="F636" i="5" s="1"/>
  <c r="AB635" i="5"/>
  <c r="N635" i="5"/>
  <c r="J635" i="5"/>
  <c r="B635" i="5"/>
  <c r="F635" i="5" s="1"/>
  <c r="N634" i="5"/>
  <c r="J634" i="5"/>
  <c r="J641" i="5" s="1"/>
  <c r="F634" i="5"/>
  <c r="C634" i="5"/>
  <c r="N633" i="5"/>
  <c r="J633" i="5"/>
  <c r="F633" i="5"/>
  <c r="C633" i="5"/>
  <c r="F626" i="5"/>
  <c r="F628" i="5" s="1"/>
  <c r="N621" i="5"/>
  <c r="J621" i="5"/>
  <c r="F621" i="5"/>
  <c r="N620" i="5"/>
  <c r="J620" i="5"/>
  <c r="F620" i="5"/>
  <c r="C620" i="5"/>
  <c r="N619" i="5"/>
  <c r="J619" i="5"/>
  <c r="F619" i="5"/>
  <c r="C619" i="5"/>
  <c r="N618" i="5"/>
  <c r="J618" i="5"/>
  <c r="B618" i="5"/>
  <c r="F618" i="5" s="1"/>
  <c r="N617" i="5"/>
  <c r="J617" i="5"/>
  <c r="J622" i="5" s="1"/>
  <c r="B617" i="5"/>
  <c r="F617" i="5" s="1"/>
  <c r="AB616" i="5"/>
  <c r="N616" i="5"/>
  <c r="J616" i="5"/>
  <c r="B616" i="5"/>
  <c r="F616" i="5" s="1"/>
  <c r="N615" i="5"/>
  <c r="N622" i="5" s="1"/>
  <c r="J615" i="5"/>
  <c r="F615" i="5"/>
  <c r="C615" i="5"/>
  <c r="N614" i="5"/>
  <c r="J614" i="5"/>
  <c r="F614" i="5"/>
  <c r="C614" i="5"/>
  <c r="F609" i="5"/>
  <c r="F607" i="5"/>
  <c r="N602" i="5"/>
  <c r="J602" i="5"/>
  <c r="F602" i="5"/>
  <c r="N601" i="5"/>
  <c r="J601" i="5"/>
  <c r="F601" i="5"/>
  <c r="C601" i="5"/>
  <c r="N600" i="5"/>
  <c r="J600" i="5"/>
  <c r="F600" i="5"/>
  <c r="C600" i="5"/>
  <c r="N599" i="5"/>
  <c r="J599" i="5"/>
  <c r="B599" i="5"/>
  <c r="F599" i="5" s="1"/>
  <c r="N598" i="5"/>
  <c r="J598" i="5"/>
  <c r="B598" i="5"/>
  <c r="F598" i="5" s="1"/>
  <c r="AB597" i="5"/>
  <c r="N597" i="5"/>
  <c r="J597" i="5"/>
  <c r="B597" i="5"/>
  <c r="F597" i="5" s="1"/>
  <c r="N596" i="5"/>
  <c r="J596" i="5"/>
  <c r="J603" i="5" s="1"/>
  <c r="F596" i="5"/>
  <c r="C596" i="5"/>
  <c r="N595" i="5"/>
  <c r="J595" i="5"/>
  <c r="F595" i="5"/>
  <c r="C595" i="5"/>
  <c r="N588" i="5"/>
  <c r="J588" i="5"/>
  <c r="F588" i="5"/>
  <c r="N587" i="5"/>
  <c r="J587" i="5"/>
  <c r="F587" i="5"/>
  <c r="C587" i="5"/>
  <c r="N586" i="5"/>
  <c r="J586" i="5"/>
  <c r="F586" i="5"/>
  <c r="C586" i="5"/>
  <c r="J585" i="5"/>
  <c r="B585" i="5"/>
  <c r="F585" i="5" s="1"/>
  <c r="J584" i="5"/>
  <c r="B584" i="5"/>
  <c r="F584" i="5" s="1"/>
  <c r="AB583" i="5"/>
  <c r="N583" i="5"/>
  <c r="J583" i="5"/>
  <c r="B583" i="5"/>
  <c r="F583" i="5" s="1"/>
  <c r="N582" i="5"/>
  <c r="J582" i="5"/>
  <c r="F582" i="5"/>
  <c r="C582" i="5"/>
  <c r="N581" i="5"/>
  <c r="N589" i="5" s="1"/>
  <c r="J581" i="5"/>
  <c r="F581" i="5"/>
  <c r="C581" i="5"/>
  <c r="F574" i="5"/>
  <c r="F576" i="5" s="1"/>
  <c r="N570" i="5"/>
  <c r="N569" i="5"/>
  <c r="J569" i="5"/>
  <c r="F569" i="5"/>
  <c r="N568" i="5"/>
  <c r="J568" i="5"/>
  <c r="F568" i="5"/>
  <c r="C568" i="5"/>
  <c r="N567" i="5"/>
  <c r="J567" i="5"/>
  <c r="F567" i="5"/>
  <c r="C567" i="5"/>
  <c r="N566" i="5"/>
  <c r="J566" i="5"/>
  <c r="B566" i="5"/>
  <c r="F566" i="5" s="1"/>
  <c r="N565" i="5"/>
  <c r="J565" i="5"/>
  <c r="B565" i="5"/>
  <c r="F565" i="5" s="1"/>
  <c r="AB564" i="5"/>
  <c r="N564" i="5"/>
  <c r="J564" i="5"/>
  <c r="B564" i="5"/>
  <c r="F564" i="5" s="1"/>
  <c r="N563" i="5"/>
  <c r="J563" i="5"/>
  <c r="F563" i="5"/>
  <c r="C563" i="5"/>
  <c r="N562" i="5"/>
  <c r="J562" i="5"/>
  <c r="J570" i="5" s="1"/>
  <c r="F562" i="5"/>
  <c r="C562" i="5"/>
  <c r="F555" i="5"/>
  <c r="F557" i="5" s="1"/>
  <c r="N550" i="5"/>
  <c r="J550" i="5"/>
  <c r="F550" i="5"/>
  <c r="N549" i="5"/>
  <c r="J549" i="5"/>
  <c r="F549" i="5"/>
  <c r="C549" i="5"/>
  <c r="N548" i="5"/>
  <c r="J548" i="5"/>
  <c r="F548" i="5"/>
  <c r="C548" i="5"/>
  <c r="N547" i="5"/>
  <c r="J547" i="5"/>
  <c r="B547" i="5"/>
  <c r="F547" i="5" s="1"/>
  <c r="B552" i="5" s="1"/>
  <c r="N546" i="5"/>
  <c r="J546" i="5"/>
  <c r="B546" i="5"/>
  <c r="F546" i="5" s="1"/>
  <c r="AB545" i="5"/>
  <c r="N545" i="5"/>
  <c r="J545" i="5"/>
  <c r="B545" i="5"/>
  <c r="F545" i="5" s="1"/>
  <c r="N544" i="5"/>
  <c r="J544" i="5"/>
  <c r="F544" i="5"/>
  <c r="C544" i="5"/>
  <c r="N543" i="5"/>
  <c r="N551" i="5" s="1"/>
  <c r="J543" i="5"/>
  <c r="J551" i="5" s="1"/>
  <c r="F543" i="5"/>
  <c r="C543" i="5"/>
  <c r="F536" i="5"/>
  <c r="F538" i="5" s="1"/>
  <c r="J531" i="5"/>
  <c r="F531" i="5"/>
  <c r="J530" i="5"/>
  <c r="F530" i="5"/>
  <c r="C530" i="5"/>
  <c r="J529" i="5"/>
  <c r="F529" i="5"/>
  <c r="C529" i="5"/>
  <c r="J528" i="5"/>
  <c r="B528" i="5"/>
  <c r="F528" i="5" s="1"/>
  <c r="J527" i="5"/>
  <c r="B527" i="5"/>
  <c r="F527" i="5" s="1"/>
  <c r="AB526" i="5"/>
  <c r="J526" i="5"/>
  <c r="B526" i="5"/>
  <c r="F526" i="5" s="1"/>
  <c r="J525" i="5"/>
  <c r="F525" i="5"/>
  <c r="C525" i="5"/>
  <c r="J524" i="5"/>
  <c r="J532" i="5" s="1"/>
  <c r="F524" i="5"/>
  <c r="C524" i="5"/>
  <c r="F519" i="5"/>
  <c r="F517" i="5"/>
  <c r="N513" i="5"/>
  <c r="J513" i="5"/>
  <c r="N512" i="5"/>
  <c r="J512" i="5"/>
  <c r="F512" i="5"/>
  <c r="N511" i="5"/>
  <c r="J511" i="5"/>
  <c r="F511" i="5"/>
  <c r="C511" i="5"/>
  <c r="N510" i="5"/>
  <c r="J510" i="5"/>
  <c r="F510" i="5"/>
  <c r="C510" i="5"/>
  <c r="N509" i="5"/>
  <c r="J509" i="5"/>
  <c r="B509" i="5"/>
  <c r="F509" i="5" s="1"/>
  <c r="N508" i="5"/>
  <c r="J508" i="5"/>
  <c r="B508" i="5"/>
  <c r="F508" i="5" s="1"/>
  <c r="AB507" i="5"/>
  <c r="N507" i="5"/>
  <c r="J507" i="5"/>
  <c r="B507" i="5"/>
  <c r="F507" i="5" s="1"/>
  <c r="N506" i="5"/>
  <c r="J506" i="5"/>
  <c r="F506" i="5"/>
  <c r="C506" i="5"/>
  <c r="N505" i="5"/>
  <c r="J505" i="5"/>
  <c r="F505" i="5"/>
  <c r="C505" i="5"/>
  <c r="F500" i="5"/>
  <c r="F498" i="5"/>
  <c r="J494" i="5"/>
  <c r="N493" i="5"/>
  <c r="J493" i="5"/>
  <c r="F493" i="5"/>
  <c r="N492" i="5"/>
  <c r="J492" i="5"/>
  <c r="F492" i="5"/>
  <c r="C492" i="5"/>
  <c r="N491" i="5"/>
  <c r="J491" i="5"/>
  <c r="F491" i="5"/>
  <c r="C491" i="5"/>
  <c r="N490" i="5"/>
  <c r="J490" i="5"/>
  <c r="B490" i="5"/>
  <c r="F490" i="5" s="1"/>
  <c r="N489" i="5"/>
  <c r="J489" i="5"/>
  <c r="B489" i="5"/>
  <c r="F489" i="5" s="1"/>
  <c r="AB488" i="5"/>
  <c r="N488" i="5"/>
  <c r="J488" i="5"/>
  <c r="B488" i="5"/>
  <c r="F488" i="5" s="1"/>
  <c r="N487" i="5"/>
  <c r="J487" i="5"/>
  <c r="F487" i="5"/>
  <c r="C487" i="5"/>
  <c r="N486" i="5"/>
  <c r="N494" i="5" s="1"/>
  <c r="J486" i="5"/>
  <c r="F486" i="5"/>
  <c r="C486" i="5"/>
  <c r="F481" i="5"/>
  <c r="F479" i="5"/>
  <c r="N475" i="5"/>
  <c r="J475" i="5"/>
  <c r="N474" i="5"/>
  <c r="J474" i="5"/>
  <c r="F474" i="5"/>
  <c r="N473" i="5"/>
  <c r="J473" i="5"/>
  <c r="F473" i="5"/>
  <c r="C473" i="5"/>
  <c r="N472" i="5"/>
  <c r="J472" i="5"/>
  <c r="F472" i="5"/>
  <c r="C472" i="5"/>
  <c r="N471" i="5"/>
  <c r="J471" i="5"/>
  <c r="B471" i="5"/>
  <c r="F471" i="5" s="1"/>
  <c r="N470" i="5"/>
  <c r="J470" i="5"/>
  <c r="B470" i="5"/>
  <c r="F470" i="5" s="1"/>
  <c r="AB469" i="5"/>
  <c r="N469" i="5"/>
  <c r="J469" i="5"/>
  <c r="B469" i="5"/>
  <c r="F469" i="5" s="1"/>
  <c r="N468" i="5"/>
  <c r="J468" i="5"/>
  <c r="F468" i="5"/>
  <c r="C468" i="5"/>
  <c r="N467" i="5"/>
  <c r="J467" i="5"/>
  <c r="F467" i="5"/>
  <c r="C467" i="5"/>
  <c r="F462" i="5"/>
  <c r="F460" i="5"/>
  <c r="J456" i="5"/>
  <c r="N455" i="5"/>
  <c r="J455" i="5"/>
  <c r="F455" i="5"/>
  <c r="N454" i="5"/>
  <c r="J454" i="5"/>
  <c r="F454" i="5"/>
  <c r="C454" i="5"/>
  <c r="N453" i="5"/>
  <c r="J453" i="5"/>
  <c r="F453" i="5"/>
  <c r="C453" i="5"/>
  <c r="N452" i="5"/>
  <c r="J452" i="5"/>
  <c r="B452" i="5"/>
  <c r="F452" i="5" s="1"/>
  <c r="N451" i="5"/>
  <c r="J451" i="5"/>
  <c r="B451" i="5"/>
  <c r="F451" i="5" s="1"/>
  <c r="AB450" i="5"/>
  <c r="N450" i="5"/>
  <c r="J450" i="5"/>
  <c r="B450" i="5"/>
  <c r="F450" i="5" s="1"/>
  <c r="N449" i="5"/>
  <c r="J449" i="5"/>
  <c r="F449" i="5"/>
  <c r="C449" i="5"/>
  <c r="N448" i="5"/>
  <c r="N456" i="5" s="1"/>
  <c r="J448" i="5"/>
  <c r="F448" i="5"/>
  <c r="C448" i="5"/>
  <c r="F443" i="5"/>
  <c r="F441" i="5"/>
  <c r="N436" i="5"/>
  <c r="J436" i="5"/>
  <c r="F436" i="5"/>
  <c r="N435" i="5"/>
  <c r="J435" i="5"/>
  <c r="F435" i="5"/>
  <c r="C435" i="5"/>
  <c r="N434" i="5"/>
  <c r="J434" i="5"/>
  <c r="F434" i="5"/>
  <c r="C434" i="5"/>
  <c r="N433" i="5"/>
  <c r="J433" i="5"/>
  <c r="J437" i="5" s="1"/>
  <c r="B433" i="5"/>
  <c r="F433" i="5" s="1"/>
  <c r="N432" i="5"/>
  <c r="J432" i="5"/>
  <c r="B432" i="5"/>
  <c r="F432" i="5" s="1"/>
  <c r="AB431" i="5"/>
  <c r="N431" i="5"/>
  <c r="J431" i="5"/>
  <c r="B431" i="5"/>
  <c r="F431" i="5" s="1"/>
  <c r="N430" i="5"/>
  <c r="J430" i="5"/>
  <c r="F430" i="5"/>
  <c r="C430" i="5"/>
  <c r="N429" i="5"/>
  <c r="N437" i="5" s="1"/>
  <c r="J429" i="5"/>
  <c r="F429" i="5"/>
  <c r="C429" i="5"/>
  <c r="F424" i="5"/>
  <c r="F422" i="5"/>
  <c r="N417" i="5"/>
  <c r="J417" i="5"/>
  <c r="F417" i="5"/>
  <c r="N416" i="5"/>
  <c r="J416" i="5"/>
  <c r="F416" i="5"/>
  <c r="C416" i="5"/>
  <c r="N415" i="5"/>
  <c r="J415" i="5"/>
  <c r="F415" i="5"/>
  <c r="C415" i="5"/>
  <c r="N414" i="5"/>
  <c r="J414" i="5"/>
  <c r="B414" i="5"/>
  <c r="F414" i="5" s="1"/>
  <c r="N413" i="5"/>
  <c r="J413" i="5"/>
  <c r="B413" i="5"/>
  <c r="F413" i="5" s="1"/>
  <c r="AB412" i="5"/>
  <c r="N412" i="5"/>
  <c r="J412" i="5"/>
  <c r="B412" i="5"/>
  <c r="F412" i="5" s="1"/>
  <c r="N411" i="5"/>
  <c r="J411" i="5"/>
  <c r="F411" i="5"/>
  <c r="C411" i="5"/>
  <c r="N410" i="5"/>
  <c r="J410" i="5"/>
  <c r="J418" i="5" s="1"/>
  <c r="F410" i="5"/>
  <c r="C410" i="5"/>
  <c r="F405" i="5"/>
  <c r="F403" i="5"/>
  <c r="N399" i="5"/>
  <c r="J399" i="5"/>
  <c r="N398" i="5"/>
  <c r="J398" i="5"/>
  <c r="F398" i="5"/>
  <c r="N397" i="5"/>
  <c r="J397" i="5"/>
  <c r="F397" i="5"/>
  <c r="C397" i="5"/>
  <c r="N396" i="5"/>
  <c r="J396" i="5"/>
  <c r="F396" i="5"/>
  <c r="C396" i="5"/>
  <c r="N395" i="5"/>
  <c r="J395" i="5"/>
  <c r="B395" i="5"/>
  <c r="F395" i="5" s="1"/>
  <c r="N394" i="5"/>
  <c r="J394" i="5"/>
  <c r="B394" i="5"/>
  <c r="F394" i="5" s="1"/>
  <c r="AB393" i="5"/>
  <c r="N393" i="5"/>
  <c r="J393" i="5"/>
  <c r="B393" i="5"/>
  <c r="F393" i="5" s="1"/>
  <c r="N392" i="5"/>
  <c r="J392" i="5"/>
  <c r="F392" i="5"/>
  <c r="C392" i="5"/>
  <c r="N391" i="5"/>
  <c r="J391" i="5"/>
  <c r="F391" i="5"/>
  <c r="C391" i="5"/>
  <c r="F384" i="5"/>
  <c r="N383" i="5"/>
  <c r="J383" i="5"/>
  <c r="F383" i="5"/>
  <c r="C383" i="5"/>
  <c r="F382" i="5"/>
  <c r="C382" i="5"/>
  <c r="B381" i="5"/>
  <c r="F381" i="5" s="1"/>
  <c r="B380" i="5"/>
  <c r="F380" i="5" s="1"/>
  <c r="AB379" i="5"/>
  <c r="N379" i="5"/>
  <c r="J379" i="5"/>
  <c r="B379" i="5"/>
  <c r="F379" i="5" s="1"/>
  <c r="N378" i="5"/>
  <c r="J378" i="5"/>
  <c r="F378" i="5"/>
  <c r="C378" i="5"/>
  <c r="N377" i="5"/>
  <c r="J377" i="5"/>
  <c r="F377" i="5"/>
  <c r="C377" i="5"/>
  <c r="F372" i="5"/>
  <c r="F370" i="5"/>
  <c r="N365" i="5"/>
  <c r="J365" i="5"/>
  <c r="F365" i="5"/>
  <c r="N364" i="5"/>
  <c r="J364" i="5"/>
  <c r="F364" i="5"/>
  <c r="C364" i="5"/>
  <c r="N363" i="5"/>
  <c r="J363" i="5"/>
  <c r="F363" i="5"/>
  <c r="C363" i="5"/>
  <c r="N362" i="5"/>
  <c r="J362" i="5"/>
  <c r="B362" i="5"/>
  <c r="F362" i="5" s="1"/>
  <c r="N361" i="5"/>
  <c r="J361" i="5"/>
  <c r="B361" i="5"/>
  <c r="F361" i="5" s="1"/>
  <c r="AB360" i="5"/>
  <c r="N360" i="5"/>
  <c r="J360" i="5"/>
  <c r="B360" i="5"/>
  <c r="F360" i="5" s="1"/>
  <c r="N359" i="5"/>
  <c r="N366" i="5" s="1"/>
  <c r="J359" i="5"/>
  <c r="F359" i="5"/>
  <c r="C359" i="5"/>
  <c r="N358" i="5"/>
  <c r="J358" i="5"/>
  <c r="F358" i="5"/>
  <c r="C358" i="5"/>
  <c r="F353" i="5"/>
  <c r="F351" i="5"/>
  <c r="J347" i="5"/>
  <c r="N346" i="5"/>
  <c r="J346" i="5"/>
  <c r="F346" i="5"/>
  <c r="N345" i="5"/>
  <c r="J345" i="5"/>
  <c r="F345" i="5"/>
  <c r="C345" i="5"/>
  <c r="N344" i="5"/>
  <c r="J344" i="5"/>
  <c r="F344" i="5"/>
  <c r="C344" i="5"/>
  <c r="N343" i="5"/>
  <c r="J343" i="5"/>
  <c r="B343" i="5"/>
  <c r="F343" i="5" s="1"/>
  <c r="N342" i="5"/>
  <c r="J342" i="5"/>
  <c r="F342" i="5"/>
  <c r="B342" i="5"/>
  <c r="AB341" i="5"/>
  <c r="N341" i="5"/>
  <c r="J341" i="5"/>
  <c r="B341" i="5"/>
  <c r="F341" i="5" s="1"/>
  <c r="N340" i="5"/>
  <c r="J340" i="5"/>
  <c r="F340" i="5"/>
  <c r="C340" i="5"/>
  <c r="N339" i="5"/>
  <c r="N347" i="5" s="1"/>
  <c r="J339" i="5"/>
  <c r="F339" i="5"/>
  <c r="C339" i="5"/>
  <c r="F332" i="5"/>
  <c r="F334" i="5" s="1"/>
  <c r="N327" i="5"/>
  <c r="J327" i="5"/>
  <c r="F327" i="5"/>
  <c r="N326" i="5"/>
  <c r="J326" i="5"/>
  <c r="F326" i="5"/>
  <c r="C326" i="5"/>
  <c r="N325" i="5"/>
  <c r="J325" i="5"/>
  <c r="F325" i="5"/>
  <c r="C325" i="5"/>
  <c r="N324" i="5"/>
  <c r="J324" i="5"/>
  <c r="B324" i="5"/>
  <c r="F324" i="5" s="1"/>
  <c r="N323" i="5"/>
  <c r="J323" i="5"/>
  <c r="B323" i="5"/>
  <c r="F323" i="5" s="1"/>
  <c r="AD329" i="5" s="1"/>
  <c r="K26" i="4" s="1"/>
  <c r="AB322" i="5"/>
  <c r="N322" i="5"/>
  <c r="J322" i="5"/>
  <c r="B322" i="5"/>
  <c r="F322" i="5" s="1"/>
  <c r="N321" i="5"/>
  <c r="J321" i="5"/>
  <c r="F321" i="5"/>
  <c r="C321" i="5"/>
  <c r="N320" i="5"/>
  <c r="J320" i="5"/>
  <c r="J328" i="5" s="1"/>
  <c r="F320" i="5"/>
  <c r="C320" i="5"/>
  <c r="J313" i="5"/>
  <c r="F313" i="5"/>
  <c r="J312" i="5"/>
  <c r="F312" i="5"/>
  <c r="C312" i="5"/>
  <c r="J311" i="5"/>
  <c r="F311" i="5"/>
  <c r="C311" i="5"/>
  <c r="J310" i="5"/>
  <c r="B310" i="5"/>
  <c r="F310" i="5" s="1"/>
  <c r="J309" i="5"/>
  <c r="B309" i="5"/>
  <c r="F309" i="5" s="1"/>
  <c r="B315" i="5" s="1"/>
  <c r="E25" i="4" s="1"/>
  <c r="AB308" i="5"/>
  <c r="J308" i="5"/>
  <c r="B308" i="5"/>
  <c r="F308" i="5" s="1"/>
  <c r="J307" i="5"/>
  <c r="F307" i="5"/>
  <c r="C307" i="5"/>
  <c r="J306" i="5"/>
  <c r="J314" i="5" s="1"/>
  <c r="F306" i="5"/>
  <c r="C306" i="5"/>
  <c r="F301" i="5"/>
  <c r="F299" i="5"/>
  <c r="N294" i="5"/>
  <c r="J294" i="5"/>
  <c r="F294" i="5"/>
  <c r="N293" i="5"/>
  <c r="J293" i="5"/>
  <c r="F293" i="5"/>
  <c r="C293" i="5"/>
  <c r="N292" i="5"/>
  <c r="J292" i="5"/>
  <c r="F292" i="5"/>
  <c r="C292" i="5"/>
  <c r="N291" i="5"/>
  <c r="J291" i="5"/>
  <c r="B291" i="5"/>
  <c r="F291" i="5" s="1"/>
  <c r="N290" i="5"/>
  <c r="J290" i="5"/>
  <c r="B290" i="5"/>
  <c r="F290" i="5" s="1"/>
  <c r="F295" i="5" s="1"/>
  <c r="AB289" i="5"/>
  <c r="N289" i="5"/>
  <c r="J289" i="5"/>
  <c r="B289" i="5"/>
  <c r="F289" i="5" s="1"/>
  <c r="N288" i="5"/>
  <c r="J288" i="5"/>
  <c r="F288" i="5"/>
  <c r="C288" i="5"/>
  <c r="N287" i="5"/>
  <c r="J287" i="5"/>
  <c r="J295" i="5" s="1"/>
  <c r="F287" i="5"/>
  <c r="C287" i="5"/>
  <c r="F282" i="5"/>
  <c r="F280" i="5"/>
  <c r="N275" i="5"/>
  <c r="J275" i="5"/>
  <c r="F275" i="5"/>
  <c r="N274" i="5"/>
  <c r="J274" i="5"/>
  <c r="F274" i="5"/>
  <c r="C274" i="5"/>
  <c r="N273" i="5"/>
  <c r="J273" i="5"/>
  <c r="F273" i="5"/>
  <c r="C273" i="5"/>
  <c r="N272" i="5"/>
  <c r="J272" i="5"/>
  <c r="B272" i="5"/>
  <c r="F272" i="5" s="1"/>
  <c r="N271" i="5"/>
  <c r="J271" i="5"/>
  <c r="B271" i="5"/>
  <c r="F271" i="5" s="1"/>
  <c r="AB270" i="5"/>
  <c r="N270" i="5"/>
  <c r="J270" i="5"/>
  <c r="B270" i="5"/>
  <c r="F270" i="5" s="1"/>
  <c r="N269" i="5"/>
  <c r="N276" i="5" s="1"/>
  <c r="J269" i="5"/>
  <c r="F269" i="5"/>
  <c r="C269" i="5"/>
  <c r="N268" i="5"/>
  <c r="J268" i="5"/>
  <c r="F268" i="5"/>
  <c r="C268" i="5"/>
  <c r="F263" i="5"/>
  <c r="F261" i="5"/>
  <c r="N256" i="5"/>
  <c r="J256" i="5"/>
  <c r="F256" i="5"/>
  <c r="N255" i="5"/>
  <c r="J255" i="5"/>
  <c r="F255" i="5"/>
  <c r="C255" i="5"/>
  <c r="N254" i="5"/>
  <c r="J254" i="5"/>
  <c r="F254" i="5"/>
  <c r="C254" i="5"/>
  <c r="N253" i="5"/>
  <c r="J253" i="5"/>
  <c r="B253" i="5"/>
  <c r="F253" i="5" s="1"/>
  <c r="N252" i="5"/>
  <c r="J252" i="5"/>
  <c r="B252" i="5"/>
  <c r="F252" i="5" s="1"/>
  <c r="AB251" i="5"/>
  <c r="N251" i="5"/>
  <c r="J251" i="5"/>
  <c r="B251" i="5"/>
  <c r="F251" i="5" s="1"/>
  <c r="N250" i="5"/>
  <c r="N257" i="5" s="1"/>
  <c r="J250" i="5"/>
  <c r="F250" i="5"/>
  <c r="C250" i="5"/>
  <c r="N249" i="5"/>
  <c r="J249" i="5"/>
  <c r="J257" i="5" s="1"/>
  <c r="F249" i="5"/>
  <c r="C249" i="5"/>
  <c r="AD244" i="5"/>
  <c r="K21" i="4" s="1"/>
  <c r="N242" i="5"/>
  <c r="J242" i="5"/>
  <c r="F242" i="5"/>
  <c r="N241" i="5"/>
  <c r="J241" i="5"/>
  <c r="F241" i="5"/>
  <c r="C241" i="5"/>
  <c r="N240" i="5"/>
  <c r="J240" i="5"/>
  <c r="F240" i="5"/>
  <c r="C240" i="5"/>
  <c r="N239" i="5"/>
  <c r="J239" i="5"/>
  <c r="B239" i="5"/>
  <c r="F239" i="5" s="1"/>
  <c r="N238" i="5"/>
  <c r="J238" i="5"/>
  <c r="B238" i="5"/>
  <c r="F238" i="5" s="1"/>
  <c r="AB237" i="5"/>
  <c r="N237" i="5"/>
  <c r="J237" i="5"/>
  <c r="B237" i="5"/>
  <c r="F237" i="5" s="1"/>
  <c r="N236" i="5"/>
  <c r="J236" i="5"/>
  <c r="J243" i="5" s="1"/>
  <c r="F236" i="5"/>
  <c r="C236" i="5"/>
  <c r="N235" i="5"/>
  <c r="J235" i="5"/>
  <c r="F235" i="5"/>
  <c r="C235" i="5"/>
  <c r="N228" i="5"/>
  <c r="J228" i="5"/>
  <c r="F228" i="5"/>
  <c r="N227" i="5"/>
  <c r="J227" i="5"/>
  <c r="F227" i="5"/>
  <c r="C227" i="5"/>
  <c r="N226" i="5"/>
  <c r="J226" i="5"/>
  <c r="F226" i="5"/>
  <c r="C226" i="5"/>
  <c r="N225" i="5"/>
  <c r="J225" i="5"/>
  <c r="B225" i="5"/>
  <c r="F225" i="5" s="1"/>
  <c r="N224" i="5"/>
  <c r="J224" i="5"/>
  <c r="B224" i="5"/>
  <c r="F224" i="5" s="1"/>
  <c r="AB223" i="5"/>
  <c r="N223" i="5"/>
  <c r="J223" i="5"/>
  <c r="B223" i="5"/>
  <c r="F223" i="5" s="1"/>
  <c r="N222" i="5"/>
  <c r="J222" i="5"/>
  <c r="J229" i="5" s="1"/>
  <c r="F222" i="5"/>
  <c r="C222" i="5"/>
  <c r="N221" i="5"/>
  <c r="N229" i="5" s="1"/>
  <c r="J221" i="5"/>
  <c r="F221" i="5"/>
  <c r="C221" i="5"/>
  <c r="F214" i="5"/>
  <c r="F216" i="5" s="1"/>
  <c r="N209" i="5"/>
  <c r="J209" i="5"/>
  <c r="F209" i="5"/>
  <c r="N208" i="5"/>
  <c r="J208" i="5"/>
  <c r="F208" i="5"/>
  <c r="C208" i="5"/>
  <c r="N207" i="5"/>
  <c r="J207" i="5"/>
  <c r="F207" i="5"/>
  <c r="C207" i="5"/>
  <c r="N206" i="5"/>
  <c r="J206" i="5"/>
  <c r="B206" i="5"/>
  <c r="F206" i="5" s="1"/>
  <c r="N205" i="5"/>
  <c r="J205" i="5"/>
  <c r="B205" i="5"/>
  <c r="F205" i="5" s="1"/>
  <c r="AB204" i="5"/>
  <c r="N204" i="5"/>
  <c r="J204" i="5"/>
  <c r="B204" i="5"/>
  <c r="F204" i="5" s="1"/>
  <c r="N203" i="5"/>
  <c r="J203" i="5"/>
  <c r="J210" i="5" s="1"/>
  <c r="F203" i="5"/>
  <c r="C203" i="5"/>
  <c r="N202" i="5"/>
  <c r="N210" i="5" s="1"/>
  <c r="J202" i="5"/>
  <c r="F202" i="5"/>
  <c r="C202" i="5"/>
  <c r="N196" i="5"/>
  <c r="N195" i="5"/>
  <c r="J195" i="5"/>
  <c r="F195" i="5"/>
  <c r="N194" i="5"/>
  <c r="J194" i="5"/>
  <c r="F194" i="5"/>
  <c r="C194" i="5"/>
  <c r="N193" i="5"/>
  <c r="J193" i="5"/>
  <c r="F193" i="5"/>
  <c r="C193" i="5"/>
  <c r="N192" i="5"/>
  <c r="J192" i="5"/>
  <c r="B192" i="5"/>
  <c r="F192" i="5" s="1"/>
  <c r="N191" i="5"/>
  <c r="J191" i="5"/>
  <c r="B191" i="5"/>
  <c r="F191" i="5" s="1"/>
  <c r="AB190" i="5"/>
  <c r="N190" i="5"/>
  <c r="J190" i="5"/>
  <c r="B190" i="5"/>
  <c r="F190" i="5" s="1"/>
  <c r="N189" i="5"/>
  <c r="J189" i="5"/>
  <c r="F189" i="5"/>
  <c r="C189" i="5"/>
  <c r="N188" i="5"/>
  <c r="J188" i="5"/>
  <c r="J196" i="5" s="1"/>
  <c r="F188" i="5"/>
  <c r="C188" i="5"/>
  <c r="N182" i="5"/>
  <c r="N181" i="5"/>
  <c r="J181" i="5"/>
  <c r="F181" i="5"/>
  <c r="N180" i="5"/>
  <c r="J180" i="5"/>
  <c r="F180" i="5"/>
  <c r="C180" i="5"/>
  <c r="N179" i="5"/>
  <c r="J179" i="5"/>
  <c r="F179" i="5"/>
  <c r="C179" i="5"/>
  <c r="N178" i="5"/>
  <c r="J178" i="5"/>
  <c r="B178" i="5"/>
  <c r="F178" i="5" s="1"/>
  <c r="N177" i="5"/>
  <c r="J177" i="5"/>
  <c r="B177" i="5"/>
  <c r="F177" i="5" s="1"/>
  <c r="AB176" i="5"/>
  <c r="N176" i="5"/>
  <c r="J176" i="5"/>
  <c r="B176" i="5"/>
  <c r="F176" i="5" s="1"/>
  <c r="N175" i="5"/>
  <c r="J175" i="5"/>
  <c r="F175" i="5"/>
  <c r="C175" i="5"/>
  <c r="N174" i="5"/>
  <c r="J174" i="5"/>
  <c r="F174" i="5"/>
  <c r="C174" i="5"/>
  <c r="N167" i="5"/>
  <c r="J167" i="5"/>
  <c r="F167" i="5"/>
  <c r="N166" i="5"/>
  <c r="J166" i="5"/>
  <c r="F166" i="5"/>
  <c r="C166" i="5"/>
  <c r="N165" i="5"/>
  <c r="J165" i="5"/>
  <c r="F165" i="5"/>
  <c r="C165" i="5"/>
  <c r="N164" i="5"/>
  <c r="J164" i="5"/>
  <c r="B164" i="5"/>
  <c r="F164" i="5" s="1"/>
  <c r="N163" i="5"/>
  <c r="J163" i="5"/>
  <c r="B163" i="5"/>
  <c r="F163" i="5" s="1"/>
  <c r="AB162" i="5"/>
  <c r="N162" i="5"/>
  <c r="J162" i="5"/>
  <c r="B162" i="5"/>
  <c r="F162" i="5" s="1"/>
  <c r="N161" i="5"/>
  <c r="J161" i="5"/>
  <c r="J168" i="5" s="1"/>
  <c r="F161" i="5"/>
  <c r="C161" i="5"/>
  <c r="N160" i="5"/>
  <c r="J160" i="5"/>
  <c r="F160" i="5"/>
  <c r="C160" i="5"/>
  <c r="N153" i="5"/>
  <c r="J153" i="5"/>
  <c r="F153" i="5"/>
  <c r="N152" i="5"/>
  <c r="J152" i="5"/>
  <c r="F152" i="5"/>
  <c r="C152" i="5"/>
  <c r="N151" i="5"/>
  <c r="J151" i="5"/>
  <c r="F151" i="5"/>
  <c r="C151" i="5"/>
  <c r="N150" i="5"/>
  <c r="J150" i="5"/>
  <c r="B150" i="5"/>
  <c r="F150" i="5" s="1"/>
  <c r="N149" i="5"/>
  <c r="J149" i="5"/>
  <c r="J154" i="5" s="1"/>
  <c r="B149" i="5"/>
  <c r="F149" i="5" s="1"/>
  <c r="AB148" i="5"/>
  <c r="N148" i="5"/>
  <c r="J148" i="5"/>
  <c r="B148" i="5"/>
  <c r="F148" i="5" s="1"/>
  <c r="N147" i="5"/>
  <c r="J147" i="5"/>
  <c r="F147" i="5"/>
  <c r="C147" i="5"/>
  <c r="N146" i="5"/>
  <c r="J146" i="5"/>
  <c r="F146" i="5"/>
  <c r="C146" i="5"/>
  <c r="N139" i="5"/>
  <c r="J139" i="5"/>
  <c r="F139" i="5"/>
  <c r="N138" i="5"/>
  <c r="J138" i="5"/>
  <c r="F138" i="5"/>
  <c r="C138" i="5"/>
  <c r="N137" i="5"/>
  <c r="J137" i="5"/>
  <c r="F137" i="5"/>
  <c r="C137" i="5"/>
  <c r="N136" i="5"/>
  <c r="J136" i="5"/>
  <c r="B136" i="5"/>
  <c r="F136" i="5" s="1"/>
  <c r="N135" i="5"/>
  <c r="J135" i="5"/>
  <c r="J140" i="5" s="1"/>
  <c r="B135" i="5"/>
  <c r="F135" i="5" s="1"/>
  <c r="AB134" i="5"/>
  <c r="N134" i="5"/>
  <c r="J134" i="5"/>
  <c r="B134" i="5"/>
  <c r="F134" i="5" s="1"/>
  <c r="N133" i="5"/>
  <c r="J133" i="5"/>
  <c r="F133" i="5"/>
  <c r="C133" i="5"/>
  <c r="N132" i="5"/>
  <c r="N140" i="5" s="1"/>
  <c r="J132" i="5"/>
  <c r="F132" i="5"/>
  <c r="C132" i="5"/>
  <c r="N126" i="5"/>
  <c r="N125" i="5"/>
  <c r="J125" i="5"/>
  <c r="F125" i="5"/>
  <c r="F126" i="5" s="1"/>
  <c r="N124" i="5"/>
  <c r="J124" i="5"/>
  <c r="F124" i="5"/>
  <c r="C124" i="5"/>
  <c r="N123" i="5"/>
  <c r="J123" i="5"/>
  <c r="F123" i="5"/>
  <c r="C123" i="5"/>
  <c r="N122" i="5"/>
  <c r="J122" i="5"/>
  <c r="B122" i="5"/>
  <c r="F122" i="5" s="1"/>
  <c r="N121" i="5"/>
  <c r="J121" i="5"/>
  <c r="B121" i="5"/>
  <c r="F121" i="5" s="1"/>
  <c r="AB120" i="5"/>
  <c r="N120" i="5"/>
  <c r="J120" i="5"/>
  <c r="B120" i="5"/>
  <c r="F120" i="5" s="1"/>
  <c r="N119" i="5"/>
  <c r="J119" i="5"/>
  <c r="F119" i="5"/>
  <c r="C119" i="5"/>
  <c r="N118" i="5"/>
  <c r="J118" i="5"/>
  <c r="J126" i="5" s="1"/>
  <c r="F118" i="5"/>
  <c r="C118" i="5"/>
  <c r="N111" i="5"/>
  <c r="J111" i="5"/>
  <c r="F111" i="5"/>
  <c r="N110" i="5"/>
  <c r="J110" i="5"/>
  <c r="F110" i="5"/>
  <c r="C110" i="5"/>
  <c r="N109" i="5"/>
  <c r="J109" i="5"/>
  <c r="F109" i="5"/>
  <c r="C109" i="5"/>
  <c r="N108" i="5"/>
  <c r="J108" i="5"/>
  <c r="B108" i="5"/>
  <c r="F108" i="5" s="1"/>
  <c r="N107" i="5"/>
  <c r="J107" i="5"/>
  <c r="B107" i="5"/>
  <c r="F107" i="5" s="1"/>
  <c r="AD113" i="5" s="1"/>
  <c r="K12" i="4" s="1"/>
  <c r="AB106" i="5"/>
  <c r="N106" i="5"/>
  <c r="J106" i="5"/>
  <c r="B106" i="5"/>
  <c r="F106" i="5" s="1"/>
  <c r="N105" i="5"/>
  <c r="J105" i="5"/>
  <c r="F105" i="5"/>
  <c r="C105" i="5"/>
  <c r="N104" i="5"/>
  <c r="J104" i="5"/>
  <c r="F104" i="5"/>
  <c r="C104" i="5"/>
  <c r="N97" i="5"/>
  <c r="J97" i="5"/>
  <c r="F97" i="5"/>
  <c r="N96" i="5"/>
  <c r="J96" i="5"/>
  <c r="F96" i="5"/>
  <c r="C96" i="5"/>
  <c r="N95" i="5"/>
  <c r="J95" i="5"/>
  <c r="F95" i="5"/>
  <c r="C95" i="5"/>
  <c r="N94" i="5"/>
  <c r="J94" i="5"/>
  <c r="B94" i="5"/>
  <c r="F94" i="5" s="1"/>
  <c r="N93" i="5"/>
  <c r="J93" i="5"/>
  <c r="B93" i="5"/>
  <c r="F93" i="5" s="1"/>
  <c r="AB92" i="5"/>
  <c r="N92" i="5"/>
  <c r="J92" i="5"/>
  <c r="F92" i="5"/>
  <c r="B92" i="5"/>
  <c r="N91" i="5"/>
  <c r="J91" i="5"/>
  <c r="F91" i="5"/>
  <c r="C91" i="5"/>
  <c r="N90" i="5"/>
  <c r="N98" i="5" s="1"/>
  <c r="J90" i="5"/>
  <c r="F90" i="5"/>
  <c r="C90" i="5"/>
  <c r="N83" i="5"/>
  <c r="J83" i="5"/>
  <c r="F83" i="5"/>
  <c r="N82" i="5"/>
  <c r="J82" i="5"/>
  <c r="F82" i="5"/>
  <c r="C82" i="5"/>
  <c r="N81" i="5"/>
  <c r="J81" i="5"/>
  <c r="F81" i="5"/>
  <c r="C81" i="5"/>
  <c r="N80" i="5"/>
  <c r="J80" i="5"/>
  <c r="F80" i="5"/>
  <c r="B80" i="5"/>
  <c r="N79" i="5"/>
  <c r="J79" i="5"/>
  <c r="J84" i="5" s="1"/>
  <c r="B79" i="5"/>
  <c r="F79" i="5" s="1"/>
  <c r="AB78" i="5"/>
  <c r="N78" i="5"/>
  <c r="J78" i="5"/>
  <c r="F78" i="5"/>
  <c r="AD85" i="5" s="1"/>
  <c r="K10" i="4" s="1"/>
  <c r="B78" i="5"/>
  <c r="N77" i="5"/>
  <c r="J77" i="5"/>
  <c r="F77" i="5"/>
  <c r="C77" i="5"/>
  <c r="N76" i="5"/>
  <c r="J76" i="5"/>
  <c r="F76" i="5"/>
  <c r="C76" i="5"/>
  <c r="N69" i="5"/>
  <c r="J69" i="5"/>
  <c r="F69" i="5"/>
  <c r="N68" i="5"/>
  <c r="J68" i="5"/>
  <c r="F68" i="5"/>
  <c r="C68" i="5"/>
  <c r="N67" i="5"/>
  <c r="J67" i="5"/>
  <c r="F67" i="5"/>
  <c r="C67" i="5"/>
  <c r="N66" i="5"/>
  <c r="J66" i="5"/>
  <c r="B66" i="5"/>
  <c r="F66" i="5" s="1"/>
  <c r="N65" i="5"/>
  <c r="J65" i="5"/>
  <c r="B65" i="5"/>
  <c r="F65" i="5" s="1"/>
  <c r="B71" i="5" s="1"/>
  <c r="AB64" i="5"/>
  <c r="N64" i="5"/>
  <c r="J64" i="5"/>
  <c r="B64" i="5"/>
  <c r="F64" i="5" s="1"/>
  <c r="N63" i="5"/>
  <c r="J63" i="5"/>
  <c r="F63" i="5"/>
  <c r="C63" i="5"/>
  <c r="N62" i="5"/>
  <c r="N70" i="5" s="1"/>
  <c r="J62" i="5"/>
  <c r="J70" i="5" s="1"/>
  <c r="F62" i="5"/>
  <c r="C62" i="5"/>
  <c r="N55" i="5"/>
  <c r="J55" i="5"/>
  <c r="F55" i="5"/>
  <c r="N54" i="5"/>
  <c r="J54" i="5"/>
  <c r="F54" i="5"/>
  <c r="C54" i="5"/>
  <c r="N53" i="5"/>
  <c r="J53" i="5"/>
  <c r="F53" i="5"/>
  <c r="C53" i="5"/>
  <c r="N52" i="5"/>
  <c r="J52" i="5"/>
  <c r="B52" i="5"/>
  <c r="F52" i="5" s="1"/>
  <c r="N51" i="5"/>
  <c r="J51" i="5"/>
  <c r="B51" i="5"/>
  <c r="F51" i="5" s="1"/>
  <c r="AB50" i="5"/>
  <c r="N50" i="5"/>
  <c r="J50" i="5"/>
  <c r="B50" i="5"/>
  <c r="F50" i="5" s="1"/>
  <c r="AD57" i="5" s="1"/>
  <c r="K8" i="4" s="1"/>
  <c r="N49" i="5"/>
  <c r="J49" i="5"/>
  <c r="J56" i="5" s="1"/>
  <c r="F49" i="5"/>
  <c r="C49" i="5"/>
  <c r="N48" i="5"/>
  <c r="J48" i="5"/>
  <c r="F48" i="5"/>
  <c r="C48" i="5"/>
  <c r="N41" i="5"/>
  <c r="J41" i="5"/>
  <c r="F41" i="5"/>
  <c r="N40" i="5"/>
  <c r="J40" i="5"/>
  <c r="F40" i="5"/>
  <c r="C40" i="5"/>
  <c r="N39" i="5"/>
  <c r="J39" i="5"/>
  <c r="F39" i="5"/>
  <c r="C39" i="5"/>
  <c r="N38" i="5"/>
  <c r="J38" i="5"/>
  <c r="B38" i="5"/>
  <c r="F38" i="5" s="1"/>
  <c r="N37" i="5"/>
  <c r="J37" i="5"/>
  <c r="F37" i="5"/>
  <c r="B37" i="5"/>
  <c r="AB36" i="5"/>
  <c r="N36" i="5"/>
  <c r="J36" i="5"/>
  <c r="B36" i="5"/>
  <c r="F36" i="5" s="1"/>
  <c r="N35" i="5"/>
  <c r="J35" i="5"/>
  <c r="J42" i="5" s="1"/>
  <c r="F35" i="5"/>
  <c r="C35" i="5"/>
  <c r="N34" i="5"/>
  <c r="N42" i="5" s="1"/>
  <c r="J34" i="5"/>
  <c r="F34" i="5"/>
  <c r="C34" i="5"/>
  <c r="N27" i="5"/>
  <c r="J27" i="5"/>
  <c r="F27" i="5"/>
  <c r="N26" i="5"/>
  <c r="J26" i="5"/>
  <c r="F26" i="5"/>
  <c r="C26" i="5"/>
  <c r="N25" i="5"/>
  <c r="J25" i="5"/>
  <c r="F25" i="5"/>
  <c r="C25" i="5"/>
  <c r="N24" i="5"/>
  <c r="J24" i="5"/>
  <c r="B24" i="5"/>
  <c r="F24" i="5" s="1"/>
  <c r="N23" i="5"/>
  <c r="J23" i="5"/>
  <c r="B23" i="5"/>
  <c r="F23" i="5" s="1"/>
  <c r="AD29" i="5" s="1"/>
  <c r="K6" i="4" s="1"/>
  <c r="AB22" i="5"/>
  <c r="N22" i="5"/>
  <c r="J22" i="5"/>
  <c r="B22" i="5"/>
  <c r="F22" i="5" s="1"/>
  <c r="N21" i="5"/>
  <c r="N28" i="5" s="1"/>
  <c r="J21" i="5"/>
  <c r="F21" i="5"/>
  <c r="C21" i="5"/>
  <c r="N20" i="5"/>
  <c r="J20" i="5"/>
  <c r="F20" i="5"/>
  <c r="C20" i="5"/>
  <c r="J14" i="5"/>
  <c r="N13" i="5"/>
  <c r="J13" i="5"/>
  <c r="F13" i="5"/>
  <c r="N12" i="5"/>
  <c r="J12" i="5"/>
  <c r="F12" i="5"/>
  <c r="C12" i="5"/>
  <c r="N11" i="5"/>
  <c r="J11" i="5"/>
  <c r="F11" i="5"/>
  <c r="C11" i="5"/>
  <c r="N10" i="5"/>
  <c r="J10" i="5"/>
  <c r="B10" i="5"/>
  <c r="F10" i="5" s="1"/>
  <c r="N9" i="5"/>
  <c r="J9" i="5"/>
  <c r="B9" i="5"/>
  <c r="F9" i="5" s="1"/>
  <c r="AB8" i="5"/>
  <c r="N8" i="5"/>
  <c r="J8" i="5"/>
  <c r="B8" i="5"/>
  <c r="F8" i="5" s="1"/>
  <c r="N7" i="5"/>
  <c r="J7" i="5"/>
  <c r="F7" i="5"/>
  <c r="C7" i="5"/>
  <c r="N6" i="5"/>
  <c r="N14" i="5" s="1"/>
  <c r="J6" i="5"/>
  <c r="F6" i="5"/>
  <c r="C6" i="5"/>
  <c r="I123" i="4"/>
  <c r="F123" i="4"/>
  <c r="E123" i="4"/>
  <c r="K122" i="4"/>
  <c r="K120" i="4"/>
  <c r="K86" i="4"/>
  <c r="K82" i="4"/>
  <c r="I81" i="4"/>
  <c r="F81" i="4"/>
  <c r="E9" i="4"/>
  <c r="N487" i="3"/>
  <c r="N486" i="3"/>
  <c r="J486" i="3"/>
  <c r="F486" i="3"/>
  <c r="N485" i="3"/>
  <c r="J485" i="3"/>
  <c r="F485" i="3"/>
  <c r="N484" i="3"/>
  <c r="J484" i="3"/>
  <c r="F484" i="3"/>
  <c r="N483" i="3"/>
  <c r="J483" i="3"/>
  <c r="F483" i="3"/>
  <c r="B483" i="3"/>
  <c r="N482" i="3"/>
  <c r="J482" i="3"/>
  <c r="F482" i="3"/>
  <c r="B482" i="3"/>
  <c r="N481" i="3"/>
  <c r="J481" i="3"/>
  <c r="F481" i="3"/>
  <c r="B481" i="3"/>
  <c r="N480" i="3"/>
  <c r="J480" i="3"/>
  <c r="F480" i="3"/>
  <c r="N479" i="3"/>
  <c r="J479" i="3"/>
  <c r="F479" i="3"/>
  <c r="N478" i="3"/>
  <c r="J478" i="3"/>
  <c r="F478" i="3"/>
  <c r="N477" i="3"/>
  <c r="J477" i="3"/>
  <c r="F477" i="3"/>
  <c r="N476" i="3"/>
  <c r="J476" i="3"/>
  <c r="F476" i="3"/>
  <c r="N475" i="3"/>
  <c r="J475" i="3"/>
  <c r="F475" i="3"/>
  <c r="B488" i="3" s="1"/>
  <c r="N468" i="3"/>
  <c r="J468" i="3"/>
  <c r="F468" i="3"/>
  <c r="N467" i="3"/>
  <c r="J467" i="3"/>
  <c r="F467" i="3"/>
  <c r="N466" i="3"/>
  <c r="J466" i="3"/>
  <c r="F466" i="3"/>
  <c r="N465" i="3"/>
  <c r="J465" i="3"/>
  <c r="F465" i="3"/>
  <c r="B465" i="3"/>
  <c r="N464" i="3"/>
  <c r="J464" i="3"/>
  <c r="B464" i="3"/>
  <c r="F464" i="3" s="1"/>
  <c r="N463" i="3"/>
  <c r="J463" i="3"/>
  <c r="F463" i="3"/>
  <c r="B463" i="3"/>
  <c r="N462" i="3"/>
  <c r="J462" i="3"/>
  <c r="F462" i="3"/>
  <c r="N461" i="3"/>
  <c r="J461" i="3"/>
  <c r="F461" i="3"/>
  <c r="N460" i="3"/>
  <c r="N469" i="3" s="1"/>
  <c r="J460" i="3"/>
  <c r="F460" i="3"/>
  <c r="N459" i="3"/>
  <c r="J459" i="3"/>
  <c r="F459" i="3"/>
  <c r="N458" i="3"/>
  <c r="J458" i="3"/>
  <c r="F458" i="3"/>
  <c r="N457" i="3"/>
  <c r="J457" i="3"/>
  <c r="F457" i="3"/>
  <c r="B452" i="3"/>
  <c r="N450" i="3"/>
  <c r="J450" i="3"/>
  <c r="J451" i="3" s="1"/>
  <c r="F450" i="3"/>
  <c r="N449" i="3"/>
  <c r="J449" i="3"/>
  <c r="F449" i="3"/>
  <c r="N448" i="3"/>
  <c r="J448" i="3"/>
  <c r="F448" i="3"/>
  <c r="N447" i="3"/>
  <c r="J447" i="3"/>
  <c r="B447" i="3"/>
  <c r="F447" i="3" s="1"/>
  <c r="N446" i="3"/>
  <c r="J446" i="3"/>
  <c r="F446" i="3"/>
  <c r="B446" i="3"/>
  <c r="N445" i="3"/>
  <c r="J445" i="3"/>
  <c r="B445" i="3"/>
  <c r="F445" i="3" s="1"/>
  <c r="N444" i="3"/>
  <c r="J444" i="3"/>
  <c r="F444" i="3"/>
  <c r="N443" i="3"/>
  <c r="J443" i="3"/>
  <c r="F443" i="3"/>
  <c r="N442" i="3"/>
  <c r="J442" i="3"/>
  <c r="F442" i="3"/>
  <c r="N441" i="3"/>
  <c r="J441" i="3"/>
  <c r="F441" i="3"/>
  <c r="N440" i="3"/>
  <c r="J440" i="3"/>
  <c r="F440" i="3"/>
  <c r="N439" i="3"/>
  <c r="J439" i="3"/>
  <c r="F439" i="3"/>
  <c r="N432" i="3"/>
  <c r="J432" i="3"/>
  <c r="F432" i="3"/>
  <c r="N431" i="3"/>
  <c r="J431" i="3"/>
  <c r="F431" i="3"/>
  <c r="N430" i="3"/>
  <c r="J430" i="3"/>
  <c r="F430" i="3"/>
  <c r="N429" i="3"/>
  <c r="J429" i="3"/>
  <c r="F429" i="3"/>
  <c r="B429" i="3"/>
  <c r="N428" i="3"/>
  <c r="J428" i="3"/>
  <c r="B428" i="3"/>
  <c r="F428" i="3" s="1"/>
  <c r="N427" i="3"/>
  <c r="J427" i="3"/>
  <c r="F427" i="3"/>
  <c r="B427" i="3"/>
  <c r="N426" i="3"/>
  <c r="J426" i="3"/>
  <c r="F426" i="3"/>
  <c r="N425" i="3"/>
  <c r="J425" i="3"/>
  <c r="F425" i="3"/>
  <c r="N424" i="3"/>
  <c r="J424" i="3"/>
  <c r="F424" i="3"/>
  <c r="N423" i="3"/>
  <c r="J423" i="3"/>
  <c r="F423" i="3"/>
  <c r="N422" i="3"/>
  <c r="J422" i="3"/>
  <c r="F422" i="3"/>
  <c r="N421" i="3"/>
  <c r="J421" i="3"/>
  <c r="F421" i="3"/>
  <c r="J414" i="3"/>
  <c r="F414" i="3"/>
  <c r="J413" i="3"/>
  <c r="F413" i="3"/>
  <c r="J412" i="3"/>
  <c r="F412" i="3"/>
  <c r="J411" i="3"/>
  <c r="F411" i="3"/>
  <c r="B411" i="3"/>
  <c r="J410" i="3"/>
  <c r="F410" i="3"/>
  <c r="B410" i="3"/>
  <c r="J409" i="3"/>
  <c r="F409" i="3"/>
  <c r="B416" i="3" s="1"/>
  <c r="B409" i="3"/>
  <c r="J408" i="3"/>
  <c r="F408" i="3"/>
  <c r="J407" i="3"/>
  <c r="F407" i="3"/>
  <c r="J406" i="3"/>
  <c r="F406" i="3"/>
  <c r="J405" i="3"/>
  <c r="F405" i="3"/>
  <c r="J404" i="3"/>
  <c r="F404" i="3"/>
  <c r="J403" i="3"/>
  <c r="F403" i="3"/>
  <c r="N395" i="3"/>
  <c r="N397" i="3" s="1"/>
  <c r="J395" i="3"/>
  <c r="J397" i="3" s="1"/>
  <c r="F395" i="3"/>
  <c r="N394" i="3"/>
  <c r="J394" i="3"/>
  <c r="F394" i="3"/>
  <c r="N393" i="3"/>
  <c r="J393" i="3"/>
  <c r="F393" i="3"/>
  <c r="N392" i="3"/>
  <c r="J392" i="3"/>
  <c r="B392" i="3"/>
  <c r="F392" i="3" s="1"/>
  <c r="N391" i="3"/>
  <c r="J391" i="3"/>
  <c r="B391" i="3"/>
  <c r="F391" i="3" s="1"/>
  <c r="N390" i="3"/>
  <c r="J390" i="3"/>
  <c r="B390" i="3"/>
  <c r="F390" i="3" s="1"/>
  <c r="N389" i="3"/>
  <c r="J389" i="3"/>
  <c r="F389" i="3"/>
  <c r="N388" i="3"/>
  <c r="J388" i="3"/>
  <c r="F388" i="3"/>
  <c r="N387" i="3"/>
  <c r="J387" i="3"/>
  <c r="F387" i="3"/>
  <c r="N386" i="3"/>
  <c r="J386" i="3"/>
  <c r="F386" i="3"/>
  <c r="N385" i="3"/>
  <c r="J385" i="3"/>
  <c r="F385" i="3"/>
  <c r="N384" i="3"/>
  <c r="J384" i="3"/>
  <c r="F384" i="3"/>
  <c r="N377" i="3"/>
  <c r="J377" i="3"/>
  <c r="F377" i="3"/>
  <c r="N376" i="3"/>
  <c r="J376" i="3"/>
  <c r="F376" i="3"/>
  <c r="N375" i="3"/>
  <c r="J375" i="3"/>
  <c r="F375" i="3"/>
  <c r="N374" i="3"/>
  <c r="J374" i="3"/>
  <c r="B374" i="3"/>
  <c r="F374" i="3" s="1"/>
  <c r="N373" i="3"/>
  <c r="J373" i="3"/>
  <c r="B373" i="3"/>
  <c r="F373" i="3" s="1"/>
  <c r="N372" i="3"/>
  <c r="J372" i="3"/>
  <c r="F372" i="3"/>
  <c r="B372" i="3"/>
  <c r="N371" i="3"/>
  <c r="J371" i="3"/>
  <c r="F371" i="3"/>
  <c r="N370" i="3"/>
  <c r="J370" i="3"/>
  <c r="F370" i="3"/>
  <c r="N369" i="3"/>
  <c r="J369" i="3"/>
  <c r="F369" i="3"/>
  <c r="N368" i="3"/>
  <c r="J368" i="3"/>
  <c r="F368" i="3"/>
  <c r="N367" i="3"/>
  <c r="J367" i="3"/>
  <c r="F367" i="3"/>
  <c r="N366" i="3"/>
  <c r="J366" i="3"/>
  <c r="F366" i="3"/>
  <c r="B379" i="3" s="1"/>
  <c r="L379" i="3" s="1"/>
  <c r="J359" i="3"/>
  <c r="F359" i="3"/>
  <c r="J358" i="3"/>
  <c r="F358" i="3"/>
  <c r="J357" i="3"/>
  <c r="F357" i="3"/>
  <c r="J356" i="3"/>
  <c r="B356" i="3"/>
  <c r="F356" i="3" s="1"/>
  <c r="J355" i="3"/>
  <c r="B355" i="3"/>
  <c r="F355" i="3" s="1"/>
  <c r="J354" i="3"/>
  <c r="B354" i="3"/>
  <c r="F354" i="3" s="1"/>
  <c r="J353" i="3"/>
  <c r="F353" i="3"/>
  <c r="J352" i="3"/>
  <c r="F352" i="3"/>
  <c r="J351" i="3"/>
  <c r="F351" i="3"/>
  <c r="J350" i="3"/>
  <c r="F350" i="3"/>
  <c r="J349" i="3"/>
  <c r="F349" i="3"/>
  <c r="J348" i="3"/>
  <c r="F348" i="3"/>
  <c r="J341" i="3"/>
  <c r="F341" i="3"/>
  <c r="F342" i="3" s="1"/>
  <c r="J340" i="3"/>
  <c r="F340" i="3"/>
  <c r="J339" i="3"/>
  <c r="F339" i="3"/>
  <c r="J338" i="3"/>
  <c r="F338" i="3"/>
  <c r="B338" i="3"/>
  <c r="J337" i="3"/>
  <c r="F337" i="3"/>
  <c r="B337" i="3"/>
  <c r="J336" i="3"/>
  <c r="B336" i="3"/>
  <c r="F336" i="3" s="1"/>
  <c r="J335" i="3"/>
  <c r="F335" i="3"/>
  <c r="J334" i="3"/>
  <c r="F334" i="3"/>
  <c r="J333" i="3"/>
  <c r="F333" i="3"/>
  <c r="J332" i="3"/>
  <c r="F332" i="3"/>
  <c r="J331" i="3"/>
  <c r="F331" i="3"/>
  <c r="J330" i="3"/>
  <c r="J342" i="3" s="1"/>
  <c r="F330" i="3"/>
  <c r="J323" i="3"/>
  <c r="F323" i="3"/>
  <c r="J322" i="3"/>
  <c r="F322" i="3"/>
  <c r="J321" i="3"/>
  <c r="F321" i="3"/>
  <c r="J320" i="3"/>
  <c r="F320" i="3"/>
  <c r="B320" i="3"/>
  <c r="J319" i="3"/>
  <c r="F319" i="3"/>
  <c r="B319" i="3"/>
  <c r="J318" i="3"/>
  <c r="F318" i="3"/>
  <c r="B318" i="3"/>
  <c r="J317" i="3"/>
  <c r="F317" i="3"/>
  <c r="J316" i="3"/>
  <c r="F316" i="3"/>
  <c r="J315" i="3"/>
  <c r="F315" i="3"/>
  <c r="J314" i="3"/>
  <c r="F314" i="3"/>
  <c r="J313" i="3"/>
  <c r="F313" i="3"/>
  <c r="J312" i="3"/>
  <c r="F312" i="3"/>
  <c r="N305" i="3"/>
  <c r="J305" i="3"/>
  <c r="F305" i="3"/>
  <c r="N304" i="3"/>
  <c r="J304" i="3"/>
  <c r="F304" i="3"/>
  <c r="N303" i="3"/>
  <c r="J303" i="3"/>
  <c r="F303" i="3"/>
  <c r="N302" i="3"/>
  <c r="J302" i="3"/>
  <c r="F302" i="3"/>
  <c r="B302" i="3"/>
  <c r="N301" i="3"/>
  <c r="J301" i="3"/>
  <c r="F301" i="3"/>
  <c r="B301" i="3"/>
  <c r="N300" i="3"/>
  <c r="J300" i="3"/>
  <c r="F300" i="3"/>
  <c r="B300" i="3"/>
  <c r="N299" i="3"/>
  <c r="J299" i="3"/>
  <c r="F299" i="3"/>
  <c r="N298" i="3"/>
  <c r="J298" i="3"/>
  <c r="F298" i="3"/>
  <c r="N297" i="3"/>
  <c r="J297" i="3"/>
  <c r="F297" i="3"/>
  <c r="N296" i="3"/>
  <c r="J296" i="3"/>
  <c r="F296" i="3"/>
  <c r="N295" i="3"/>
  <c r="J295" i="3"/>
  <c r="F295" i="3"/>
  <c r="B307" i="3" s="1"/>
  <c r="N294" i="3"/>
  <c r="J294" i="3"/>
  <c r="F294" i="3"/>
  <c r="J288" i="3"/>
  <c r="N287" i="3"/>
  <c r="J287" i="3"/>
  <c r="F287" i="3"/>
  <c r="N286" i="3"/>
  <c r="J286" i="3"/>
  <c r="F286" i="3"/>
  <c r="N285" i="3"/>
  <c r="J285" i="3"/>
  <c r="F285" i="3"/>
  <c r="N284" i="3"/>
  <c r="J284" i="3"/>
  <c r="B284" i="3"/>
  <c r="F284" i="3" s="1"/>
  <c r="N283" i="3"/>
  <c r="J283" i="3"/>
  <c r="F283" i="3"/>
  <c r="B283" i="3"/>
  <c r="N282" i="3"/>
  <c r="J282" i="3"/>
  <c r="B282" i="3"/>
  <c r="F282" i="3" s="1"/>
  <c r="F288" i="3" s="1"/>
  <c r="N281" i="3"/>
  <c r="J281" i="3"/>
  <c r="F281" i="3"/>
  <c r="N280" i="3"/>
  <c r="J280" i="3"/>
  <c r="F280" i="3"/>
  <c r="N279" i="3"/>
  <c r="J279" i="3"/>
  <c r="F279" i="3"/>
  <c r="N278" i="3"/>
  <c r="J278" i="3"/>
  <c r="F278" i="3"/>
  <c r="N277" i="3"/>
  <c r="J277" i="3"/>
  <c r="F277" i="3"/>
  <c r="N276" i="3"/>
  <c r="J276" i="3"/>
  <c r="F276" i="3"/>
  <c r="N270" i="3"/>
  <c r="N269" i="3"/>
  <c r="J269" i="3"/>
  <c r="F269" i="3"/>
  <c r="F270" i="3" s="1"/>
  <c r="N268" i="3"/>
  <c r="J268" i="3"/>
  <c r="F268" i="3"/>
  <c r="N267" i="3"/>
  <c r="J267" i="3"/>
  <c r="F267" i="3"/>
  <c r="N266" i="3"/>
  <c r="J266" i="3"/>
  <c r="F266" i="3"/>
  <c r="B266" i="3"/>
  <c r="N265" i="3"/>
  <c r="J265" i="3"/>
  <c r="F265" i="3"/>
  <c r="B265" i="3"/>
  <c r="N264" i="3"/>
  <c r="J264" i="3"/>
  <c r="F264" i="3"/>
  <c r="B264" i="3"/>
  <c r="N263" i="3"/>
  <c r="J263" i="3"/>
  <c r="F263" i="3"/>
  <c r="N262" i="3"/>
  <c r="J262" i="3"/>
  <c r="F262" i="3"/>
  <c r="N261" i="3"/>
  <c r="J261" i="3"/>
  <c r="F261" i="3"/>
  <c r="N260" i="3"/>
  <c r="J260" i="3"/>
  <c r="F260" i="3"/>
  <c r="N259" i="3"/>
  <c r="J259" i="3"/>
  <c r="F259" i="3"/>
  <c r="N258" i="3"/>
  <c r="J258" i="3"/>
  <c r="F258" i="3"/>
  <c r="N251" i="3"/>
  <c r="J251" i="3"/>
  <c r="F251" i="3"/>
  <c r="N250" i="3"/>
  <c r="J250" i="3"/>
  <c r="F250" i="3"/>
  <c r="N249" i="3"/>
  <c r="J249" i="3"/>
  <c r="F249" i="3"/>
  <c r="N248" i="3"/>
  <c r="J248" i="3"/>
  <c r="F248" i="3"/>
  <c r="B248" i="3"/>
  <c r="N247" i="3"/>
  <c r="J247" i="3"/>
  <c r="F247" i="3"/>
  <c r="B247" i="3"/>
  <c r="N246" i="3"/>
  <c r="J246" i="3"/>
  <c r="F246" i="3"/>
  <c r="B246" i="3"/>
  <c r="N245" i="3"/>
  <c r="J245" i="3"/>
  <c r="F245" i="3"/>
  <c r="N244" i="3"/>
  <c r="J244" i="3"/>
  <c r="F244" i="3"/>
  <c r="N243" i="3"/>
  <c r="J243" i="3"/>
  <c r="F243" i="3"/>
  <c r="N242" i="3"/>
  <c r="J242" i="3"/>
  <c r="F242" i="3"/>
  <c r="N241" i="3"/>
  <c r="J241" i="3"/>
  <c r="F241" i="3"/>
  <c r="F252" i="3" s="1"/>
  <c r="N240" i="3"/>
  <c r="J240" i="3"/>
  <c r="F240" i="3"/>
  <c r="N233" i="3"/>
  <c r="J233" i="3"/>
  <c r="J234" i="3" s="1"/>
  <c r="F233" i="3"/>
  <c r="N232" i="3"/>
  <c r="J232" i="3"/>
  <c r="F232" i="3"/>
  <c r="N231" i="3"/>
  <c r="J231" i="3"/>
  <c r="F231" i="3"/>
  <c r="N230" i="3"/>
  <c r="J230" i="3"/>
  <c r="F230" i="3"/>
  <c r="B230" i="3"/>
  <c r="N229" i="3"/>
  <c r="J229" i="3"/>
  <c r="B229" i="3"/>
  <c r="F229" i="3" s="1"/>
  <c r="N228" i="3"/>
  <c r="J228" i="3"/>
  <c r="F228" i="3"/>
  <c r="B228" i="3"/>
  <c r="N227" i="3"/>
  <c r="J227" i="3"/>
  <c r="F227" i="3"/>
  <c r="N226" i="3"/>
  <c r="J226" i="3"/>
  <c r="F226" i="3"/>
  <c r="N225" i="3"/>
  <c r="J225" i="3"/>
  <c r="F225" i="3"/>
  <c r="N224" i="3"/>
  <c r="J224" i="3"/>
  <c r="F224" i="3"/>
  <c r="F234" i="3" s="1"/>
  <c r="N223" i="3"/>
  <c r="J223" i="3"/>
  <c r="F223" i="3"/>
  <c r="N222" i="3"/>
  <c r="J222" i="3"/>
  <c r="F222" i="3"/>
  <c r="N215" i="3"/>
  <c r="J215" i="3"/>
  <c r="F215" i="3"/>
  <c r="N214" i="3"/>
  <c r="J214" i="3"/>
  <c r="F214" i="3"/>
  <c r="N213" i="3"/>
  <c r="J213" i="3"/>
  <c r="F213" i="3"/>
  <c r="N212" i="3"/>
  <c r="J212" i="3"/>
  <c r="B212" i="3"/>
  <c r="F212" i="3" s="1"/>
  <c r="N211" i="3"/>
  <c r="J211" i="3"/>
  <c r="F211" i="3"/>
  <c r="B211" i="3"/>
  <c r="N210" i="3"/>
  <c r="J210" i="3"/>
  <c r="B210" i="3"/>
  <c r="F210" i="3" s="1"/>
  <c r="B217" i="3" s="1"/>
  <c r="N209" i="3"/>
  <c r="J209" i="3"/>
  <c r="F209" i="3"/>
  <c r="N208" i="3"/>
  <c r="J208" i="3"/>
  <c r="F208" i="3"/>
  <c r="N207" i="3"/>
  <c r="J207" i="3"/>
  <c r="J216" i="3" s="1"/>
  <c r="F207" i="3"/>
  <c r="N206" i="3"/>
  <c r="J206" i="3"/>
  <c r="F206" i="3"/>
  <c r="N205" i="3"/>
  <c r="J205" i="3"/>
  <c r="F205" i="3"/>
  <c r="N204" i="3"/>
  <c r="J204" i="3"/>
  <c r="F204" i="3"/>
  <c r="N197" i="3"/>
  <c r="J197" i="3"/>
  <c r="F197" i="3"/>
  <c r="N196" i="3"/>
  <c r="J196" i="3"/>
  <c r="F196" i="3"/>
  <c r="N195" i="3"/>
  <c r="J195" i="3"/>
  <c r="F195" i="3"/>
  <c r="N194" i="3"/>
  <c r="J194" i="3"/>
  <c r="F194" i="3"/>
  <c r="B194" i="3"/>
  <c r="N193" i="3"/>
  <c r="J193" i="3"/>
  <c r="B193" i="3"/>
  <c r="F193" i="3" s="1"/>
  <c r="N192" i="3"/>
  <c r="J192" i="3"/>
  <c r="F192" i="3"/>
  <c r="B192" i="3"/>
  <c r="N191" i="3"/>
  <c r="J191" i="3"/>
  <c r="F191" i="3"/>
  <c r="N190" i="3"/>
  <c r="J190" i="3"/>
  <c r="F190" i="3"/>
  <c r="N189" i="3"/>
  <c r="J189" i="3"/>
  <c r="F189" i="3"/>
  <c r="N188" i="3"/>
  <c r="J188" i="3"/>
  <c r="F188" i="3"/>
  <c r="N187" i="3"/>
  <c r="J187" i="3"/>
  <c r="F187" i="3"/>
  <c r="N186" i="3"/>
  <c r="J186" i="3"/>
  <c r="F186" i="3"/>
  <c r="F180" i="3"/>
  <c r="N179" i="3"/>
  <c r="J179" i="3"/>
  <c r="F179" i="3"/>
  <c r="N178" i="3"/>
  <c r="J178" i="3"/>
  <c r="F178" i="3"/>
  <c r="N177" i="3"/>
  <c r="J177" i="3"/>
  <c r="F177" i="3"/>
  <c r="N176" i="3"/>
  <c r="J176" i="3"/>
  <c r="B176" i="3"/>
  <c r="F176" i="3" s="1"/>
  <c r="N175" i="3"/>
  <c r="J175" i="3"/>
  <c r="F175" i="3"/>
  <c r="B175" i="3"/>
  <c r="N174" i="3"/>
  <c r="J174" i="3"/>
  <c r="B174" i="3"/>
  <c r="F174" i="3" s="1"/>
  <c r="N173" i="3"/>
  <c r="J173" i="3"/>
  <c r="F173" i="3"/>
  <c r="N172" i="3"/>
  <c r="J172" i="3"/>
  <c r="F172" i="3"/>
  <c r="N171" i="3"/>
  <c r="J171" i="3"/>
  <c r="F171" i="3"/>
  <c r="N170" i="3"/>
  <c r="J170" i="3"/>
  <c r="F170" i="3"/>
  <c r="N169" i="3"/>
  <c r="J169" i="3"/>
  <c r="F169" i="3"/>
  <c r="N168" i="3"/>
  <c r="J168" i="3"/>
  <c r="F168" i="3"/>
  <c r="N162" i="3"/>
  <c r="N161" i="3"/>
  <c r="J161" i="3"/>
  <c r="F161" i="3"/>
  <c r="N160" i="3"/>
  <c r="J160" i="3"/>
  <c r="F160" i="3"/>
  <c r="N159" i="3"/>
  <c r="J159" i="3"/>
  <c r="F159" i="3"/>
  <c r="N158" i="3"/>
  <c r="J158" i="3"/>
  <c r="F158" i="3"/>
  <c r="B158" i="3"/>
  <c r="N157" i="3"/>
  <c r="J157" i="3"/>
  <c r="F157" i="3"/>
  <c r="B157" i="3"/>
  <c r="N156" i="3"/>
  <c r="J156" i="3"/>
  <c r="F156" i="3"/>
  <c r="B156" i="3"/>
  <c r="N155" i="3"/>
  <c r="J155" i="3"/>
  <c r="F155" i="3"/>
  <c r="F162" i="3" s="1"/>
  <c r="N154" i="3"/>
  <c r="J154" i="3"/>
  <c r="F154" i="3"/>
  <c r="N153" i="3"/>
  <c r="J153" i="3"/>
  <c r="F153" i="3"/>
  <c r="N152" i="3"/>
  <c r="J152" i="3"/>
  <c r="F152" i="3"/>
  <c r="N151" i="3"/>
  <c r="J151" i="3"/>
  <c r="F151" i="3"/>
  <c r="N150" i="3"/>
  <c r="J150" i="3"/>
  <c r="F150" i="3"/>
  <c r="N143" i="3"/>
  <c r="N142" i="3"/>
  <c r="J142" i="3"/>
  <c r="F142" i="3"/>
  <c r="N141" i="3"/>
  <c r="J141" i="3"/>
  <c r="F141" i="3"/>
  <c r="N140" i="3"/>
  <c r="J140" i="3"/>
  <c r="F140" i="3"/>
  <c r="N139" i="3"/>
  <c r="J139" i="3"/>
  <c r="F139" i="3"/>
  <c r="B139" i="3"/>
  <c r="N138" i="3"/>
  <c r="J138" i="3"/>
  <c r="B138" i="3"/>
  <c r="F138" i="3" s="1"/>
  <c r="N137" i="3"/>
  <c r="J137" i="3"/>
  <c r="F137" i="3"/>
  <c r="B137" i="3"/>
  <c r="N136" i="3"/>
  <c r="J136" i="3"/>
  <c r="F136" i="3"/>
  <c r="N135" i="3"/>
  <c r="J135" i="3"/>
  <c r="F135" i="3"/>
  <c r="N134" i="3"/>
  <c r="J134" i="3"/>
  <c r="F134" i="3"/>
  <c r="N133" i="3"/>
  <c r="J133" i="3"/>
  <c r="F133" i="3"/>
  <c r="N132" i="3"/>
  <c r="J132" i="3"/>
  <c r="F132" i="3"/>
  <c r="N131" i="3"/>
  <c r="J131" i="3"/>
  <c r="J144" i="3" s="1"/>
  <c r="F131" i="3"/>
  <c r="N124" i="3"/>
  <c r="N125" i="3" s="1"/>
  <c r="J124" i="3"/>
  <c r="F124" i="3"/>
  <c r="N123" i="3"/>
  <c r="J123" i="3"/>
  <c r="F123" i="3"/>
  <c r="N122" i="3"/>
  <c r="J122" i="3"/>
  <c r="F122" i="3"/>
  <c r="N121" i="3"/>
  <c r="J121" i="3"/>
  <c r="F121" i="3"/>
  <c r="B121" i="3"/>
  <c r="N120" i="3"/>
  <c r="J120" i="3"/>
  <c r="F120" i="3"/>
  <c r="B120" i="3"/>
  <c r="N119" i="3"/>
  <c r="J119" i="3"/>
  <c r="F119" i="3"/>
  <c r="B119" i="3"/>
  <c r="N118" i="3"/>
  <c r="J118" i="3"/>
  <c r="F118" i="3"/>
  <c r="N117" i="3"/>
  <c r="J117" i="3"/>
  <c r="F117" i="3"/>
  <c r="N116" i="3"/>
  <c r="J116" i="3"/>
  <c r="F116" i="3"/>
  <c r="N115" i="3"/>
  <c r="J115" i="3"/>
  <c r="F115" i="3"/>
  <c r="N114" i="3"/>
  <c r="J114" i="3"/>
  <c r="F114" i="3"/>
  <c r="N113" i="3"/>
  <c r="J113" i="3"/>
  <c r="F113" i="3"/>
  <c r="B126" i="3" s="1"/>
  <c r="N106" i="3"/>
  <c r="J106" i="3"/>
  <c r="F106" i="3"/>
  <c r="N105" i="3"/>
  <c r="J105" i="3"/>
  <c r="F105" i="3"/>
  <c r="N104" i="3"/>
  <c r="J104" i="3"/>
  <c r="F104" i="3"/>
  <c r="N103" i="3"/>
  <c r="J103" i="3"/>
  <c r="F103" i="3"/>
  <c r="B103" i="3"/>
  <c r="N102" i="3"/>
  <c r="J102" i="3"/>
  <c r="F102" i="3"/>
  <c r="B102" i="3"/>
  <c r="N101" i="3"/>
  <c r="J101" i="3"/>
  <c r="F101" i="3"/>
  <c r="B101" i="3"/>
  <c r="N100" i="3"/>
  <c r="J100" i="3"/>
  <c r="J107" i="3" s="1"/>
  <c r="F100" i="3"/>
  <c r="N99" i="3"/>
  <c r="J99" i="3"/>
  <c r="F99" i="3"/>
  <c r="N98" i="3"/>
  <c r="J98" i="3"/>
  <c r="F98" i="3"/>
  <c r="N97" i="3"/>
  <c r="N107" i="3" s="1"/>
  <c r="J97" i="3"/>
  <c r="F97" i="3"/>
  <c r="N96" i="3"/>
  <c r="J96" i="3"/>
  <c r="F96" i="3"/>
  <c r="N95" i="3"/>
  <c r="J95" i="3"/>
  <c r="F95" i="3"/>
  <c r="B108" i="3" s="1"/>
  <c r="E10" i="2" s="1"/>
  <c r="N88" i="3"/>
  <c r="J88" i="3"/>
  <c r="F88" i="3"/>
  <c r="N87" i="3"/>
  <c r="J87" i="3"/>
  <c r="F87" i="3"/>
  <c r="N86" i="3"/>
  <c r="J86" i="3"/>
  <c r="F86" i="3"/>
  <c r="N85" i="3"/>
  <c r="J85" i="3"/>
  <c r="B85" i="3"/>
  <c r="F85" i="3" s="1"/>
  <c r="N84" i="3"/>
  <c r="J84" i="3"/>
  <c r="F84" i="3"/>
  <c r="B84" i="3"/>
  <c r="N83" i="3"/>
  <c r="J83" i="3"/>
  <c r="B83" i="3"/>
  <c r="F83" i="3" s="1"/>
  <c r="N82" i="3"/>
  <c r="J82" i="3"/>
  <c r="F82" i="3"/>
  <c r="N81" i="3"/>
  <c r="J81" i="3"/>
  <c r="F81" i="3"/>
  <c r="N80" i="3"/>
  <c r="J80" i="3"/>
  <c r="F80" i="3"/>
  <c r="N79" i="3"/>
  <c r="J79" i="3"/>
  <c r="F79" i="3"/>
  <c r="N78" i="3"/>
  <c r="J78" i="3"/>
  <c r="F78" i="3"/>
  <c r="N77" i="3"/>
  <c r="J77" i="3"/>
  <c r="F77" i="3"/>
  <c r="N69" i="3"/>
  <c r="J69" i="3"/>
  <c r="F69" i="3"/>
  <c r="N68" i="3"/>
  <c r="J68" i="3"/>
  <c r="F68" i="3"/>
  <c r="N67" i="3"/>
  <c r="J67" i="3"/>
  <c r="F67" i="3"/>
  <c r="N66" i="3"/>
  <c r="J66" i="3"/>
  <c r="F66" i="3"/>
  <c r="B66" i="3"/>
  <c r="N65" i="3"/>
  <c r="J65" i="3"/>
  <c r="B65" i="3"/>
  <c r="F65" i="3" s="1"/>
  <c r="N64" i="3"/>
  <c r="J64" i="3"/>
  <c r="F64" i="3"/>
  <c r="B64" i="3"/>
  <c r="N63" i="3"/>
  <c r="J63" i="3"/>
  <c r="F63" i="3"/>
  <c r="N62" i="3"/>
  <c r="J62" i="3"/>
  <c r="F62" i="3"/>
  <c r="N61" i="3"/>
  <c r="J61" i="3"/>
  <c r="F61" i="3"/>
  <c r="N60" i="3"/>
  <c r="J60" i="3"/>
  <c r="F60" i="3"/>
  <c r="F71" i="3" s="1"/>
  <c r="N59" i="3"/>
  <c r="J59" i="3"/>
  <c r="F59" i="3"/>
  <c r="N58" i="3"/>
  <c r="J58" i="3"/>
  <c r="J71" i="3" s="1"/>
  <c r="F58" i="3"/>
  <c r="F51" i="3"/>
  <c r="F50" i="3"/>
  <c r="F49" i="3"/>
  <c r="B48" i="3"/>
  <c r="F48" i="3" s="1"/>
  <c r="B47" i="3"/>
  <c r="F47" i="3" s="1"/>
  <c r="B46" i="3"/>
  <c r="F46" i="3" s="1"/>
  <c r="F45" i="3"/>
  <c r="B53" i="3" s="1"/>
  <c r="F44" i="3"/>
  <c r="F43" i="3"/>
  <c r="F42" i="3"/>
  <c r="F41" i="3"/>
  <c r="F40" i="3"/>
  <c r="N34" i="3"/>
  <c r="N33" i="3"/>
  <c r="J33" i="3"/>
  <c r="F33" i="3"/>
  <c r="N32" i="3"/>
  <c r="J32" i="3"/>
  <c r="F32" i="3"/>
  <c r="N31" i="3"/>
  <c r="J31" i="3"/>
  <c r="F31" i="3"/>
  <c r="N30" i="3"/>
  <c r="J30" i="3"/>
  <c r="B30" i="3"/>
  <c r="F30" i="3" s="1"/>
  <c r="N29" i="3"/>
  <c r="J29" i="3"/>
  <c r="F29" i="3"/>
  <c r="B29" i="3"/>
  <c r="N28" i="3"/>
  <c r="J28" i="3"/>
  <c r="B28" i="3"/>
  <c r="F28" i="3" s="1"/>
  <c r="N27" i="3"/>
  <c r="J27" i="3"/>
  <c r="F27" i="3"/>
  <c r="N26" i="3"/>
  <c r="J26" i="3"/>
  <c r="F26" i="3"/>
  <c r="N25" i="3"/>
  <c r="J25" i="3"/>
  <c r="F25" i="3"/>
  <c r="N24" i="3"/>
  <c r="J24" i="3"/>
  <c r="F24" i="3"/>
  <c r="F34" i="3" s="1"/>
  <c r="N23" i="3"/>
  <c r="J23" i="3"/>
  <c r="F23" i="3"/>
  <c r="N22" i="3"/>
  <c r="J22" i="3"/>
  <c r="F22" i="3"/>
  <c r="B17" i="3"/>
  <c r="N15" i="3"/>
  <c r="J15" i="3"/>
  <c r="F15" i="3"/>
  <c r="N14" i="3"/>
  <c r="J14" i="3"/>
  <c r="F14" i="3"/>
  <c r="N13" i="3"/>
  <c r="J13" i="3"/>
  <c r="F13" i="3"/>
  <c r="N12" i="3"/>
  <c r="J12" i="3"/>
  <c r="B12" i="3"/>
  <c r="F12" i="3" s="1"/>
  <c r="N11" i="3"/>
  <c r="J11" i="3"/>
  <c r="B11" i="3"/>
  <c r="F11" i="3" s="1"/>
  <c r="N10" i="3"/>
  <c r="J10" i="3"/>
  <c r="F10" i="3"/>
  <c r="B10" i="3"/>
  <c r="N9" i="3"/>
  <c r="J9" i="3"/>
  <c r="F9" i="3"/>
  <c r="N8" i="3"/>
  <c r="J8" i="3"/>
  <c r="F8" i="3"/>
  <c r="N7" i="3"/>
  <c r="J7" i="3"/>
  <c r="F7" i="3"/>
  <c r="N6" i="3"/>
  <c r="N16" i="3" s="1"/>
  <c r="J6" i="3"/>
  <c r="F6" i="3"/>
  <c r="N5" i="3"/>
  <c r="J5" i="3"/>
  <c r="F5" i="3"/>
  <c r="N4" i="3"/>
  <c r="J4" i="3"/>
  <c r="F4" i="3"/>
  <c r="F31" i="2"/>
  <c r="I25" i="2"/>
  <c r="F25" i="2"/>
  <c r="E25" i="2"/>
  <c r="B6" i="1"/>
  <c r="B5" i="1"/>
  <c r="B7" i="1" s="1"/>
  <c r="AD1961" i="5" l="1"/>
  <c r="K129" i="4" s="1"/>
  <c r="AD419" i="5"/>
  <c r="K31" i="4" s="1"/>
  <c r="AD1190" i="5"/>
  <c r="K75" i="4" s="1"/>
  <c r="F1189" i="5"/>
  <c r="AD571" i="5"/>
  <c r="K39" i="4" s="1"/>
  <c r="B571" i="5"/>
  <c r="D1087" i="5"/>
  <c r="F68" i="4" s="1"/>
  <c r="I68" i="4"/>
  <c r="E68" i="4"/>
  <c r="AD623" i="5"/>
  <c r="K42" i="4" s="1"/>
  <c r="F622" i="5"/>
  <c r="AD1087" i="5"/>
  <c r="K68" i="4" s="1"/>
  <c r="AD794" i="5"/>
  <c r="K51" i="4" s="1"/>
  <c r="B1134" i="5"/>
  <c r="I71" i="4" s="1"/>
  <c r="D1391" i="5"/>
  <c r="F89" i="4" s="1"/>
  <c r="I89" i="4"/>
  <c r="E89" i="4"/>
  <c r="AD775" i="5"/>
  <c r="K50" i="4" s="1"/>
  <c r="B1447" i="5"/>
  <c r="F679" i="5"/>
  <c r="D1779" i="5"/>
  <c r="F116" i="4" s="1"/>
  <c r="I116" i="4"/>
  <c r="B85" i="5"/>
  <c r="AD590" i="5"/>
  <c r="K40" i="4" s="1"/>
  <c r="AD903" i="5"/>
  <c r="K57" i="4" s="1"/>
  <c r="AD1821" i="5"/>
  <c r="K119" i="4" s="1"/>
  <c r="F2030" i="5"/>
  <c r="B2087" i="5"/>
  <c r="AD1531" i="5"/>
  <c r="K99" i="4" s="1"/>
  <c r="F1530" i="5"/>
  <c r="AD1704" i="5"/>
  <c r="K111" i="4" s="1"/>
  <c r="B1891" i="5"/>
  <c r="AD258" i="5"/>
  <c r="K22" i="4" s="1"/>
  <c r="AD277" i="5"/>
  <c r="K23" i="4" s="1"/>
  <c r="AD1115" i="5"/>
  <c r="K70" i="4" s="1"/>
  <c r="F1114" i="5"/>
  <c r="AD1405" i="5"/>
  <c r="K90" i="4" s="1"/>
  <c r="AD1975" i="5"/>
  <c r="K130" i="4" s="1"/>
  <c r="F14" i="5"/>
  <c r="F112" i="5"/>
  <c r="B183" i="5"/>
  <c r="D183" i="5" s="1"/>
  <c r="F17" i="4" s="1"/>
  <c r="B348" i="5"/>
  <c r="I27" i="4" s="1"/>
  <c r="F1072" i="5"/>
  <c r="AD495" i="5"/>
  <c r="K35" i="4" s="1"/>
  <c r="B1405" i="5"/>
  <c r="I90" i="4" s="1"/>
  <c r="AD71" i="5"/>
  <c r="K9" i="4" s="1"/>
  <c r="F70" i="5"/>
  <c r="AD127" i="5"/>
  <c r="K13" i="4" s="1"/>
  <c r="AD230" i="5"/>
  <c r="K20" i="4" s="1"/>
  <c r="F257" i="5"/>
  <c r="F328" i="5"/>
  <c r="AD718" i="5"/>
  <c r="K47" i="4" s="1"/>
  <c r="F774" i="5"/>
  <c r="B936" i="5"/>
  <c r="D936" i="5" s="1"/>
  <c r="F59" i="4" s="1"/>
  <c r="AD1265" i="5"/>
  <c r="K80" i="4" s="1"/>
  <c r="AD1690" i="5"/>
  <c r="K110" i="4" s="1"/>
  <c r="B1835" i="5"/>
  <c r="AD2087" i="5"/>
  <c r="K138" i="4" s="1"/>
  <c r="AD348" i="5"/>
  <c r="K27" i="4" s="1"/>
  <c r="B438" i="5"/>
  <c r="AD438" i="5"/>
  <c r="K32" i="4" s="1"/>
  <c r="B1073" i="5"/>
  <c r="B1975" i="5"/>
  <c r="E116" i="4"/>
  <c r="AD183" i="5"/>
  <c r="K17" i="4" s="1"/>
  <c r="AD604" i="5"/>
  <c r="K41" i="4" s="1"/>
  <c r="AD1601" i="5"/>
  <c r="K104" i="4" s="1"/>
  <c r="B43" i="5"/>
  <c r="B99" i="5"/>
  <c r="AD756" i="5"/>
  <c r="K49" i="4" s="1"/>
  <c r="AD813" i="5"/>
  <c r="K52" i="4" s="1"/>
  <c r="F1222" i="5"/>
  <c r="F1175" i="5"/>
  <c r="F1292" i="5"/>
  <c r="AD1751" i="5"/>
  <c r="K114" i="4" s="1"/>
  <c r="B2115" i="5"/>
  <c r="B419" i="5"/>
  <c r="F1946" i="5"/>
  <c r="F243" i="5"/>
  <c r="B386" i="5"/>
  <c r="E29" i="4" s="1"/>
  <c r="AD870" i="5"/>
  <c r="K55" i="4" s="1"/>
  <c r="F902" i="5"/>
  <c r="AD955" i="5"/>
  <c r="K60" i="4" s="1"/>
  <c r="AD1035" i="5"/>
  <c r="K65" i="4" s="1"/>
  <c r="B1662" i="5"/>
  <c r="I108" i="4" s="1"/>
  <c r="AD1732" i="5"/>
  <c r="K113" i="4" s="1"/>
  <c r="F1932" i="5"/>
  <c r="AD1947" i="5"/>
  <c r="K128" i="4" s="1"/>
  <c r="AD2073" i="5"/>
  <c r="K137" i="4" s="1"/>
  <c r="AD917" i="5"/>
  <c r="K58" i="4" s="1"/>
  <c r="AD15" i="5"/>
  <c r="K5" i="4" s="1"/>
  <c r="B197" i="5"/>
  <c r="D197" i="5" s="1"/>
  <c r="F18" i="4" s="1"/>
  <c r="B296" i="5"/>
  <c r="I24" i="4" s="1"/>
  <c r="F385" i="5"/>
  <c r="B400" i="5"/>
  <c r="F793" i="5"/>
  <c r="F812" i="5"/>
  <c r="F831" i="5"/>
  <c r="F869" i="5"/>
  <c r="AD889" i="5"/>
  <c r="K56" i="4" s="1"/>
  <c r="F954" i="5"/>
  <c r="F1147" i="5"/>
  <c r="B1335" i="5"/>
  <c r="B1349" i="5"/>
  <c r="I86" i="4" s="1"/>
  <c r="F1362" i="5"/>
  <c r="AD1648" i="5"/>
  <c r="K107" i="4" s="1"/>
  <c r="AD1718" i="5"/>
  <c r="K112" i="4" s="1"/>
  <c r="B1849" i="5"/>
  <c r="B1933" i="5"/>
  <c r="B2031" i="5"/>
  <c r="B1251" i="5"/>
  <c r="AD1251" i="5"/>
  <c r="K79" i="4" s="1"/>
  <c r="B1363" i="5"/>
  <c r="F1474" i="5"/>
  <c r="AD1849" i="5"/>
  <c r="K121" i="4" s="1"/>
  <c r="B1989" i="5"/>
  <c r="B2017" i="5"/>
  <c r="B2059" i="5"/>
  <c r="B244" i="5"/>
  <c r="I21" i="4" s="1"/>
  <c r="F366" i="5"/>
  <c r="F418" i="5"/>
  <c r="B476" i="5"/>
  <c r="AD1016" i="5"/>
  <c r="K64" i="4" s="1"/>
  <c r="F28" i="5"/>
  <c r="F494" i="5"/>
  <c r="F736" i="5"/>
  <c r="F1100" i="5"/>
  <c r="F1236" i="5"/>
  <c r="AD1321" i="5"/>
  <c r="K84" i="4" s="1"/>
  <c r="AD1461" i="5"/>
  <c r="K94" i="4" s="1"/>
  <c r="B1573" i="5"/>
  <c r="F1633" i="5"/>
  <c r="F1834" i="5"/>
  <c r="L217" i="3"/>
  <c r="I16" i="2"/>
  <c r="F16" i="2"/>
  <c r="E16" i="2"/>
  <c r="L416" i="3"/>
  <c r="I27" i="2"/>
  <c r="F27" i="2"/>
  <c r="E27" i="2"/>
  <c r="I7" i="2"/>
  <c r="L53" i="3"/>
  <c r="F7" i="2"/>
  <c r="E7" i="2"/>
  <c r="I39" i="4"/>
  <c r="D571" i="5"/>
  <c r="F39" i="4" s="1"/>
  <c r="E39" i="4"/>
  <c r="L126" i="3"/>
  <c r="F11" i="2"/>
  <c r="I11" i="2"/>
  <c r="E11" i="2"/>
  <c r="B181" i="3"/>
  <c r="F306" i="3"/>
  <c r="J360" i="3"/>
  <c r="D438" i="5"/>
  <c r="F32" i="4" s="1"/>
  <c r="I32" i="4"/>
  <c r="E32" i="4"/>
  <c r="I38" i="4"/>
  <c r="D552" i="5"/>
  <c r="F38" i="4" s="1"/>
  <c r="E38" i="4"/>
  <c r="B90" i="3"/>
  <c r="N288" i="3"/>
  <c r="J306" i="3"/>
  <c r="N433" i="3"/>
  <c r="I31" i="2"/>
  <c r="E31" i="2"/>
  <c r="L488" i="3"/>
  <c r="F89" i="3"/>
  <c r="B145" i="3"/>
  <c r="F144" i="3"/>
  <c r="B199" i="3"/>
  <c r="F198" i="3"/>
  <c r="J252" i="3"/>
  <c r="N306" i="3"/>
  <c r="F397" i="3"/>
  <c r="F415" i="3"/>
  <c r="E29" i="2"/>
  <c r="L452" i="3"/>
  <c r="I29" i="2"/>
  <c r="F29" i="2"/>
  <c r="J487" i="3"/>
  <c r="J28" i="5"/>
  <c r="D244" i="5"/>
  <c r="F21" i="4" s="1"/>
  <c r="E21" i="4"/>
  <c r="J16" i="3"/>
  <c r="F52" i="3"/>
  <c r="J89" i="3"/>
  <c r="N234" i="3"/>
  <c r="B361" i="3"/>
  <c r="F10" i="2"/>
  <c r="L108" i="3"/>
  <c r="I59" i="4"/>
  <c r="E59" i="4"/>
  <c r="B35" i="3"/>
  <c r="I10" i="2"/>
  <c r="N71" i="3"/>
  <c r="F125" i="3"/>
  <c r="J180" i="3"/>
  <c r="N198" i="3"/>
  <c r="J378" i="3"/>
  <c r="I7" i="4"/>
  <c r="D43" i="5"/>
  <c r="F7" i="4" s="1"/>
  <c r="E7" i="4"/>
  <c r="E5" i="2"/>
  <c r="F5" i="2"/>
  <c r="I5" i="2"/>
  <c r="B57" i="5"/>
  <c r="N84" i="5"/>
  <c r="D1447" i="5"/>
  <c r="F93" i="4" s="1"/>
  <c r="E93" i="4"/>
  <c r="I93" i="4"/>
  <c r="L17" i="3"/>
  <c r="E21" i="2"/>
  <c r="I21" i="2"/>
  <c r="L307" i="3"/>
  <c r="F21" i="2"/>
  <c r="F360" i="3"/>
  <c r="F107" i="3"/>
  <c r="J125" i="3"/>
  <c r="N180" i="3"/>
  <c r="F216" i="3"/>
  <c r="B253" i="3"/>
  <c r="B289" i="3"/>
  <c r="B325" i="3"/>
  <c r="F324" i="3"/>
  <c r="J324" i="3"/>
  <c r="N378" i="3"/>
  <c r="F451" i="3"/>
  <c r="E18" i="4"/>
  <c r="I18" i="4"/>
  <c r="B72" i="3"/>
  <c r="N144" i="3"/>
  <c r="J198" i="3"/>
  <c r="N252" i="3"/>
  <c r="B271" i="3"/>
  <c r="B398" i="3"/>
  <c r="F56" i="5"/>
  <c r="J112" i="5"/>
  <c r="AD169" i="5"/>
  <c r="K16" i="4" s="1"/>
  <c r="B169" i="5"/>
  <c r="AD211" i="5"/>
  <c r="K19" i="4" s="1"/>
  <c r="B211" i="5"/>
  <c r="B230" i="5"/>
  <c r="D348" i="5"/>
  <c r="F27" i="4" s="1"/>
  <c r="E27" i="4"/>
  <c r="D386" i="5"/>
  <c r="F29" i="4" s="1"/>
  <c r="AD533" i="5"/>
  <c r="K37" i="4" s="1"/>
  <c r="B533" i="5"/>
  <c r="D400" i="5"/>
  <c r="F30" i="4" s="1"/>
  <c r="E30" i="4"/>
  <c r="N89" i="3"/>
  <c r="B434" i="3"/>
  <c r="F469" i="3"/>
  <c r="E11" i="4"/>
  <c r="D99" i="5"/>
  <c r="F11" i="4" s="1"/>
  <c r="B155" i="5"/>
  <c r="B277" i="5"/>
  <c r="N295" i="5"/>
  <c r="D296" i="5"/>
  <c r="F24" i="4" s="1"/>
  <c r="E24" i="4"/>
  <c r="J270" i="3"/>
  <c r="J433" i="3"/>
  <c r="N451" i="3"/>
  <c r="J469" i="3"/>
  <c r="I11" i="4"/>
  <c r="D71" i="5"/>
  <c r="F9" i="4" s="1"/>
  <c r="I9" i="4"/>
  <c r="B113" i="5"/>
  <c r="B127" i="5"/>
  <c r="B141" i="5"/>
  <c r="AD155" i="5"/>
  <c r="K15" i="4" s="1"/>
  <c r="AD296" i="5"/>
  <c r="K24" i="4" s="1"/>
  <c r="AD400" i="5"/>
  <c r="K30" i="4" s="1"/>
  <c r="B457" i="5"/>
  <c r="F16" i="3"/>
  <c r="B343" i="3"/>
  <c r="F433" i="3"/>
  <c r="F487" i="3"/>
  <c r="J98" i="5"/>
  <c r="J34" i="3"/>
  <c r="J162" i="3"/>
  <c r="N216" i="3"/>
  <c r="B235" i="3"/>
  <c r="J415" i="3"/>
  <c r="I30" i="4"/>
  <c r="B15" i="5"/>
  <c r="AD141" i="5"/>
  <c r="K14" i="4" s="1"/>
  <c r="F168" i="5"/>
  <c r="F182" i="5"/>
  <c r="F210" i="5"/>
  <c r="N328" i="5"/>
  <c r="B163" i="3"/>
  <c r="F378" i="3"/>
  <c r="E31" i="4"/>
  <c r="B29" i="5"/>
  <c r="AD99" i="5"/>
  <c r="K11" i="4" s="1"/>
  <c r="AD197" i="5"/>
  <c r="K18" i="4" s="1"/>
  <c r="F276" i="5"/>
  <c r="D315" i="5"/>
  <c r="F25" i="4" s="1"/>
  <c r="I25" i="4"/>
  <c r="AD367" i="5"/>
  <c r="K28" i="4" s="1"/>
  <c r="AD43" i="5"/>
  <c r="K7" i="4" s="1"/>
  <c r="N112" i="5"/>
  <c r="N154" i="5"/>
  <c r="F154" i="5"/>
  <c r="B495" i="5"/>
  <c r="B794" i="5"/>
  <c r="B813" i="5"/>
  <c r="B903" i="5"/>
  <c r="AD969" i="5"/>
  <c r="K61" i="4" s="1"/>
  <c r="B969" i="5"/>
  <c r="D1134" i="5"/>
  <c r="F71" i="4" s="1"/>
  <c r="E71" i="4"/>
  <c r="B470" i="3"/>
  <c r="E81" i="4"/>
  <c r="B258" i="5"/>
  <c r="F935" i="5"/>
  <c r="J1133" i="5"/>
  <c r="AD1209" i="5"/>
  <c r="K76" i="4" s="1"/>
  <c r="F1208" i="5"/>
  <c r="N243" i="5"/>
  <c r="B514" i="5"/>
  <c r="F551" i="5"/>
  <c r="F42" i="5"/>
  <c r="F84" i="5"/>
  <c r="F347" i="5"/>
  <c r="F399" i="5"/>
  <c r="AD457" i="5"/>
  <c r="K33" i="4" s="1"/>
  <c r="AD552" i="5"/>
  <c r="K38" i="4" s="1"/>
  <c r="F641" i="5"/>
  <c r="AD642" i="5"/>
  <c r="K43" i="4" s="1"/>
  <c r="B642" i="5"/>
  <c r="F660" i="5"/>
  <c r="AD661" i="5"/>
  <c r="K44" i="4" s="1"/>
  <c r="B661" i="5"/>
  <c r="AD699" i="5"/>
  <c r="K46" i="4" s="1"/>
  <c r="F698" i="5"/>
  <c r="AD1002" i="5"/>
  <c r="K63" i="4" s="1"/>
  <c r="F1001" i="5"/>
  <c r="D1349" i="5"/>
  <c r="F86" i="4" s="1"/>
  <c r="E86" i="4"/>
  <c r="E94" i="4"/>
  <c r="D1461" i="5"/>
  <c r="F94" i="4" s="1"/>
  <c r="D1662" i="5"/>
  <c r="F108" i="4" s="1"/>
  <c r="E108" i="4"/>
  <c r="N56" i="5"/>
  <c r="J182" i="5"/>
  <c r="AD315" i="5"/>
  <c r="K25" i="4" s="1"/>
  <c r="F314" i="5"/>
  <c r="F717" i="5"/>
  <c r="N755" i="5"/>
  <c r="N1236" i="5"/>
  <c r="B329" i="5"/>
  <c r="J366" i="5"/>
  <c r="D1054" i="5"/>
  <c r="F66" i="4" s="1"/>
  <c r="E66" i="4"/>
  <c r="D1377" i="5"/>
  <c r="F88" i="4" s="1"/>
  <c r="E88" i="4"/>
  <c r="F140" i="5"/>
  <c r="J276" i="5"/>
  <c r="AD386" i="5"/>
  <c r="K29" i="4" s="1"/>
  <c r="N418" i="5"/>
  <c r="F603" i="5"/>
  <c r="AD1377" i="5"/>
  <c r="K88" i="4" s="1"/>
  <c r="D1676" i="5"/>
  <c r="F109" i="4" s="1"/>
  <c r="I109" i="4"/>
  <c r="F98" i="5"/>
  <c r="N168" i="5"/>
  <c r="F196" i="5"/>
  <c r="F229" i="5"/>
  <c r="B367" i="5"/>
  <c r="J385" i="5"/>
  <c r="F437" i="5"/>
  <c r="F532" i="5"/>
  <c r="B623" i="5"/>
  <c r="AD680" i="5"/>
  <c r="K45" i="4" s="1"/>
  <c r="B1209" i="5"/>
  <c r="D1405" i="5"/>
  <c r="F90" i="4" s="1"/>
  <c r="E90" i="4"/>
  <c r="AD1615" i="5"/>
  <c r="K105" i="4" s="1"/>
  <c r="F1614" i="5"/>
  <c r="F1703" i="5"/>
  <c r="N385" i="5"/>
  <c r="F456" i="5"/>
  <c r="F475" i="5"/>
  <c r="AD476" i="5"/>
  <c r="K34" i="4" s="1"/>
  <c r="N603" i="5"/>
  <c r="AD832" i="5"/>
  <c r="K53" i="4" s="1"/>
  <c r="AD851" i="5"/>
  <c r="K54" i="4" s="1"/>
  <c r="F850" i="5"/>
  <c r="J888" i="5"/>
  <c r="B917" i="5"/>
  <c r="AD1134" i="5"/>
  <c r="K71" i="4" s="1"/>
  <c r="F1133" i="5"/>
  <c r="AD1433" i="5"/>
  <c r="K92" i="4" s="1"/>
  <c r="AD1489" i="5"/>
  <c r="K96" i="4" s="1"/>
  <c r="J1558" i="5"/>
  <c r="AD1559" i="5"/>
  <c r="K101" i="4" s="1"/>
  <c r="B1648" i="5"/>
  <c r="AD1662" i="5"/>
  <c r="K108" i="4" s="1"/>
  <c r="F1661" i="5"/>
  <c r="F1675" i="5"/>
  <c r="F1778" i="5"/>
  <c r="J589" i="5"/>
  <c r="F589" i="5"/>
  <c r="N679" i="5"/>
  <c r="B718" i="5"/>
  <c r="N831" i="5"/>
  <c r="B870" i="5"/>
  <c r="B1293" i="5"/>
  <c r="F1306" i="5"/>
  <c r="F1376" i="5"/>
  <c r="F1432" i="5"/>
  <c r="N1502" i="5"/>
  <c r="B1732" i="5"/>
  <c r="AD1779" i="5"/>
  <c r="K116" i="4" s="1"/>
  <c r="B775" i="5"/>
  <c r="N1015" i="5"/>
  <c r="B1035" i="5"/>
  <c r="AD1419" i="5"/>
  <c r="K91" i="4" s="1"/>
  <c r="J1488" i="5"/>
  <c r="N1544" i="5"/>
  <c r="B1559" i="5"/>
  <c r="F1558" i="5"/>
  <c r="AD1905" i="5"/>
  <c r="K125" i="4" s="1"/>
  <c r="F1904" i="5"/>
  <c r="N641" i="5"/>
  <c r="B680" i="5"/>
  <c r="N793" i="5"/>
  <c r="B832" i="5"/>
  <c r="F916" i="5"/>
  <c r="B955" i="5"/>
  <c r="B988" i="5"/>
  <c r="N1114" i="5"/>
  <c r="B1176" i="5"/>
  <c r="N1189" i="5"/>
  <c r="AD1363" i="5"/>
  <c r="K87" i="4" s="1"/>
  <c r="F1586" i="5"/>
  <c r="B1690" i="5"/>
  <c r="B1718" i="5"/>
  <c r="F1717" i="5"/>
  <c r="F1750" i="5"/>
  <c r="N698" i="5"/>
  <c r="B737" i="5"/>
  <c r="N850" i="5"/>
  <c r="B889" i="5"/>
  <c r="B1101" i="5"/>
  <c r="B1115" i="5"/>
  <c r="B1190" i="5"/>
  <c r="B1307" i="5"/>
  <c r="B1321" i="5"/>
  <c r="B1704" i="5"/>
  <c r="AD1891" i="5"/>
  <c r="K124" i="4" s="1"/>
  <c r="B1765" i="5"/>
  <c r="F1764" i="5"/>
  <c r="B1807" i="5"/>
  <c r="N660" i="5"/>
  <c r="B699" i="5"/>
  <c r="N812" i="5"/>
  <c r="B851" i="5"/>
  <c r="N935" i="5"/>
  <c r="B1002" i="5"/>
  <c r="F1053" i="5"/>
  <c r="AD1054" i="5"/>
  <c r="K66" i="4" s="1"/>
  <c r="AD1279" i="5"/>
  <c r="K81" i="4" s="1"/>
  <c r="F1404" i="5"/>
  <c r="AD1447" i="5"/>
  <c r="K93" i="4" s="1"/>
  <c r="B1503" i="5"/>
  <c r="B1545" i="5"/>
  <c r="B1587" i="5"/>
  <c r="F1792" i="5"/>
  <c r="F513" i="5"/>
  <c r="AD514" i="5"/>
  <c r="K36" i="4" s="1"/>
  <c r="F570" i="5"/>
  <c r="B590" i="5"/>
  <c r="B604" i="5"/>
  <c r="N717" i="5"/>
  <c r="B756" i="5"/>
  <c r="N869" i="5"/>
  <c r="N954" i="5"/>
  <c r="B1016" i="5"/>
  <c r="B1148" i="5"/>
  <c r="AD1148" i="5"/>
  <c r="K72" i="4" s="1"/>
  <c r="B1162" i="5"/>
  <c r="B1223" i="5"/>
  <c r="AD1223" i="5"/>
  <c r="K77" i="4" s="1"/>
  <c r="J1236" i="5"/>
  <c r="B1433" i="5"/>
  <c r="N1488" i="5"/>
  <c r="B1489" i="5"/>
  <c r="B1531" i="5"/>
  <c r="AD1545" i="5"/>
  <c r="K100" i="4" s="1"/>
  <c r="J1703" i="5"/>
  <c r="F1862" i="5"/>
  <c r="AD1877" i="5"/>
  <c r="K123" i="4" s="1"/>
  <c r="F968" i="5"/>
  <c r="AD1073" i="5"/>
  <c r="K67" i="4" s="1"/>
  <c r="F1250" i="5"/>
  <c r="J1264" i="5"/>
  <c r="F1390" i="5"/>
  <c r="B1419" i="5"/>
  <c r="F1460" i="5"/>
  <c r="J1474" i="5"/>
  <c r="B1517" i="5"/>
  <c r="F1516" i="5"/>
  <c r="AD1573" i="5"/>
  <c r="K102" i="4" s="1"/>
  <c r="F1572" i="5"/>
  <c r="B1601" i="5"/>
  <c r="F1600" i="5"/>
  <c r="B1634" i="5"/>
  <c r="AD1676" i="5"/>
  <c r="K109" i="4" s="1"/>
  <c r="B1751" i="5"/>
  <c r="J1778" i="5"/>
  <c r="B1821" i="5"/>
  <c r="F1820" i="5"/>
  <c r="F1848" i="5"/>
  <c r="AD1919" i="5"/>
  <c r="K126" i="4" s="1"/>
  <c r="AD1989" i="5"/>
  <c r="K131" i="4" s="1"/>
  <c r="F1988" i="5"/>
  <c r="AD2003" i="5"/>
  <c r="K132" i="4" s="1"/>
  <c r="AD2045" i="5"/>
  <c r="K135" i="4" s="1"/>
  <c r="N1100" i="5"/>
  <c r="AD1237" i="5"/>
  <c r="K78" i="4" s="1"/>
  <c r="J1250" i="5"/>
  <c r="N1264" i="5"/>
  <c r="F1334" i="5"/>
  <c r="J1404" i="5"/>
  <c r="N1474" i="5"/>
  <c r="F1502" i="5"/>
  <c r="AD1503" i="5"/>
  <c r="K97" i="4" s="1"/>
  <c r="B1615" i="5"/>
  <c r="F1689" i="5"/>
  <c r="AD1765" i="5"/>
  <c r="K115" i="4" s="1"/>
  <c r="J1890" i="5"/>
  <c r="AD1933" i="5"/>
  <c r="K127" i="4" s="1"/>
  <c r="B1947" i="5"/>
  <c r="F2044" i="5"/>
  <c r="B2073" i="5"/>
  <c r="B1863" i="5"/>
  <c r="F2002" i="5"/>
  <c r="F2058" i="5"/>
  <c r="F1876" i="5"/>
  <c r="F1960" i="5"/>
  <c r="F2016" i="5"/>
  <c r="J1750" i="5"/>
  <c r="B1793" i="5"/>
  <c r="F1890" i="5"/>
  <c r="B1919" i="5"/>
  <c r="B2045" i="5"/>
  <c r="AD2115" i="5"/>
  <c r="K140" i="4" s="1"/>
  <c r="F2114" i="5"/>
  <c r="F1647" i="5"/>
  <c r="F1731" i="5"/>
  <c r="F1806" i="5"/>
  <c r="B2003" i="5"/>
  <c r="AD2017" i="5"/>
  <c r="K133" i="4" s="1"/>
  <c r="N968" i="5"/>
  <c r="N1001" i="5"/>
  <c r="AD1101" i="5"/>
  <c r="K69" i="4" s="1"/>
  <c r="F1161" i="5"/>
  <c r="N1175" i="5"/>
  <c r="B1265" i="5"/>
  <c r="N1306" i="5"/>
  <c r="AD1335" i="5"/>
  <c r="K85" i="4" s="1"/>
  <c r="J1348" i="5"/>
  <c r="F1446" i="5"/>
  <c r="B1475" i="5"/>
  <c r="AD1634" i="5"/>
  <c r="K106" i="4" s="1"/>
  <c r="J1689" i="5"/>
  <c r="J1848" i="5"/>
  <c r="B1905" i="5"/>
  <c r="B1961" i="5"/>
  <c r="F2072" i="5"/>
  <c r="B2101" i="5"/>
  <c r="F1086" i="5"/>
  <c r="B1237" i="5"/>
  <c r="F1278" i="5"/>
  <c r="J1460" i="5"/>
  <c r="N1530" i="5"/>
  <c r="AD1587" i="5"/>
  <c r="K103" i="4" s="1"/>
  <c r="J1862" i="5"/>
  <c r="F1918" i="5"/>
  <c r="AD2059" i="5"/>
  <c r="K136" i="4" s="1"/>
  <c r="F2086" i="5"/>
  <c r="F2100" i="5"/>
  <c r="F1974" i="5"/>
  <c r="D1363" i="5" l="1"/>
  <c r="F87" i="4" s="1"/>
  <c r="I87" i="4"/>
  <c r="E87" i="4"/>
  <c r="D1835" i="5"/>
  <c r="F120" i="4" s="1"/>
  <c r="E120" i="4"/>
  <c r="I120" i="4"/>
  <c r="D1891" i="5"/>
  <c r="F124" i="4" s="1"/>
  <c r="E124" i="4"/>
  <c r="I124" i="4"/>
  <c r="D1251" i="5"/>
  <c r="F79" i="4" s="1"/>
  <c r="I79" i="4"/>
  <c r="E79" i="4"/>
  <c r="D1335" i="5"/>
  <c r="F85" i="4" s="1"/>
  <c r="I85" i="4"/>
  <c r="E85" i="4"/>
  <c r="D1975" i="5"/>
  <c r="F130" i="4" s="1"/>
  <c r="E130" i="4"/>
  <c r="I130" i="4"/>
  <c r="D85" i="5"/>
  <c r="F10" i="4" s="1"/>
  <c r="I10" i="4"/>
  <c r="E10" i="4"/>
  <c r="D2059" i="5"/>
  <c r="F136" i="4" s="1"/>
  <c r="I136" i="4"/>
  <c r="E136" i="4"/>
  <c r="D2031" i="5"/>
  <c r="F134" i="4" s="1"/>
  <c r="E134" i="4"/>
  <c r="I134" i="4"/>
  <c r="D1073" i="5"/>
  <c r="F67" i="4" s="1"/>
  <c r="I67" i="4"/>
  <c r="E67" i="4"/>
  <c r="H3" i="4"/>
  <c r="E17" i="4"/>
  <c r="D2017" i="5"/>
  <c r="F133" i="4" s="1"/>
  <c r="I133" i="4"/>
  <c r="E133" i="4"/>
  <c r="D1933" i="5"/>
  <c r="F127" i="4" s="1"/>
  <c r="E127" i="4"/>
  <c r="I127" i="4"/>
  <c r="D419" i="5"/>
  <c r="F31" i="4" s="1"/>
  <c r="I31" i="4"/>
  <c r="I17" i="4"/>
  <c r="I29" i="4"/>
  <c r="D1989" i="5"/>
  <c r="F131" i="4" s="1"/>
  <c r="I131" i="4"/>
  <c r="E131" i="4"/>
  <c r="E121" i="4"/>
  <c r="I121" i="4"/>
  <c r="D1849" i="5"/>
  <c r="F121" i="4" s="1"/>
  <c r="D2115" i="5"/>
  <c r="F140" i="4" s="1"/>
  <c r="I140" i="4"/>
  <c r="E140" i="4"/>
  <c r="D2087" i="5"/>
  <c r="F138" i="4" s="1"/>
  <c r="E138" i="4"/>
  <c r="I138" i="4"/>
  <c r="D1573" i="5"/>
  <c r="F102" i="4" s="1"/>
  <c r="E102" i="4"/>
  <c r="I102" i="4"/>
  <c r="D476" i="5"/>
  <c r="F34" i="4" s="1"/>
  <c r="I34" i="4"/>
  <c r="E34" i="4"/>
  <c r="D1503" i="5"/>
  <c r="F97" i="4" s="1"/>
  <c r="I97" i="4"/>
  <c r="E97" i="4"/>
  <c r="D1190" i="5"/>
  <c r="F75" i="4" s="1"/>
  <c r="I75" i="4"/>
  <c r="E75" i="4"/>
  <c r="D988" i="5"/>
  <c r="F62" i="4" s="1"/>
  <c r="E62" i="4"/>
  <c r="I62" i="4"/>
  <c r="D775" i="5"/>
  <c r="F50" i="4" s="1"/>
  <c r="E50" i="4"/>
  <c r="I50" i="4"/>
  <c r="D457" i="5"/>
  <c r="F33" i="4" s="1"/>
  <c r="E33" i="4"/>
  <c r="I33" i="4"/>
  <c r="E20" i="4"/>
  <c r="I20" i="4"/>
  <c r="D230" i="5"/>
  <c r="F20" i="4" s="1"/>
  <c r="D1237" i="5"/>
  <c r="F78" i="4" s="1"/>
  <c r="E78" i="4"/>
  <c r="I78" i="4"/>
  <c r="D2045" i="5"/>
  <c r="F135" i="4" s="1"/>
  <c r="I135" i="4"/>
  <c r="E135" i="4"/>
  <c r="D1419" i="5"/>
  <c r="F91" i="4" s="1"/>
  <c r="I91" i="4"/>
  <c r="E91" i="4"/>
  <c r="D1223" i="5"/>
  <c r="F77" i="4" s="1"/>
  <c r="I77" i="4"/>
  <c r="E77" i="4"/>
  <c r="D1545" i="5"/>
  <c r="F100" i="4" s="1"/>
  <c r="E100" i="4"/>
  <c r="I100" i="4"/>
  <c r="D903" i="5"/>
  <c r="F57" i="4" s="1"/>
  <c r="I57" i="4"/>
  <c r="E57" i="4"/>
  <c r="D15" i="5"/>
  <c r="F5" i="4" s="1"/>
  <c r="E5" i="4"/>
  <c r="I5" i="4"/>
  <c r="D141" i="5"/>
  <c r="F14" i="4" s="1"/>
  <c r="E14" i="4"/>
  <c r="I14" i="4"/>
  <c r="D642" i="5"/>
  <c r="F43" i="4" s="1"/>
  <c r="E43" i="4"/>
  <c r="I43" i="4"/>
  <c r="D258" i="5"/>
  <c r="F22" i="4" s="1"/>
  <c r="I22" i="4"/>
  <c r="E22" i="4"/>
  <c r="D813" i="5"/>
  <c r="F52" i="4" s="1"/>
  <c r="I52" i="4"/>
  <c r="E52" i="4"/>
  <c r="D169" i="5"/>
  <c r="F16" i="4" s="1"/>
  <c r="I16" i="4"/>
  <c r="E16" i="4"/>
  <c r="L325" i="3"/>
  <c r="F22" i="2"/>
  <c r="E22" i="2"/>
  <c r="I22" i="2"/>
  <c r="I15" i="2"/>
  <c r="L199" i="3"/>
  <c r="F15" i="2"/>
  <c r="E15" i="2"/>
  <c r="D1961" i="5"/>
  <c r="F129" i="4" s="1"/>
  <c r="E129" i="4"/>
  <c r="I129" i="4"/>
  <c r="E104" i="4"/>
  <c r="D1601" i="5"/>
  <c r="F104" i="4" s="1"/>
  <c r="I104" i="4"/>
  <c r="D737" i="5"/>
  <c r="F48" i="4" s="1"/>
  <c r="I48" i="4"/>
  <c r="E48" i="4"/>
  <c r="D127" i="5"/>
  <c r="F13" i="4" s="1"/>
  <c r="I13" i="4"/>
  <c r="E13" i="4"/>
  <c r="D1905" i="5"/>
  <c r="F125" i="4" s="1"/>
  <c r="E125" i="4"/>
  <c r="I125" i="4"/>
  <c r="D2003" i="5"/>
  <c r="F132" i="4" s="1"/>
  <c r="E132" i="4"/>
  <c r="I132" i="4"/>
  <c r="D1863" i="5"/>
  <c r="F122" i="4" s="1"/>
  <c r="E122" i="4"/>
  <c r="I122" i="4"/>
  <c r="D1615" i="5"/>
  <c r="F105" i="4" s="1"/>
  <c r="E105" i="4"/>
  <c r="I105" i="4"/>
  <c r="D1531" i="5"/>
  <c r="F99" i="4" s="1"/>
  <c r="I99" i="4"/>
  <c r="E99" i="4"/>
  <c r="E40" i="4"/>
  <c r="D590" i="5"/>
  <c r="F40" i="4" s="1"/>
  <c r="I40" i="4"/>
  <c r="D1321" i="5"/>
  <c r="F84" i="4" s="1"/>
  <c r="E84" i="4"/>
  <c r="I84" i="4"/>
  <c r="D1176" i="5"/>
  <c r="F74" i="4" s="1"/>
  <c r="E74" i="4"/>
  <c r="I74" i="4"/>
  <c r="D1035" i="5"/>
  <c r="F65" i="4" s="1"/>
  <c r="E65" i="4"/>
  <c r="I65" i="4"/>
  <c r="D367" i="5"/>
  <c r="F28" i="4" s="1"/>
  <c r="I28" i="4"/>
  <c r="E28" i="4"/>
  <c r="D794" i="5"/>
  <c r="F51" i="4" s="1"/>
  <c r="I51" i="4"/>
  <c r="E51" i="4"/>
  <c r="E13" i="2"/>
  <c r="I13" i="2"/>
  <c r="F13" i="2"/>
  <c r="L163" i="3"/>
  <c r="I23" i="2"/>
  <c r="F23" i="2"/>
  <c r="E23" i="2"/>
  <c r="L343" i="3"/>
  <c r="D113" i="5"/>
  <c r="F12" i="4" s="1"/>
  <c r="I12" i="4"/>
  <c r="E12" i="4"/>
  <c r="F28" i="2"/>
  <c r="I28" i="2"/>
  <c r="L434" i="3"/>
  <c r="E28" i="2"/>
  <c r="F8" i="2"/>
  <c r="L72" i="3"/>
  <c r="I8" i="2"/>
  <c r="E8" i="2"/>
  <c r="F20" i="2"/>
  <c r="I20" i="2"/>
  <c r="L289" i="3"/>
  <c r="E20" i="2"/>
  <c r="D57" i="5"/>
  <c r="F8" i="4" s="1"/>
  <c r="E8" i="4"/>
  <c r="I8" i="4"/>
  <c r="D514" i="5"/>
  <c r="F36" i="4" s="1"/>
  <c r="I36" i="4"/>
  <c r="E36" i="4"/>
  <c r="I30" i="2"/>
  <c r="L470" i="3"/>
  <c r="F30" i="2"/>
  <c r="E30" i="2"/>
  <c r="I35" i="4"/>
  <c r="D495" i="5"/>
  <c r="F35" i="4" s="1"/>
  <c r="E35" i="4"/>
  <c r="L235" i="3"/>
  <c r="F17" i="2"/>
  <c r="I17" i="2"/>
  <c r="E17" i="2"/>
  <c r="F18" i="2"/>
  <c r="L253" i="3"/>
  <c r="I18" i="2"/>
  <c r="E18" i="2"/>
  <c r="F12" i="2"/>
  <c r="E12" i="2"/>
  <c r="I12" i="2"/>
  <c r="L145" i="3"/>
  <c r="F9" i="2"/>
  <c r="E9" i="2"/>
  <c r="L90" i="3"/>
  <c r="I9" i="2"/>
  <c r="L181" i="3"/>
  <c r="I14" i="2"/>
  <c r="F14" i="2"/>
  <c r="E14" i="2"/>
  <c r="D1148" i="5"/>
  <c r="F72" i="4" s="1"/>
  <c r="E72" i="4"/>
  <c r="I72" i="4"/>
  <c r="D699" i="5"/>
  <c r="F46" i="4" s="1"/>
  <c r="E46" i="4"/>
  <c r="I46" i="4"/>
  <c r="D1307" i="5"/>
  <c r="F83" i="4" s="1"/>
  <c r="I83" i="4"/>
  <c r="E83" i="4"/>
  <c r="D1293" i="5"/>
  <c r="F82" i="4" s="1"/>
  <c r="E82" i="4"/>
  <c r="I82" i="4"/>
  <c r="D1751" i="5"/>
  <c r="F114" i="4" s="1"/>
  <c r="E114" i="4"/>
  <c r="I114" i="4"/>
  <c r="D1433" i="5"/>
  <c r="F92" i="4" s="1"/>
  <c r="E92" i="4"/>
  <c r="I92" i="4"/>
  <c r="D1807" i="5"/>
  <c r="F118" i="4" s="1"/>
  <c r="E118" i="4"/>
  <c r="I118" i="4"/>
  <c r="D1718" i="5"/>
  <c r="F112" i="4" s="1"/>
  <c r="E112" i="4"/>
  <c r="I112" i="4"/>
  <c r="D955" i="5"/>
  <c r="F60" i="4" s="1"/>
  <c r="E60" i="4"/>
  <c r="I60" i="4"/>
  <c r="D277" i="5"/>
  <c r="F23" i="4" s="1"/>
  <c r="I23" i="4"/>
  <c r="E23" i="4"/>
  <c r="I19" i="4"/>
  <c r="D211" i="5"/>
  <c r="F19" i="4" s="1"/>
  <c r="E19" i="4"/>
  <c r="L398" i="3"/>
  <c r="F26" i="2"/>
  <c r="I26" i="2"/>
  <c r="E26" i="2"/>
  <c r="L361" i="3"/>
  <c r="I24" i="2"/>
  <c r="F24" i="2"/>
  <c r="E24" i="2"/>
  <c r="D1162" i="5"/>
  <c r="F73" i="4" s="1"/>
  <c r="E73" i="4"/>
  <c r="I73" i="4"/>
  <c r="D1704" i="5"/>
  <c r="F111" i="4" s="1"/>
  <c r="I111" i="4"/>
  <c r="E111" i="4"/>
  <c r="D1265" i="5"/>
  <c r="F80" i="4" s="1"/>
  <c r="E80" i="4"/>
  <c r="I80" i="4"/>
  <c r="D1793" i="5"/>
  <c r="F117" i="4" s="1"/>
  <c r="E117" i="4"/>
  <c r="I117" i="4"/>
  <c r="D2073" i="5"/>
  <c r="F137" i="4" s="1"/>
  <c r="I137" i="4"/>
  <c r="E137" i="4"/>
  <c r="D1821" i="5"/>
  <c r="F119" i="4" s="1"/>
  <c r="I119" i="4"/>
  <c r="E119" i="4"/>
  <c r="D1489" i="5"/>
  <c r="F96" i="4" s="1"/>
  <c r="E96" i="4"/>
  <c r="I96" i="4"/>
  <c r="D1016" i="5"/>
  <c r="F64" i="4" s="1"/>
  <c r="E64" i="4"/>
  <c r="I64" i="4"/>
  <c r="D870" i="5"/>
  <c r="F55" i="4" s="1"/>
  <c r="I55" i="4"/>
  <c r="E55" i="4"/>
  <c r="D1209" i="5"/>
  <c r="F76" i="4" s="1"/>
  <c r="E76" i="4"/>
  <c r="I76" i="4"/>
  <c r="D329" i="5"/>
  <c r="F26" i="4" s="1"/>
  <c r="I26" i="4"/>
  <c r="E26" i="4"/>
  <c r="D1475" i="5"/>
  <c r="F95" i="4" s="1"/>
  <c r="E95" i="4"/>
  <c r="I95" i="4"/>
  <c r="D1101" i="5"/>
  <c r="F69" i="4" s="1"/>
  <c r="I69" i="4"/>
  <c r="E69" i="4"/>
  <c r="E110" i="4"/>
  <c r="I110" i="4"/>
  <c r="D1690" i="5"/>
  <c r="F110" i="4" s="1"/>
  <c r="D1559" i="5"/>
  <c r="F101" i="4" s="1"/>
  <c r="E101" i="4"/>
  <c r="I101" i="4"/>
  <c r="D1732" i="5"/>
  <c r="F113" i="4" s="1"/>
  <c r="I113" i="4"/>
  <c r="E113" i="4"/>
  <c r="D718" i="5"/>
  <c r="F47" i="4" s="1"/>
  <c r="I47" i="4"/>
  <c r="E47" i="4"/>
  <c r="D1648" i="5"/>
  <c r="F107" i="4" s="1"/>
  <c r="I107" i="4"/>
  <c r="E107" i="4"/>
  <c r="D623" i="5"/>
  <c r="F42" i="4" s="1"/>
  <c r="I42" i="4"/>
  <c r="E42" i="4"/>
  <c r="D661" i="5"/>
  <c r="F44" i="4" s="1"/>
  <c r="I44" i="4"/>
  <c r="E44" i="4"/>
  <c r="D969" i="5"/>
  <c r="F61" i="4" s="1"/>
  <c r="I61" i="4"/>
  <c r="E61" i="4"/>
  <c r="I6" i="4"/>
  <c r="D29" i="5"/>
  <c r="F6" i="4" s="1"/>
  <c r="E6" i="4"/>
  <c r="I15" i="4"/>
  <c r="E15" i="4"/>
  <c r="D155" i="5"/>
  <c r="F15" i="4" s="1"/>
  <c r="D533" i="5"/>
  <c r="F37" i="4" s="1"/>
  <c r="E37" i="4"/>
  <c r="I37" i="4"/>
  <c r="I19" i="2"/>
  <c r="L271" i="3"/>
  <c r="F19" i="2"/>
  <c r="E19" i="2"/>
  <c r="D1919" i="5"/>
  <c r="F126" i="4" s="1"/>
  <c r="E126" i="4"/>
  <c r="I126" i="4"/>
  <c r="D604" i="5"/>
  <c r="F41" i="4" s="1"/>
  <c r="I41" i="4"/>
  <c r="E41" i="4"/>
  <c r="D851" i="5"/>
  <c r="F54" i="4" s="1"/>
  <c r="I54" i="4"/>
  <c r="E54" i="4"/>
  <c r="D680" i="5"/>
  <c r="F45" i="4" s="1"/>
  <c r="I45" i="4"/>
  <c r="E45" i="4"/>
  <c r="D1947" i="5"/>
  <c r="F128" i="4" s="1"/>
  <c r="E128" i="4"/>
  <c r="I128" i="4"/>
  <c r="E98" i="4"/>
  <c r="D1517" i="5"/>
  <c r="F98" i="4" s="1"/>
  <c r="I98" i="4"/>
  <c r="D1115" i="5"/>
  <c r="F70" i="4" s="1"/>
  <c r="E70" i="4"/>
  <c r="I70" i="4"/>
  <c r="E58" i="4"/>
  <c r="D917" i="5"/>
  <c r="F58" i="4" s="1"/>
  <c r="I58" i="4"/>
  <c r="D2101" i="5"/>
  <c r="F139" i="4" s="1"/>
  <c r="I139" i="4"/>
  <c r="E139" i="4"/>
  <c r="D1634" i="5"/>
  <c r="F106" i="4" s="1"/>
  <c r="E106" i="4"/>
  <c r="I106" i="4"/>
  <c r="D756" i="5"/>
  <c r="F49" i="4" s="1"/>
  <c r="E49" i="4"/>
  <c r="I49" i="4"/>
  <c r="D1587" i="5"/>
  <c r="F103" i="4" s="1"/>
  <c r="I103" i="4"/>
  <c r="E103" i="4"/>
  <c r="D1002" i="5"/>
  <c r="F63" i="4" s="1"/>
  <c r="E63" i="4"/>
  <c r="I63" i="4"/>
  <c r="D1765" i="5"/>
  <c r="F115" i="4" s="1"/>
  <c r="E115" i="4"/>
  <c r="I115" i="4"/>
  <c r="D889" i="5"/>
  <c r="F56" i="4" s="1"/>
  <c r="E56" i="4"/>
  <c r="I56" i="4"/>
  <c r="D832" i="5"/>
  <c r="F53" i="4" s="1"/>
  <c r="E53" i="4"/>
  <c r="I53" i="4"/>
  <c r="L35" i="3"/>
  <c r="F6" i="2"/>
  <c r="E5" i="1" s="1"/>
  <c r="E6" i="2"/>
  <c r="I6" i="2"/>
  <c r="E6" i="1" l="1"/>
  <c r="E7" i="1" s="1"/>
  <c r="D6" i="1"/>
  <c r="C6" i="1"/>
  <c r="C5" i="1"/>
  <c r="D5" i="1"/>
  <c r="C7" i="1" l="1"/>
  <c r="D7" i="1"/>
</calcChain>
</file>

<file path=xl/sharedStrings.xml><?xml version="1.0" encoding="utf-8"?>
<sst xmlns="http://schemas.openxmlformats.org/spreadsheetml/2006/main" count="7201" uniqueCount="1509">
  <si>
    <t>CONTROL DE VALIDACIÓN · abril 2026 · Transactiva 2000 S.L.</t>
  </si>
  <si>
    <t>Fusión de validaciones 3.0TD + 2.0TD. APROBAR ≥30% · REVISAR 20–30% · RECHAZAR &lt;20%. Detalle de cada factura en sus pestañas.</t>
  </si>
  <si>
    <t>Tarifa</t>
  </si>
  <si>
    <t>Nº facturas</t>
  </si>
  <si>
    <t>APROBAR</t>
  </si>
  <si>
    <t>REVISAR</t>
  </si>
  <si>
    <t>RECHAZAR</t>
  </si>
  <si>
    <t>Pestaña detalle</t>
  </si>
  <si>
    <t>3.0TD</t>
  </si>
  <si>
    <t>Detalle 3.0TD</t>
  </si>
  <si>
    <t>2.0TD</t>
  </si>
  <si>
    <t>Detalle 2.0TD</t>
  </si>
  <si>
    <t>TOTAL</t>
  </si>
  <si>
    <t>RESUMEN · 27 facturas 3.0TD · abril 2026 · margen abril vivo (editable) + histórico del CUPS (HOJA TTVA LUZ)</t>
  </si>
  <si>
    <t>LEYENDA</t>
  </si>
  <si>
    <t>APROBAR ≥30%</t>
  </si>
  <si>
    <t>REVISAR 20–30%</t>
  </si>
  <si>
    <t>RECHAZAR &lt;20% · margen objetivo editable en Detalle</t>
  </si>
  <si>
    <t>Factura</t>
  </si>
  <si>
    <t>Cliente</t>
  </si>
  <si>
    <t>Nombre</t>
  </si>
  <si>
    <t>Prov.</t>
  </si>
  <si>
    <t>Margen abril</t>
  </si>
  <si>
    <t>Veredicto</t>
  </si>
  <si>
    <t>Margen hist.</t>
  </si>
  <si>
    <t>Cobrado hist.</t>
  </si>
  <si>
    <t>Qué revisar</t>
  </si>
  <si>
    <t>8544</t>
  </si>
  <si>
    <t>C02330</t>
  </si>
  <si>
    <t>ORENCO 2019, S.L.</t>
  </si>
  <si>
    <t>Naturgy</t>
  </si>
  <si>
    <t>8545</t>
  </si>
  <si>
    <t>C01200</t>
  </si>
  <si>
    <t>SOLUCIONES GASTRONÓMICAS DE JAVEA 2014, S.L.</t>
  </si>
  <si>
    <t>8546</t>
  </si>
  <si>
    <t>C03270</t>
  </si>
  <si>
    <t>LULU BEACH CLUB JAVEA SL</t>
  </si>
  <si>
    <t>8547</t>
  </si>
  <si>
    <t>C01770</t>
  </si>
  <si>
    <t>CASA LILI JAVEA, S.L.</t>
  </si>
  <si>
    <t>?</t>
  </si>
  <si>
    <t>8564</t>
  </si>
  <si>
    <t>C01930</t>
  </si>
  <si>
    <t>FUNDACIÓN FSU PROGRAMAS INTERNACIONALES</t>
  </si>
  <si>
    <t>8565</t>
  </si>
  <si>
    <t>C01920</t>
  </si>
  <si>
    <t>8566</t>
  </si>
  <si>
    <t>C01910</t>
  </si>
  <si>
    <t>8567</t>
  </si>
  <si>
    <t>C00790</t>
  </si>
  <si>
    <t>CASA LILI, S.L.</t>
  </si>
  <si>
    <t>8578</t>
  </si>
  <si>
    <t>C02180</t>
  </si>
  <si>
    <t>EDWIN BAUMGARTNER</t>
  </si>
  <si>
    <t>8615</t>
  </si>
  <si>
    <t>C01220</t>
  </si>
  <si>
    <t>VIVES ELECTRODOMÉSTICOS, S.L.</t>
  </si>
  <si>
    <t>Repsol</t>
  </si>
  <si>
    <t>8629</t>
  </si>
  <si>
    <t>C01510</t>
  </si>
  <si>
    <t>CAFE ZUR BACKSTUBE, S.L.</t>
  </si>
  <si>
    <t>8635</t>
  </si>
  <si>
    <t>C01630</t>
  </si>
  <si>
    <t>ALEJANDRO BOX CANDELA</t>
  </si>
  <si>
    <t>8638</t>
  </si>
  <si>
    <t>C01710</t>
  </si>
  <si>
    <t>FARMACIA ESPINÓS</t>
  </si>
  <si>
    <t>8644</t>
  </si>
  <si>
    <t>C01840</t>
  </si>
  <si>
    <t>JOSE GUILLERMO CHOLBI SART</t>
  </si>
  <si>
    <t>8649</t>
  </si>
  <si>
    <t>C01980</t>
  </si>
  <si>
    <t>TINTORERÍA LAVANDERÍA COLOMER</t>
  </si>
  <si>
    <t>8652</t>
  </si>
  <si>
    <t>8669</t>
  </si>
  <si>
    <t>C02600</t>
  </si>
  <si>
    <t>CRISTIAN FERRARI</t>
  </si>
  <si>
    <t>8684</t>
  </si>
  <si>
    <t>C02910</t>
  </si>
  <si>
    <t>NICHOLAS JAMES RATCLIFFE</t>
  </si>
  <si>
    <t>8691</t>
  </si>
  <si>
    <t>C03020</t>
  </si>
  <si>
    <t>MONTGO SEGURIDAD S.L.</t>
  </si>
  <si>
    <t>8705</t>
  </si>
  <si>
    <t>C03200</t>
  </si>
  <si>
    <t>2 HANDS FULL, S.L</t>
  </si>
  <si>
    <t>8731</t>
  </si>
  <si>
    <t>C01500</t>
  </si>
  <si>
    <t>SANTIAGO JAVIER NUÑEZ JOVER</t>
  </si>
  <si>
    <t>8732</t>
  </si>
  <si>
    <t>C02430</t>
  </si>
  <si>
    <t>CINDY DEPERE</t>
  </si>
  <si>
    <t>8733</t>
  </si>
  <si>
    <t>C03410</t>
  </si>
  <si>
    <t>NORAY PUERTO 2012 S.L.</t>
  </si>
  <si>
    <t>8734</t>
  </si>
  <si>
    <t>C01820</t>
  </si>
  <si>
    <t>PIZZERIA TIGER, S.L.</t>
  </si>
  <si>
    <t>8735</t>
  </si>
  <si>
    <t>C02700</t>
  </si>
  <si>
    <t>TALLERES MARTINEZ JAVEA SL</t>
  </si>
  <si>
    <t>8737</t>
  </si>
  <si>
    <t>C00740</t>
  </si>
  <si>
    <t>PIZZERIA ORBA, S.L.</t>
  </si>
  <si>
    <t>8738</t>
  </si>
  <si>
    <t>C02620</t>
  </si>
  <si>
    <t>JAVEA PADEL &amp; Tenis SL</t>
  </si>
  <si>
    <t>Margen abril editable en TODAS (celda amarilla en Detalle). Margen hist., cobrado y mejor/peor mes vienen de HOJA TTVA LUZ por CUPS.</t>
  </si>
  <si>
    <t>Factura 8544 · C02330 · ORENCO 2019, S.L.</t>
  </si>
  <si>
    <t>ES0021000001197056KH · Naturgy · 01/04/26 a 30/04/26 · PC real leído: 01MAR_31MAR26 (P2/P3/P6) + plan fijo</t>
  </si>
  <si>
    <t>HISTÓRICO DEL CUPS · HOJA TTVA LUZ</t>
  </si>
  <si>
    <t>Concepto</t>
  </si>
  <si>
    <t>PENDIENTE (sin registrar)</t>
  </si>
  <si>
    <t>MES ANTERIOR · Fact.6296 (01/03/26 a 31/03/26)</t>
  </si>
  <si>
    <t>AÑO ANTERIOR · Fact.4508 (01/04/25 a 30/04/25)</t>
  </si>
  <si>
    <t>Cobrado total: 40.716 €</t>
  </si>
  <si>
    <t>Cant</t>
  </si>
  <si>
    <t>Días</t>
  </si>
  <si>
    <t>PC real</t>
  </si>
  <si>
    <t>PV</t>
  </si>
  <si>
    <t>Importe</t>
  </si>
  <si>
    <t>Pagado total: 29.523 €</t>
  </si>
  <si>
    <t>P1 Potencia</t>
  </si>
  <si>
    <t>DIF: 11.193 €  ·  Margen hist.: 27.5%</t>
  </si>
  <si>
    <t>P2 Potencia</t>
  </si>
  <si>
    <t>Mejor mes: 2024-06 · 3.014 € · margen 56%</t>
  </si>
  <si>
    <t>P3 Potencia</t>
  </si>
  <si>
    <t>Peor mes: 2024-11 · 701 € · margen 39%</t>
  </si>
  <si>
    <t>P4 Potencia</t>
  </si>
  <si>
    <t>⚠ Consumo en P1/P2 (calendario inactivo) → consolidado a P4/P5/P6</t>
  </si>
  <si>
    <t>P5 Potencia</t>
  </si>
  <si>
    <t>Importe mensual cobrado (€) · últimos 24 meses</t>
  </si>
  <si>
    <t>P6 Potencia</t>
  </si>
  <si>
    <t>P4 Energía</t>
  </si>
  <si>
    <t>Margen objetivo (edita el % aquí) ▶</t>
  </si>
  <si>
    <t>P5 Energía</t>
  </si>
  <si>
    <t>Cant. P4/P5/P6 suben en proporción</t>
  </si>
  <si>
    <t>P6 Energía</t>
  </si>
  <si>
    <t>para cumplir ese margen</t>
  </si>
  <si>
    <t>Alquiler contador</t>
  </si>
  <si>
    <t>Bono social</t>
  </si>
  <si>
    <t>Tasa eléctrica</t>
  </si>
  <si>
    <t>TOTAL c/IVA</t>
  </si>
  <si>
    <t>MARGEN sin registrar</t>
  </si>
  <si>
    <t>Factura 8545 · C01200 · SOLUCIONES GASTRONÓMICAS DE JAVEA 2014, S.L.</t>
  </si>
  <si>
    <t>ES0021000001209594ZK · Naturgy · 01/04/26 a 30/04/26 · PC maestro (=factura real, verificado)</t>
  </si>
  <si>
    <t>MES ANTERIOR · Fact.6297 (01/03/26 a 31/03/26)</t>
  </si>
  <si>
    <t>AÑO ANTERIOR · Fact.4514 (01/04/25 a 30/04/25)</t>
  </si>
  <si>
    <t>Cobrado total: 53.718 €</t>
  </si>
  <si>
    <t>Pagado total: 40.613 €</t>
  </si>
  <si>
    <t>DIF: 13.105 €  ·  Margen hist.: 24.4%</t>
  </si>
  <si>
    <t>Mejor mes: 2024-08 · 2.606 € · margen 23%</t>
  </si>
  <si>
    <t>Peor mes: 2023-01 · 446 € · margen 25%</t>
  </si>
  <si>
    <t>Factura 8546 · C03270 · LULU BEACH CLUB JAVEA SL</t>
  </si>
  <si>
    <t>ES0021000001205457LR · Naturgy · 01/04/26 a 30/04/26 · PC maestro (=factura real, verificado)</t>
  </si>
  <si>
    <t>MES ANTERIOR (s/d)</t>
  </si>
  <si>
    <t>AÑO ANTERIOR (s/d)</t>
  </si>
  <si>
    <t>Cobrado total: 12.272 €</t>
  </si>
  <si>
    <t>Pagado total: 9.764 €</t>
  </si>
  <si>
    <t>DIF: 2.509 €  ·  Margen hist.: 20.4%</t>
  </si>
  <si>
    <t>Mejor mes: 2026-05 · 3.747 € · margen 22%</t>
  </si>
  <si>
    <t>Peor mes: 2026-02 · 1.625 € · margen 27%</t>
  </si>
  <si>
    <t>✓ Lecturas 3/3 · productos · periodos OK</t>
  </si>
  <si>
    <t>Factura 8547 · C01770 · CASA LILI JAVEA, S.L.</t>
  </si>
  <si>
    <t>ES0021000012742166PW · ? · 01/04/26 a 30/04/26 · PC real leído: 01ABR_30ABR26 (real)</t>
  </si>
  <si>
    <t>MES ANTERIOR · Fact.6081 (01/03/26 a 31/03/26)</t>
  </si>
  <si>
    <t>AÑO ANTERIOR · Fact.4142 (01/04/25 a 30/04/25)</t>
  </si>
  <si>
    <t>Cobrado total: 130.569 €</t>
  </si>
  <si>
    <t>Pagado total: 74.176 €</t>
  </si>
  <si>
    <t>DIF: 56.393 €  ·  Margen hist.: 43.2%</t>
  </si>
  <si>
    <t>Mejor mes: 2024-01 · 5.457 € · margen 28%</t>
  </si>
  <si>
    <t>Peor mes: 2026-01 · 2.917 € · margen 20%</t>
  </si>
  <si>
    <t>Compensación excedentes</t>
  </si>
  <si>
    <t>sin venta</t>
  </si>
  <si>
    <t>Factura 8564 · C01930 · FUNDACIÓN FSU PROGRAMAS INTERNACIONALES</t>
  </si>
  <si>
    <t>ES0021000008997144KR · Naturgy · 01/04/26 a 30/04/26 · PC maestro (=factura real, verificado)</t>
  </si>
  <si>
    <t>MES ANTERIOR · Fact.6300 (01/03/26 a 31/03/26)</t>
  </si>
  <si>
    <t>AÑO ANTERIOR · Fact.4598 (01/04/25 a 30/04/25)</t>
  </si>
  <si>
    <t>Cobrado total: 18.857 €</t>
  </si>
  <si>
    <t>Pagado total: 13.790 €</t>
  </si>
  <si>
    <t>DIF: 5.067 €  ·  Margen hist.: 26.9%</t>
  </si>
  <si>
    <t>Mejor mes: 2025-10 · 816 € · margen 30%</t>
  </si>
  <si>
    <t>Peor mes: 2024-02 · 408 € · margen 37%</t>
  </si>
  <si>
    <t>Factura 8565 · C01920 · FUNDACIÓN FSU PROGRAMAS INTERNACIONALES</t>
  </si>
  <si>
    <t>ES0021000020111643FA · Naturgy · 01/04/26 a 30/04/26 · PC real leído: mismo contrato FSU (precio fijo)</t>
  </si>
  <si>
    <t>MES ANTERIOR · Fact.6299 (01/03/26 a 31/03/26)</t>
  </si>
  <si>
    <t>AÑO ANTERIOR · Fact.4599 (01/04/25 a 30/04/25)</t>
  </si>
  <si>
    <t>Cobrado total: 19.336 €</t>
  </si>
  <si>
    <t>Pagado total: 13.069 €</t>
  </si>
  <si>
    <t>DIF: 6.267 €  ·  Margen hist.: 32.4%</t>
  </si>
  <si>
    <t>Mejor mes: 2026-03 · 1.019 € · margen 57%</t>
  </si>
  <si>
    <t>Peor mes: 2024-12 · 207 € · margen -183%</t>
  </si>
  <si>
    <t>Factura 8566 · C01910 · FUNDACIÓN FSU PROGRAMAS INTERNACIONALES</t>
  </si>
  <si>
    <t>ES0021000020111642FW · Naturgy · 01/04/26 a 30/04/26 · PC real leído: 01ABR_30ABR26 (real)</t>
  </si>
  <si>
    <t>MES ANTERIOR · Fact.6302 (01/03/26 a 31/03/26)</t>
  </si>
  <si>
    <t>AÑO ANTERIOR · Fact.4600 (01/04/25 a 30/04/25)</t>
  </si>
  <si>
    <t>Cobrado total: 10.564 €</t>
  </si>
  <si>
    <t>Pagado total: 6.952 €</t>
  </si>
  <si>
    <t>DIF: 3.613 €  ·  Margen hist.: 34.2%</t>
  </si>
  <si>
    <t>Mejor mes: 2025-07 · 635 € · margen 22%</t>
  </si>
  <si>
    <t>Peor mes: 2024-08 · 167 € · margen 23%</t>
  </si>
  <si>
    <t>Factura 8567 · C00790 · CASA LILI, S.L.</t>
  </si>
  <si>
    <t>ES0021000001498860XQ · Naturgy · 01/04/26 a 30/04/26 · PC maestro (=factura real, verificado)</t>
  </si>
  <si>
    <t>MES ANTERIOR · Fact.5896 (01/03/26 a 31/03/26)</t>
  </si>
  <si>
    <t>AÑO ANTERIOR · Fact.3975 (01/04/25 a 30/04/25)</t>
  </si>
  <si>
    <t>Cobrado total: 151.868 €</t>
  </si>
  <si>
    <t>Pagado total: 90.364 €</t>
  </si>
  <si>
    <t>DIF: 61.504 €  ·  Margen hist.: 40.5%</t>
  </si>
  <si>
    <t>Mejor mes: 2023-06 · 5.345 € · margen 58%</t>
  </si>
  <si>
    <t>Peor mes: 2026-05 · 2.640 € · margen 42%</t>
  </si>
  <si>
    <t>Factura 8578 · C02180 · EDWIN BAUMGARTNER</t>
  </si>
  <si>
    <t>ES0021000010447948XB · Naturgy · 01/04/26 a 30/04/26 · PC maestro (=factura real, verificado)</t>
  </si>
  <si>
    <t>MES ANTERIOR · Fact.6391 (01/03/26 a 31/03/26)</t>
  </si>
  <si>
    <t>AÑO ANTERIOR · Fact.4581 (01/04/25 a 30/04/25)</t>
  </si>
  <si>
    <t>Cobrado total: 2.908 €</t>
  </si>
  <si>
    <t>Pagado total: 1.491 €</t>
  </si>
  <si>
    <t>DIF: 1.416 €  ·  Margen hist.: 48.7%</t>
  </si>
  <si>
    <t>Mejor mes: 2025-07 · 361 € · margen -11%</t>
  </si>
  <si>
    <t>Peor mes: 2026-04 · 39 € · margen 45%</t>
  </si>
  <si>
    <t>Factura 8615 · C01220 · VIVES ELECTRODOMÉSTICOS, S.L.</t>
  </si>
  <si>
    <t>ES0021000016067263EN · Repsol · 01/04/26 a 30/04/26 · PC real leído: 31ENE_28FEB26 plana</t>
  </si>
  <si>
    <t>MES ANTERIOR · Fact.6430 (01/03/26 a 31/03/26)</t>
  </si>
  <si>
    <t>AÑO ANTERIOR · Fact.4634 (01/04/25 a 30/04/25)</t>
  </si>
  <si>
    <t>Cobrado total: 26.925 €</t>
  </si>
  <si>
    <t>Pagado total: 18.410 €</t>
  </si>
  <si>
    <t>DIF: 8.515 €  ·  Margen hist.: 31.6%</t>
  </si>
  <si>
    <t>Mejor mes: 2024-07 · 1.167 € · margen 43%</t>
  </si>
  <si>
    <t>Peor mes: 2023-04 · 262 € · margen 61%</t>
  </si>
  <si>
    <t>Factura 8629 · C01510 · CAFE ZUR BACKSTUBE, S.L.</t>
  </si>
  <si>
    <t>ES0021000001210140SS · Naturgy · 01/04/26 a 30/04/26 · PC maestro (=factura real, verificado)</t>
  </si>
  <si>
    <t>MES ANTERIOR · Fact.6414 (01/03/26 a 31/03/26)</t>
  </si>
  <si>
    <t>AÑO ANTERIOR · Fact.4618 (01/04/25 a 30/04/25)</t>
  </si>
  <si>
    <t>Cobrado total: 6.193 €</t>
  </si>
  <si>
    <t>Pagado total: 3.952 €</t>
  </si>
  <si>
    <t>DIF: 2.241 €  ·  Margen hist.: 36.2%</t>
  </si>
  <si>
    <t>Mejor mes: 2023-06 · 843 € · margen 23%</t>
  </si>
  <si>
    <t>Peor mes: 2025-10 · 110 € · margen 32%</t>
  </si>
  <si>
    <t>Factura 8635 · C01630 · ALEJANDRO BOX CANDELA</t>
  </si>
  <si>
    <t>ES0021000001209877GM · Naturgy · 01/04/26 a 30/04/26 · PC maestro (=factura real, verificado)</t>
  </si>
  <si>
    <t>MES ANTERIOR · Fact.6408 (01/03/26 a 31/03/26)</t>
  </si>
  <si>
    <t>AÑO ANTERIOR · Fact.4511 (01/04/25 a 30/04/25)</t>
  </si>
  <si>
    <t>Cobrado total: 31.335 €</t>
  </si>
  <si>
    <t>Pagado total: 22.659 €</t>
  </si>
  <si>
    <t>DIF: 8.677 €  ·  Margen hist.: 27.7%</t>
  </si>
  <si>
    <t>Mejor mes: 2025-08 · 1.864 € · margen 50%</t>
  </si>
  <si>
    <t>Peor mes: 2023-11 · 137 € · margen -34%</t>
  </si>
  <si>
    <t>Factura 8638 · C01710 · FARMACIA ESPINÓS</t>
  </si>
  <si>
    <t>ES0021000001207126EZ · Repsol · 01/04/26 a 30/04/26 · PC real leído: 30ABR_31MAY26</t>
  </si>
  <si>
    <t>MES ANTERIOR · Fact.6405 (01/03/26 a 31/03/26)</t>
  </si>
  <si>
    <t>AÑO ANTERIOR · Fact.4610 (01/04/25 a 30/04/25)</t>
  </si>
  <si>
    <t>Cobrado total: 14.704 €</t>
  </si>
  <si>
    <t>Pagado total: 10.985 €</t>
  </si>
  <si>
    <t>DIF: 3.720 €  ·  Margen hist.: 25.3%</t>
  </si>
  <si>
    <t>Mejor mes: 2024-07 · 693 € · margen 38%</t>
  </si>
  <si>
    <t>Peor mes: 2026-04 · 161 € · margen -36%</t>
  </si>
  <si>
    <t>Factura 8644 · C01840 · JOSE GUILLERMO CHOLBI SART</t>
  </si>
  <si>
    <t>ES0021000001195518TK · Naturgy · 01/04/26 a 30/04/26 · PC maestro (=factura real, verificado)</t>
  </si>
  <si>
    <t>MES ANTERIOR · Fact.5532 (01/10/25 a 31/10/25)</t>
  </si>
  <si>
    <t>AÑO ANTERIOR · Fact.4542 (01/04/25 a 30/04/25)</t>
  </si>
  <si>
    <t>Cobrado total: 3.368 €</t>
  </si>
  <si>
    <t>Pagado total: 2.747 €</t>
  </si>
  <si>
    <t>DIF: 621 €  ·  Margen hist.: 18.4%</t>
  </si>
  <si>
    <t>Mejor mes: 2025-07 · 241 € · margen 26%</t>
  </si>
  <si>
    <t>Peor mes: 2023-11 · 44 € · margen 6%</t>
  </si>
  <si>
    <t>Factura 8649 · C01980 · TINTORERÍA LAVANDERÍA COLOMER</t>
  </si>
  <si>
    <t>ES0021000001194238ZY · Repsol · 01/04/26 a 30/04/26 · PC real leído: 30SEP_31OCT25 (último archivado)</t>
  </si>
  <si>
    <t>MES ANTERIOR · Fact.6394 (01/03/26 a 31/03/26)</t>
  </si>
  <si>
    <t>AÑO ANTERIOR · Fact.4509 (01/04/25 a 30/04/25)</t>
  </si>
  <si>
    <t>Cobrado total: 15.418 €</t>
  </si>
  <si>
    <t>Pagado total: 12.288 €</t>
  </si>
  <si>
    <t>DIF: 3.130 €  ·  Margen hist.: 20.3%</t>
  </si>
  <si>
    <t>Mejor mes: 2024-05 · 821 € · margen 36%</t>
  </si>
  <si>
    <t>Peor mes: 2024-02 · 370 € · margen 52%</t>
  </si>
  <si>
    <t>Factura 8652 · C02180 · EDWIN BAUMGARTNER</t>
  </si>
  <si>
    <t>Factura 8669 · C02600 · CRISTIAN FERRARI</t>
  </si>
  <si>
    <t>ES0021000020674389WP · Naturgy · 01/04/26 a 30/04/26 · PC maestro (=factura real, verificado)</t>
  </si>
  <si>
    <t>MES ANTERIOR · Fact.6374 (01/03/26 a 31/03/26)</t>
  </si>
  <si>
    <t>AÑO ANTERIOR · Fact.4562 (01/04/25 a 30/04/25)</t>
  </si>
  <si>
    <t>Cobrado total: 5.898 €</t>
  </si>
  <si>
    <t>Pagado total: 4.174 €</t>
  </si>
  <si>
    <t>DIF: 1.724 €  ·  Margen hist.: 29.2%</t>
  </si>
  <si>
    <t>Mejor mes: 2025-09 · 403 € · margen 33%</t>
  </si>
  <si>
    <t>Peor mes: 2026-04 · 247 € · margen 30%</t>
  </si>
  <si>
    <t>Factura 8684 · C02910 · NICHOLAS JAMES RATCLIFFE</t>
  </si>
  <si>
    <t>ES0021000015846775GW · Repsol · 01/04/26 a 30/04/26 · PC maestro (=factura real, verificado)</t>
  </si>
  <si>
    <t>MES ANTERIOR · Fact.6360 (01/03/26 a 31/03/26)</t>
  </si>
  <si>
    <t>Cobrado total: 4.742 €</t>
  </si>
  <si>
    <t>Pagado total: 2.732 €</t>
  </si>
  <si>
    <t>DIF: 2.009 €  ·  Margen hist.: 42.4%</t>
  </si>
  <si>
    <t>Mejor mes: 2025-08 · 757 € · margen 32%</t>
  </si>
  <si>
    <t>Peor mes: 2025-03 · 52 € · margen 36%</t>
  </si>
  <si>
    <t>Factura 8691 · C03020 · MONTGO SEGURIDAD S.L.</t>
  </si>
  <si>
    <t>ES0021000043781374JC · Repsol · 01/04/26 a 30/04/26 · PC maestro (=factura real, verificado)</t>
  </si>
  <si>
    <t>MES ANTERIOR · Fact.6351 (01/03/26 a 31/03/26)</t>
  </si>
  <si>
    <t>Cobrado total: 2.757 €</t>
  </si>
  <si>
    <t>Pagado total: 2.333 €</t>
  </si>
  <si>
    <t>DIF: 423 €  ·  Margen hist.: 15.4%</t>
  </si>
  <si>
    <t>Mejor mes: 2026-01 · 528 € · margen 26%</t>
  </si>
  <si>
    <t>Peor mes: 2026-04 · 257 € · margen 17%</t>
  </si>
  <si>
    <t>Factura 8705 · C03200 · 2 HANDS FULL, S.L</t>
  </si>
  <si>
    <t>ES0021000001210751LM · Repsol · 01/04/26 a 30/04/26 · PC maestro (=factura real, verificado)</t>
  </si>
  <si>
    <t>MES ANTERIOR · Fact.6317 (01/03/26 a 31/03/26)</t>
  </si>
  <si>
    <t>Cobrado total: 3.844 €</t>
  </si>
  <si>
    <t>Pagado total: 3.280 €</t>
  </si>
  <si>
    <t>DIF: 564 €  ·  Margen hist.: 14.7%</t>
  </si>
  <si>
    <t>Mejor mes: 2026-05 · 1.224 € · margen 11%</t>
  </si>
  <si>
    <t>Peor mes: 2026-02 · 713 € · margen 25%</t>
  </si>
  <si>
    <t>Factura 8731 · C01500 · SANTIAGO JAVIER NUÑEZ JOVER</t>
  </si>
  <si>
    <t>ES0021000037410824EX · Repsol · 01/04/26 a 30/04/26 · PC real leído: 31ENE_28FEB26 (2026 real)</t>
  </si>
  <si>
    <t>MES ANTERIOR · Fact.6415 (01/03/26 a 31/03/26)</t>
  </si>
  <si>
    <t>AÑO ANTERIOR · Fact.4513 (01/04/25 a 30/04/25)</t>
  </si>
  <si>
    <t>Cobrado total: 43.740 €</t>
  </si>
  <si>
    <t>Pagado total: 30.375 €</t>
  </si>
  <si>
    <t>DIF: 13.365 €  ·  Margen hist.: 30.6%</t>
  </si>
  <si>
    <t>Mejor mes: 2023-08 · 2.624 € · margen 21%</t>
  </si>
  <si>
    <t>Peor mes: 2026-01 · 576 € · margen -1%</t>
  </si>
  <si>
    <t>Factura 8732 · C02430 · CINDY DEPERE</t>
  </si>
  <si>
    <t>ES0021000013419235MC · Naturgy · 01/04/26 a 30/04/26 · PC real leído: 01MAY_31MAY26 (real)</t>
  </si>
  <si>
    <t>MES ANTERIOR · Fact.6320 (01/03/26 a 31/03/26)</t>
  </si>
  <si>
    <t>AÑO ANTERIOR · Fact.4507 (01/04/25 a 30/04/25)</t>
  </si>
  <si>
    <t>Cobrado total: 14.442 €</t>
  </si>
  <si>
    <t>Pagado total: 9.963 €</t>
  </si>
  <si>
    <t>DIF: 4.479 €  ·  Margen hist.: 31.0%</t>
  </si>
  <si>
    <t>Mejor mes: 2024-12 · 932 € · margen 5%</t>
  </si>
  <si>
    <t>Peor mes: 2026-05 · 309 € · margen 42%</t>
  </si>
  <si>
    <t>Factura 8733 · C03410 · NORAY PUERTO 2012 S.L.</t>
  </si>
  <si>
    <t>ES0021000001194487WW · Naturgy · 01/04/26 a 30/04/26 · PC maestro (=factura real, verificado)</t>
  </si>
  <si>
    <t>MES ANTERIOR · Fact.6316 (24/03/26 a 31/03/26)</t>
  </si>
  <si>
    <t>Cobrado total: 5.855 €</t>
  </si>
  <si>
    <t>Pagado total: 3.944 €</t>
  </si>
  <si>
    <t>DIF: 1.911 €  ·  Margen hist.: 32.6%</t>
  </si>
  <si>
    <t>Mejor mes: 2026-05 · 2.529 € · margen 24%</t>
  </si>
  <si>
    <t>Peor mes: 2026-03 · 850 € · margen 54%</t>
  </si>
  <si>
    <t>⚠ Consumo en P3 (calendario inactivo) → consolidado a P4/P5/P6</t>
  </si>
  <si>
    <t>Factura 8734 · C01820 · PIZZERIA TIGER, S.L.</t>
  </si>
  <si>
    <t>ES0021000001502015DC · Naturgy · 01/04/26 a 30/04/26 · PC maestro (=factura real, verificado)</t>
  </si>
  <si>
    <t>MES ANTERIOR · Fact.6466 (01/03/26 a 31/03/26)</t>
  </si>
  <si>
    <t>AÑO ANTERIOR · Fact.4510 (01/04/25 a 30/04/25)</t>
  </si>
  <si>
    <t>Cobrado total: 33.692 €</t>
  </si>
  <si>
    <t>Pagado total: 21.997 €</t>
  </si>
  <si>
    <t>DIF: 11.696 €  ·  Margen hist.: 34.7%</t>
  </si>
  <si>
    <t>Mejor mes: 2024-08 · 2.411 € · margen 30%</t>
  </si>
  <si>
    <t>Peor mes: 2024-01 · 134 € · margen 22%</t>
  </si>
  <si>
    <t>Factura 8735 · C02700 · TALLERES MARTINEZ JAVEA SL</t>
  </si>
  <si>
    <t>ES0021000001198420NW · Repsol · 01/04/26 a 30/04/26 · PC maestro (=factura real, verificado)</t>
  </si>
  <si>
    <t>MES ANTERIOR · Fact.6319 (01/03/26 a 31/03/26)</t>
  </si>
  <si>
    <t>AÑO ANTERIOR · Fact.4505 (01/04/25 a 30/04/25)</t>
  </si>
  <si>
    <t>Cobrado total: 14.833 €</t>
  </si>
  <si>
    <t>Pagado total: 12.919 €</t>
  </si>
  <si>
    <t>DIF: 1.914 €  ·  Margen hist.: 12.9%</t>
  </si>
  <si>
    <t>Mejor mes: 2026-03 · 1.077 € · margen 21%</t>
  </si>
  <si>
    <t>Peor mes: 2025-06 · 801 € · margen 11%</t>
  </si>
  <si>
    <t>Factura 8737 · C00740 · PIZZERIA ORBA, S.L.</t>
  </si>
  <si>
    <t>ES0021000017299736HF · Naturgy · 01/04/26 a 30/04/26 · PC real leído: 01ABR_30ABR26</t>
  </si>
  <si>
    <t>MES ANTERIOR · Fact.5925 (01/03/26 a 31/03/26)</t>
  </si>
  <si>
    <t>AÑO ANTERIOR · Fact.4516 (01/04/25 a 30/04/25)</t>
  </si>
  <si>
    <t>Cobrado total: 82.412 €</t>
  </si>
  <si>
    <t>Pagado total: 56.559 €</t>
  </si>
  <si>
    <t>DIF: 25.853 €  ·  Margen hist.: 31.4%</t>
  </si>
  <si>
    <t>Mejor mes: 2023-08 · 4.242 € · margen 28%</t>
  </si>
  <si>
    <t>Peor mes: 2025-02 · 1.147 € · margen 2%</t>
  </si>
  <si>
    <t>Factura 8738 · C02620 · JAVEA PADEL &amp; Tenis SL</t>
  </si>
  <si>
    <t>ES0021000001197843XT · Naturgy · 01/04/26 a 30/04/26 · PC maestro (=factura real, verificado)</t>
  </si>
  <si>
    <t>MES ANTERIOR · Fact.6294 (01/03/26 a 31/03/26)</t>
  </si>
  <si>
    <t>AÑO ANTERIOR · Fact.3965 (01/04/25 a 30/04/25)</t>
  </si>
  <si>
    <t>Cobrado total: 40.860 €</t>
  </si>
  <si>
    <t>Pagado total: 27.625 €</t>
  </si>
  <si>
    <t>DIF: 13.235 €  ·  Margen hist.: 32.4%</t>
  </si>
  <si>
    <t>Mejor mes: 2025-08 · 3.443 € · margen 43%</t>
  </si>
  <si>
    <t>Peor mes: 2024-11 · 1.197 € · margen 4%</t>
  </si>
  <si>
    <t>RESUMEN 2.0TD · 136 facturas · abril 2026 · Transactiva 2000 S.L.</t>
  </si>
  <si>
    <t>APROBAR ≥30% · REVISAR 20–30% · RECHAZAR &lt;20%. PC provisional (ámbar) → sustituir por real. Margen objetivo editable por factura en el Detalle.</t>
  </si>
  <si>
    <t>⚙ OPTIMIZAR (converge al objetivo · freno mejor mes) ▶</t>
  </si>
  <si>
    <t>Margen obj. ▶</t>
  </si>
  <si>
    <t>Ganancia ▶</t>
  </si>
  <si>
    <t>C02150</t>
  </si>
  <si>
    <t>FUNDACIÓN FSU PROGRAMAS INTERNACIO</t>
  </si>
  <si>
    <t>C02140</t>
  </si>
  <si>
    <t>C02130</t>
  </si>
  <si>
    <t>C02120</t>
  </si>
  <si>
    <t>C02110</t>
  </si>
  <si>
    <t>C02100</t>
  </si>
  <si>
    <t>C02090</t>
  </si>
  <si>
    <t>C02080</t>
  </si>
  <si>
    <t>C02060</t>
  </si>
  <si>
    <t>C02040</t>
  </si>
  <si>
    <t>C02030</t>
  </si>
  <si>
    <t>C02020</t>
  </si>
  <si>
    <t>C01970</t>
  </si>
  <si>
    <t>C01960</t>
  </si>
  <si>
    <t>C01400</t>
  </si>
  <si>
    <t>CHRISTOPH BLUME</t>
  </si>
  <si>
    <t>C02560</t>
  </si>
  <si>
    <t>PEDRO IVARS TRO 2018, S.L.</t>
  </si>
  <si>
    <t>C02680</t>
  </si>
  <si>
    <t>ALVARO DAVID OCHOA BIOSCA</t>
  </si>
  <si>
    <t>C00700</t>
  </si>
  <si>
    <t>ELEEN VELTHOVEN</t>
  </si>
  <si>
    <t>C01280</t>
  </si>
  <si>
    <t>Mª ISABEL HEVIA TENA</t>
  </si>
  <si>
    <t>C01990</t>
  </si>
  <si>
    <t>GERRIT JONGEJAN</t>
  </si>
  <si>
    <t>C03260</t>
  </si>
  <si>
    <t>MICHAL CUKAN</t>
  </si>
  <si>
    <t>C01140</t>
  </si>
  <si>
    <t>DESIRÉ ANNA GUSTAAF SCHUTTER</t>
  </si>
  <si>
    <t>C01350</t>
  </si>
  <si>
    <t>CORDULA PETERS</t>
  </si>
  <si>
    <t>C00060</t>
  </si>
  <si>
    <t>HV LUXO SA</t>
  </si>
  <si>
    <t>MANUEL GARCÍA DEL VALLE CARLOS-ROC</t>
  </si>
  <si>
    <t>C00040</t>
  </si>
  <si>
    <t>Mª ROSARIO ORTOLÁ FERRER</t>
  </si>
  <si>
    <t>C00050</t>
  </si>
  <si>
    <t>HELADOS ESPI</t>
  </si>
  <si>
    <t>C00100</t>
  </si>
  <si>
    <t>CRISTINA MARÍA FALCÓN ESCALONA</t>
  </si>
  <si>
    <t>C00120</t>
  </si>
  <si>
    <t>STEPHEN RICHARD ROBINSON</t>
  </si>
  <si>
    <t>C00130</t>
  </si>
  <si>
    <t>BIO JARDINSOSTENIBLE, S.L.U.</t>
  </si>
  <si>
    <t>C00270</t>
  </si>
  <si>
    <t>CLAUDE JOSÉ GOFFINET</t>
  </si>
  <si>
    <t>C00310</t>
  </si>
  <si>
    <t>MICHAEL BALMER</t>
  </si>
  <si>
    <t>C00410</t>
  </si>
  <si>
    <t>VALENTINA BARCA</t>
  </si>
  <si>
    <t>C00540</t>
  </si>
  <si>
    <t>PEDRO CAÑADAS FERNANDEZ</t>
  </si>
  <si>
    <t>C00670</t>
  </si>
  <si>
    <t>CARLOS A. GAVILANES PAUCAR</t>
  </si>
  <si>
    <t>C00780</t>
  </si>
  <si>
    <t>MONTGO SEGURIDAD, S.L.</t>
  </si>
  <si>
    <t>C00820</t>
  </si>
  <si>
    <t>JAIME VIVES LADRÓN DE GUEVARA</t>
  </si>
  <si>
    <t>C00910</t>
  </si>
  <si>
    <t>PATRICE HERNEST HECQ</t>
  </si>
  <si>
    <t>C00940</t>
  </si>
  <si>
    <t>ANDRE DOUTREVAL</t>
  </si>
  <si>
    <t>C01150</t>
  </si>
  <si>
    <t>ARIE PETER PETRI</t>
  </si>
  <si>
    <t>C01160</t>
  </si>
  <si>
    <t>DEBORAH LEFFELAAR</t>
  </si>
  <si>
    <t>C01190</t>
  </si>
  <si>
    <t>BART VAN OERLE JOZEF J.</t>
  </si>
  <si>
    <t>C01250</t>
  </si>
  <si>
    <t>DANIELLE B. PAULI</t>
  </si>
  <si>
    <t>C01330</t>
  </si>
  <si>
    <t>ULF BALZER</t>
  </si>
  <si>
    <t>C01390</t>
  </si>
  <si>
    <t>DANIEL DE WIT</t>
  </si>
  <si>
    <t>C01420</t>
  </si>
  <si>
    <t>JAIME VIVES</t>
  </si>
  <si>
    <t>C01440</t>
  </si>
  <si>
    <t>VICENTE BAS ALENTADO</t>
  </si>
  <si>
    <t>C01460</t>
  </si>
  <si>
    <t>MARCUS JOHANNES MULLER</t>
  </si>
  <si>
    <t>C01470</t>
  </si>
  <si>
    <t>LIEUWE KOOPMANS</t>
  </si>
  <si>
    <t>C01490</t>
  </si>
  <si>
    <t>JOSE EDUARDO BAYONA SOTOS</t>
  </si>
  <si>
    <t>C01530</t>
  </si>
  <si>
    <t>JUAN POCH FERNANDEZ</t>
  </si>
  <si>
    <t>C01540</t>
  </si>
  <si>
    <t>FORN MONICA S L</t>
  </si>
  <si>
    <t>C01570</t>
  </si>
  <si>
    <t>FRANCISCO MULA ROBERTO</t>
  </si>
  <si>
    <t>C01600</t>
  </si>
  <si>
    <t>HAFELI BRIGITTE</t>
  </si>
  <si>
    <t>C01620</t>
  </si>
  <si>
    <t>MIA EDELTRUDIS JOSEPHINA ZANTMAN</t>
  </si>
  <si>
    <t>C01660</t>
  </si>
  <si>
    <t>LIEUWE KOOPMANS (2)</t>
  </si>
  <si>
    <t>C01670</t>
  </si>
  <si>
    <t>COCKTAIL BAR AYAHUMA</t>
  </si>
  <si>
    <t>C01720</t>
  </si>
  <si>
    <t>AHMED DAHMAN</t>
  </si>
  <si>
    <t>C01730</t>
  </si>
  <si>
    <t>LORENA ROCIO PAUCAR LÓPEZ</t>
  </si>
  <si>
    <t>C01800</t>
  </si>
  <si>
    <t>ROY SCHOLTEN</t>
  </si>
  <si>
    <t>C01850</t>
  </si>
  <si>
    <t>GUILLERMO CHOLBI SART</t>
  </si>
  <si>
    <t>C01860</t>
  </si>
  <si>
    <t>C01870</t>
  </si>
  <si>
    <t>C01880</t>
  </si>
  <si>
    <t>C02160</t>
  </si>
  <si>
    <t>CASA LILI SL (V)</t>
  </si>
  <si>
    <t>C02190</t>
  </si>
  <si>
    <t>TAIRÉ VERA</t>
  </si>
  <si>
    <t>C02240</t>
  </si>
  <si>
    <t>SANDRA GONZALEZ LECHUGA</t>
  </si>
  <si>
    <t>C02340</t>
  </si>
  <si>
    <t>PRISCILA WELTER CARRASCO</t>
  </si>
  <si>
    <t>C02350</t>
  </si>
  <si>
    <t>YANIS DAHIANA JIMENEZ JIMENEZ</t>
  </si>
  <si>
    <t>C02380</t>
  </si>
  <si>
    <t>FORMATGES MÓNICA</t>
  </si>
  <si>
    <t>C02400</t>
  </si>
  <si>
    <t>MARUJA CHOLBI PUIG</t>
  </si>
  <si>
    <t>C02420</t>
  </si>
  <si>
    <t>KHALID EL JEBLI</t>
  </si>
  <si>
    <t>C02470</t>
  </si>
  <si>
    <t>TALLER SENDRA CUELLO, S.L.</t>
  </si>
  <si>
    <t>C02510</t>
  </si>
  <si>
    <t>ANTONIO LLIDO ESPASA</t>
  </si>
  <si>
    <t>C02530</t>
  </si>
  <si>
    <t>JUAN SANCHEZ RONDA</t>
  </si>
  <si>
    <t>C02540</t>
  </si>
  <si>
    <t>TERESA MENGUAL ALBEROLA</t>
  </si>
  <si>
    <t>C02610</t>
  </si>
  <si>
    <t>VEHICULOS ANDRADA, S.L.</t>
  </si>
  <si>
    <t>C02630</t>
  </si>
  <si>
    <t>AUTOCENTER MARINA ALTA S.L.</t>
  </si>
  <si>
    <t>C02640</t>
  </si>
  <si>
    <t>JUAN CARLOS HERNANDEZ MELERO</t>
  </si>
  <si>
    <t>C02710</t>
  </si>
  <si>
    <t>CASA LILI S.L. AUTOS (EXPOSICIÓN)</t>
  </si>
  <si>
    <t>C02740</t>
  </si>
  <si>
    <t>FRANCISCO DANIEL GUIJARRO ORTEGA</t>
  </si>
  <si>
    <t>C02760</t>
  </si>
  <si>
    <t>ISABEL RAMIREZ CAPDEVILA</t>
  </si>
  <si>
    <t>C02780</t>
  </si>
  <si>
    <t>MARIA PILAR CATALA SANTAMARIA</t>
  </si>
  <si>
    <t>C02800</t>
  </si>
  <si>
    <t>ABDESLAM LAMRANI</t>
  </si>
  <si>
    <t>Iberdrola</t>
  </si>
  <si>
    <t>C02820</t>
  </si>
  <si>
    <t>C02840</t>
  </si>
  <si>
    <t>C02860</t>
  </si>
  <si>
    <t>SALVADOR TORRES BISQUERT</t>
  </si>
  <si>
    <t>C02920</t>
  </si>
  <si>
    <t>JAKUB JAN PICHOLA</t>
  </si>
  <si>
    <t>C02930</t>
  </si>
  <si>
    <t>UWE HEINZ WERNER SCHMUCK</t>
  </si>
  <si>
    <t>C02950</t>
  </si>
  <si>
    <t>TALLERES MARTINEZ JAVEA, S.L.</t>
  </si>
  <si>
    <t>C02960</t>
  </si>
  <si>
    <t>FRANK CLEMENT</t>
  </si>
  <si>
    <t>C02970</t>
  </si>
  <si>
    <t>SARA HERMINA NIJENHUIJS GREVE</t>
  </si>
  <si>
    <t>C02990</t>
  </si>
  <si>
    <t>AMARE BOTEGA SL</t>
  </si>
  <si>
    <t>C03030</t>
  </si>
  <si>
    <t>JUAN MANUEL CAMACHO GONZALEZ</t>
  </si>
  <si>
    <t>C03040</t>
  </si>
  <si>
    <t>C03050</t>
  </si>
  <si>
    <t>JAN ANDERS ANSEHN</t>
  </si>
  <si>
    <t>C03060</t>
  </si>
  <si>
    <t>MARIA TERESA PONS DEVESA</t>
  </si>
  <si>
    <t>C03070</t>
  </si>
  <si>
    <t>CONGLI WANG</t>
  </si>
  <si>
    <t>C03110</t>
  </si>
  <si>
    <t>RUBÉN CAMACHO PATRICIO</t>
  </si>
  <si>
    <t>C03130</t>
  </si>
  <si>
    <t>MARCELLO RAUCCI</t>
  </si>
  <si>
    <t>C03170</t>
  </si>
  <si>
    <t>THOMAS CHRISTIAAN GREVE</t>
  </si>
  <si>
    <t>C03180</t>
  </si>
  <si>
    <t>LERWIN SANTIAGO AVENDAÑO ANDRADE</t>
  </si>
  <si>
    <t>C03190</t>
  </si>
  <si>
    <t>2 HANDS FULL S.L</t>
  </si>
  <si>
    <t>C03210</t>
  </si>
  <si>
    <t>VLADIMIR KREMPASKY</t>
  </si>
  <si>
    <t>C03220</t>
  </si>
  <si>
    <t>EVA ROHRMAN MADOVA</t>
  </si>
  <si>
    <t>C03230</t>
  </si>
  <si>
    <t>OLDRICH PETRAS</t>
  </si>
  <si>
    <t>C03240</t>
  </si>
  <si>
    <t>SPAINLIFE AND HOUSES S.L.</t>
  </si>
  <si>
    <t>C03250</t>
  </si>
  <si>
    <t>C03280</t>
  </si>
  <si>
    <t>SOPHIA ROSE WADLE</t>
  </si>
  <si>
    <t>C03300</t>
  </si>
  <si>
    <t>COMPASS IBERICA 2007 SL</t>
  </si>
  <si>
    <t>C03310</t>
  </si>
  <si>
    <t>AMANDA APARICI MARTINEZ</t>
  </si>
  <si>
    <t>C03320</t>
  </si>
  <si>
    <t>ELISABETH M. PAREDES DE QUINTERO</t>
  </si>
  <si>
    <t>C03330</t>
  </si>
  <si>
    <t>MARIA SOLEDAD ANSOLA ESTRADA</t>
  </si>
  <si>
    <t>C03340</t>
  </si>
  <si>
    <t>CRISTIAN DAVID BETANCUR BARRERA</t>
  </si>
  <si>
    <t>C03350</t>
  </si>
  <si>
    <t>SARA BARBERA SOLA</t>
  </si>
  <si>
    <t>C03360</t>
  </si>
  <si>
    <t>CBDSROLL,S.L.</t>
  </si>
  <si>
    <t>C03380</t>
  </si>
  <si>
    <t>C03390</t>
  </si>
  <si>
    <t>MAGDALENA ORTOLÁ FERRER</t>
  </si>
  <si>
    <t>C03400</t>
  </si>
  <si>
    <t>ZISKO SLAVOMIR</t>
  </si>
  <si>
    <t>C03430</t>
  </si>
  <si>
    <t>MARIA DEL MAR FERRANDO GUILLEM</t>
  </si>
  <si>
    <t>C03440</t>
  </si>
  <si>
    <t>DIEGO BARQUERO PEREZ</t>
  </si>
  <si>
    <t>C03450</t>
  </si>
  <si>
    <t>RADEK ERBEN</t>
  </si>
  <si>
    <t>C03460</t>
  </si>
  <si>
    <t>SILVIA KREMPASKA</t>
  </si>
  <si>
    <t>C03470</t>
  </si>
  <si>
    <t>C03480</t>
  </si>
  <si>
    <t>MICHAL GLOSIK</t>
  </si>
  <si>
    <t>C00760</t>
  </si>
  <si>
    <t>VALIDACIÓN FACTURAS 2.0TD · abril 2026 · Transactiva 2000 S.L.   (Días = solo potencia/alquiler/bono · PC ámbar editable · margen objetivo editable por factura)</t>
  </si>
  <si>
    <t>Factura 8550 · C02150 · FUNDACIÓN FSU PROGRAMAS INTERNACIONALES</t>
  </si>
  <si>
    <t>ES0021000020111640FT · Naturgy</t>
  </si>
  <si>
    <t>a</t>
  </si>
  <si>
    <t>MES ANTERIOR · Fact.6304</t>
  </si>
  <si>
    <t>AÑO ANTERIOR · Fact.4583</t>
  </si>
  <si>
    <t>Cobrado total: 2.436 €</t>
  </si>
  <si>
    <t>Pagado total: 1.753 €</t>
  </si>
  <si>
    <t>DIF: 682 €   ·   Margen hist.: 28.0%</t>
  </si>
  <si>
    <t>Mejor mes: 2024-09 · 526 € · margen 197%</t>
  </si>
  <si>
    <t>P1 Energía</t>
  </si>
  <si>
    <t>Margen objetivo (edita % aquí) ▶</t>
  </si>
  <si>
    <t>Peor mes: 2024-08 · 66 € · margen 66%</t>
  </si>
  <si>
    <t>P2 Energía</t>
  </si>
  <si>
    <t>Cant. P1/P2/P3 energía suben</t>
  </si>
  <si>
    <t>Importe mensual cobrado (€) · 24 meses ▾</t>
  </si>
  <si>
    <t>P3 Energía</t>
  </si>
  <si>
    <t>en proporción para ese margen</t>
  </si>
  <si>
    <t>Factura 8551 · C02140 · FUNDACIÓN FSU PROGRAMAS INTERNACIONALES</t>
  </si>
  <si>
    <t>ES0021000008997145KW · Naturgy</t>
  </si>
  <si>
    <t>MES ANTERIOR · Fact.6308</t>
  </si>
  <si>
    <t>AÑO ANTERIOR · Fact.4584</t>
  </si>
  <si>
    <t>Cobrado total: 2.120 €</t>
  </si>
  <si>
    <t>Pagado total: 1.617 €</t>
  </si>
  <si>
    <t>DIF: 503 €   ·   Margen hist.: 23.7%</t>
  </si>
  <si>
    <t>Mejor mes: 2024-07 · 345 € · margen 79%</t>
  </si>
  <si>
    <t>Peor mes: 2024-08 · 84 € · margen 37%</t>
  </si>
  <si>
    <t>Factura 8552 · C02130 · FUNDACIÓN FSU PROGRAMAS INTERNACIONALES</t>
  </si>
  <si>
    <t>ES0021000012268833JD · Naturgy</t>
  </si>
  <si>
    <t>MES ANTERIOR · Fact.6311</t>
  </si>
  <si>
    <t>AÑO ANTERIOR · Fact.4585</t>
  </si>
  <si>
    <t>Cobrado total: 3.194 €</t>
  </si>
  <si>
    <t>Pagado total: 2.235 €</t>
  </si>
  <si>
    <t>DIF: 960 €   ·   Margen hist.: 30.0%</t>
  </si>
  <si>
    <t>Mejor mes: 2024-07 · 613 € · margen 71%</t>
  </si>
  <si>
    <t>Peor mes: 2024-08 · 129 € · margen 25%</t>
  </si>
  <si>
    <t>Factura 8553 · C02120 · FUNDACIÓN FSU PROGRAMAS INTERNACIONALES</t>
  </si>
  <si>
    <t>ES0021000012268831JF · Naturgy</t>
  </si>
  <si>
    <t>MES ANTERIOR · Fact.6314</t>
  </si>
  <si>
    <t>AÑO ANTERIOR · Fact.4586</t>
  </si>
  <si>
    <t>Cobrado total: 2.606 €</t>
  </si>
  <si>
    <t>Pagado total: 1.842 €</t>
  </si>
  <si>
    <t>DIF: 764 €   ·   Margen hist.: 29.3%</t>
  </si>
  <si>
    <t>Mejor mes: 2024-07 · 518 € · margen 75%</t>
  </si>
  <si>
    <t>Peor mes: 2024-08 · 116 € · margen 27%</t>
  </si>
  <si>
    <t>Factura 8554 · C02110 · FUNDACIÓN FSU PROGRAMAS INTERNACIONALES</t>
  </si>
  <si>
    <t>ES0021000012268829JM · Naturgy</t>
  </si>
  <si>
    <t>MES ANTERIOR · Fact.6312</t>
  </si>
  <si>
    <t>AÑO ANTERIOR · Fact.4587</t>
  </si>
  <si>
    <t>Cobrado total: 5.249 €</t>
  </si>
  <si>
    <t>Pagado total: 3.622 €</t>
  </si>
  <si>
    <t>DIF: 1.627 €   ·   Margen hist.: 31.0%</t>
  </si>
  <si>
    <t>Mejor mes: 2024-07 · 895 € · margen 66%</t>
  </si>
  <si>
    <t>Peor mes: 2024-11 · 187 € · margen 1%</t>
  </si>
  <si>
    <t>Factura 8555 · C02100 · FUNDACIÓN FSU PROGRAMAS INTERNACIONALES</t>
  </si>
  <si>
    <t>ES0021000012268826JW · Naturgy</t>
  </si>
  <si>
    <t>MES ANTERIOR · Fact.6313</t>
  </si>
  <si>
    <t>AÑO ANTERIOR · Fact.4588</t>
  </si>
  <si>
    <t>Cobrado total: 1.842 €</t>
  </si>
  <si>
    <t>Pagado total: 1.285 €</t>
  </si>
  <si>
    <t>DIF: 557 €   ·   Margen hist.: 30.2%</t>
  </si>
  <si>
    <t>Mejor mes: 2024-07 · 336 € · margen 67%</t>
  </si>
  <si>
    <t>Peor mes: 2024-11 · 76 € · margen -7%</t>
  </si>
  <si>
    <t>Factura 8556 · C02090 · FUNDACIÓN FSU PROGRAMAS INTERNACIONALES</t>
  </si>
  <si>
    <t>ES0021000012268828JG · Naturgy</t>
  </si>
  <si>
    <t>MES ANTERIOR · Fact.6306</t>
  </si>
  <si>
    <t>AÑO ANTERIOR · Fact.4589</t>
  </si>
  <si>
    <t>Cobrado total: 2.954 €</t>
  </si>
  <si>
    <t>Pagado total: 2.099 €</t>
  </si>
  <si>
    <t>DIF: 855 €   ·   Margen hist.: 28.9%</t>
  </si>
  <si>
    <t>Mejor mes: 2024-07 · 599 € · margen 71%</t>
  </si>
  <si>
    <t>Peor mes: 2024-11 · 92 € · margen -67%</t>
  </si>
  <si>
    <t>Factura 8557 · C02080 · FUNDACIÓN FSU PROGRAMAS INTERNACIONALES</t>
  </si>
  <si>
    <t>ES0021000012268825JR · Naturgy</t>
  </si>
  <si>
    <t>MES ANTERIOR · Fact.6303</t>
  </si>
  <si>
    <t>AÑO ANTERIOR · Fact.4590</t>
  </si>
  <si>
    <t>Factura 8558 · C02060 · FUNDACIÓN FSU PROGRAMAS INTERNACIONALES</t>
  </si>
  <si>
    <t>ES0021000008997147KG · Naturgy</t>
  </si>
  <si>
    <t>MES ANTERIOR · Fact.6307</t>
  </si>
  <si>
    <t>AÑO ANTERIOR · Fact.4591</t>
  </si>
  <si>
    <t>Cobrado total: 3.233 €</t>
  </si>
  <si>
    <t>Pagado total: 2.286 €</t>
  </si>
  <si>
    <t>DIF: 947 €   ·   Margen hist.: 29.3%</t>
  </si>
  <si>
    <t>Mejor mes: 2024-06 · 504 € · margen 58%</t>
  </si>
  <si>
    <t>Peor mes: 2024-08 · 71 € · margen 50%</t>
  </si>
  <si>
    <t>Factura 8559 · C02040 · FUNDACIÓN FSU PROGRAMAS INTERNACIONALES</t>
  </si>
  <si>
    <t>ES0021000009023658TL · Naturgy</t>
  </si>
  <si>
    <t>MES ANTERIOR · Fact.6315</t>
  </si>
  <si>
    <t>AÑO ANTERIOR · Fact.4592</t>
  </si>
  <si>
    <t>Cobrado total: 990 €</t>
  </si>
  <si>
    <t>Pagado total: 662 €</t>
  </si>
  <si>
    <t>DIF: 328 €   ·   Margen hist.: 33.1%</t>
  </si>
  <si>
    <t>Mejor mes: 2024-07 · 195 € · margen 65%</t>
  </si>
  <si>
    <t>Peor mes: 2024-08 · 59 € · margen 12%</t>
  </si>
  <si>
    <t>Factura 8560 · C02030 · FUNDACIÓN FSU PROGRAMAS INTERNACIONALES</t>
  </si>
  <si>
    <t>ES0021000009023659TC · Naturgy</t>
  </si>
  <si>
    <t>MES ANTERIOR · Fact.6309</t>
  </si>
  <si>
    <t>AÑO ANTERIOR · Fact.4593</t>
  </si>
  <si>
    <t>Cobrado total: 837 €</t>
  </si>
  <si>
    <t>Pagado total: 629 €</t>
  </si>
  <si>
    <t>DIF: 208 €   ·   Margen hist.: 24.8%</t>
  </si>
  <si>
    <t>Mejor mes: 2024-06 · 143 € · margen 50%</t>
  </si>
  <si>
    <t>Peor mes: 2024-11 · 53 € · margen 7%</t>
  </si>
  <si>
    <t>Factura 8561 · C02020 · FUNDACIÓN FSU PROGRAMAS INTERNACIONALES</t>
  </si>
  <si>
    <t>ES0021000008997146KA · Naturgy</t>
  </si>
  <si>
    <t>MES ANTERIOR · Fact.6310</t>
  </si>
  <si>
    <t>AÑO ANTERIOR · Fact.4594</t>
  </si>
  <si>
    <t>Cobrado total: 3.103 €</t>
  </si>
  <si>
    <t>Pagado total: 2.178 €</t>
  </si>
  <si>
    <t>DIF: 925 €   ·   Margen hist.: 29.8%</t>
  </si>
  <si>
    <t>Mejor mes: 2024-07 · 580 € · margen 83%</t>
  </si>
  <si>
    <t>Peor mes: 2024-08 · 117 € · margen 38%</t>
  </si>
  <si>
    <t>Factura 8562 · C01970 · FUNDACIÓN FSU PROGRAMAS INTERNACIONALES</t>
  </si>
  <si>
    <t>ES0021000020111637YC · Naturgy</t>
  </si>
  <si>
    <t>MES ANTERIOR · Fact.6305</t>
  </si>
  <si>
    <t>AÑO ANTERIOR · Fact.4596</t>
  </si>
  <si>
    <t>Cobrado total: 2.843 €</t>
  </si>
  <si>
    <t>Pagado total: 2.004 €</t>
  </si>
  <si>
    <t>DIF: 839 €   ·   Margen hist.: 29.5%</t>
  </si>
  <si>
    <t>Mejor mes: 2024-09 · 476 € · margen 184%</t>
  </si>
  <si>
    <t>Peor mes: 2024-08 · 75 € · margen 47%</t>
  </si>
  <si>
    <t>Factura 8563 · C01960 · FUNDACIÓN FSU PROGRAMAS INTERNACIONALES</t>
  </si>
  <si>
    <t>ES0021000020111638YK · Naturgy</t>
  </si>
  <si>
    <t>MES ANTERIOR · Fact.6301</t>
  </si>
  <si>
    <t>AÑO ANTERIOR · Fact.4597</t>
  </si>
  <si>
    <t>Cobrado total: 3.731 €</t>
  </si>
  <si>
    <t>Pagado total: 2.535 €</t>
  </si>
  <si>
    <t>DIF: 1.196 €   ·   Margen hist.: 32.1%</t>
  </si>
  <si>
    <t>Mejor mes: 2024-07 · 597 € · margen 324%</t>
  </si>
  <si>
    <t>Peor mes: 2024-08 · 83 € · margen 12%</t>
  </si>
  <si>
    <t>Factura 8568 · C01400 · CHRISTOPH BLUME</t>
  </si>
  <si>
    <t>ES0021000001274226LT · Naturgy</t>
  </si>
  <si>
    <t>MES ANTERIOR · Fact.6421</t>
  </si>
  <si>
    <t>AÑO ANTERIOR · Fact.4625</t>
  </si>
  <si>
    <t>Cobrado total: 2.281 €</t>
  </si>
  <si>
    <t>Pagado total: 1.589 €</t>
  </si>
  <si>
    <t>DIF: 691 €   ·   Margen hist.: 30.3%</t>
  </si>
  <si>
    <t>Mejor mes: 2024-12 · 237 € · margen 32%</t>
  </si>
  <si>
    <t>Peor mes: 2023-07 · 20 € · margen 55%</t>
  </si>
  <si>
    <t>☀ EXCEDENTES SOLARES (kWh vertidos reales)</t>
  </si>
  <si>
    <t>kWh</t>
  </si>
  <si>
    <t>€/kWh compra</t>
  </si>
  <si>
    <t>€/kWh venta</t>
  </si>
  <si>
    <t>Compra excedentes (vertido red)</t>
  </si>
  <si>
    <t>Venta cliente (saldo batería, 1043)</t>
  </si>
  <si>
    <t>NETO Transactiva (compra − venta)</t>
  </si>
  <si>
    <t>Factura 8569 · C02560 · PEDRO IVARS TRO 2018, S.L.</t>
  </si>
  <si>
    <t>ES0021000000959128GW · Naturgy</t>
  </si>
  <si>
    <t>MES ANTERIOR · Fact.6376</t>
  </si>
  <si>
    <t>AÑO ANTERIOR · Fact.4564</t>
  </si>
  <si>
    <t>Cobrado total: 453 €</t>
  </si>
  <si>
    <t>Pagado total: 293 €</t>
  </si>
  <si>
    <t>DIF: 160 €   ·   Margen hist.: 35.4%</t>
  </si>
  <si>
    <t>Mejor mes: 2024-12 · 291 € · margen 24%</t>
  </si>
  <si>
    <t>Peor mes: 2024-11 · 160 € · margen 56%</t>
  </si>
  <si>
    <t>Factura 8570 · C02680 · ALVARO DAVID OCHOA BIOSCA</t>
  </si>
  <si>
    <t>ES0021000001213790JP · Naturgy</t>
  </si>
  <si>
    <t>MES ANTERIOR · Fact.6369</t>
  </si>
  <si>
    <t>AÑO ANTERIOR · Fact.4557</t>
  </si>
  <si>
    <t>Cobrado total: 3 €</t>
  </si>
  <si>
    <t>Pagado total: 0 €</t>
  </si>
  <si>
    <t>DIF: 3 €   ·   Margen hist.: 100.0%</t>
  </si>
  <si>
    <t>Factura 8571 · C00700 · ELEEN VELTHOVEN</t>
  </si>
  <si>
    <t>ES0021000000824899XR · Naturgy</t>
  </si>
  <si>
    <t>MES ANTERIOR · Fact.6446</t>
  </si>
  <si>
    <t>AÑO ANTERIOR · Fact.4650</t>
  </si>
  <si>
    <t>Cobrado total: 1.674 €</t>
  </si>
  <si>
    <t>Pagado total: 1.341 €</t>
  </si>
  <si>
    <t>DIF: 333 €   ·   Margen hist.: 19.9%</t>
  </si>
  <si>
    <t>Mejor mes: 2023-01 · 124 € · margen 41%</t>
  </si>
  <si>
    <t>Peor mes: 2024-05 · 25 € · margen 36%</t>
  </si>
  <si>
    <t>Factura 8572 · C01280 · Mª ISABEL HEVIA TENA</t>
  </si>
  <si>
    <t>ES0021000000820395KM · Naturgy</t>
  </si>
  <si>
    <t>MES ANTERIOR · Fact.6427</t>
  </si>
  <si>
    <t>AÑO ANTERIOR · Fact.4631</t>
  </si>
  <si>
    <t>Cobrado total: 2.373 €</t>
  </si>
  <si>
    <t>Pagado total: 1.643 €</t>
  </si>
  <si>
    <t>DIF: 730 €   ·   Margen hist.: 30.8%</t>
  </si>
  <si>
    <t>Mejor mes: 2023-08 · 212 € · margen 14%</t>
  </si>
  <si>
    <t>Peor mes: 2023-04 · 27 € · margen 0%</t>
  </si>
  <si>
    <t>Factura 8573 · C01990 · GERRIT JONGEJAN</t>
  </si>
  <si>
    <t>ES0021000000821181DD · Naturgy</t>
  </si>
  <si>
    <t>MES ANTERIOR · Fact.6393</t>
  </si>
  <si>
    <t>AÑO ANTERIOR · Fact.4595</t>
  </si>
  <si>
    <t>Cobrado total: 609 €</t>
  </si>
  <si>
    <t>Pagado total: 577 €</t>
  </si>
  <si>
    <t>DIF: 33 €   ·   Margen hist.: 5.4%</t>
  </si>
  <si>
    <t>Mejor mes: 2024-08 · 162 € · margen 90%</t>
  </si>
  <si>
    <t>Peor mes: 2024-02 · 12 €</t>
  </si>
  <si>
    <t>Factura 8574 · C03260 · MICHAL CUKAN</t>
  </si>
  <si>
    <t>ES0021000042994597FG · Naturgy</t>
  </si>
  <si>
    <t>MES ANTERIOR · Fact.6332</t>
  </si>
  <si>
    <t>AÑO ANTERIOR · (sin dato)</t>
  </si>
  <si>
    <t>Cobrado total: 1 €</t>
  </si>
  <si>
    <t>DIF: 1 €   ·   Margen hist.: 100.0%</t>
  </si>
  <si>
    <t>Factura 8575 · C01140 · DESIRÉ ANNA GUSTAAF SCHUTTER</t>
  </si>
  <si>
    <t>ES0021000000845315TQ · Naturgy</t>
  </si>
  <si>
    <t>MES ANTERIOR · Fact.6434</t>
  </si>
  <si>
    <t>AÑO ANTERIOR · Fact.4637</t>
  </si>
  <si>
    <t>Cobrado total: 1.317 €</t>
  </si>
  <si>
    <t>Pagado total: 980 €</t>
  </si>
  <si>
    <t>DIF: 336 €   ·   Margen hist.: 25.6%</t>
  </si>
  <si>
    <t>Mejor mes: 2023-02 · 128 € · margen 45%</t>
  </si>
  <si>
    <t>Peor mes: 2024-07 · 17 €</t>
  </si>
  <si>
    <t>Factura 8579 · C01350 · CORDULA PETERS</t>
  </si>
  <si>
    <t>ES0021000000841859BX · Naturgy</t>
  </si>
  <si>
    <t>MES ANTERIOR · Fact.6423</t>
  </si>
  <si>
    <t>AÑO ANTERIOR · Fact.4627</t>
  </si>
  <si>
    <t>Cobrado total: 639 €</t>
  </si>
  <si>
    <t>Pagado total: 638 €</t>
  </si>
  <si>
    <t>DIF: 0 €   ·   Margen hist.: 0.0%</t>
  </si>
  <si>
    <t>Mejor mes: 2024-01 · 68 € · margen 55%</t>
  </si>
  <si>
    <t>Peor mes: 2024-06 · 3 € · margen 93%</t>
  </si>
  <si>
    <t>Factura 8580 · C00060 · HV LUXO SA</t>
  </si>
  <si>
    <t>ES0021000001208122LK · Naturgy</t>
  </si>
  <si>
    <t>MES ANTERIOR · Fact.6461</t>
  </si>
  <si>
    <t>AÑO ANTERIOR · Fact.4663</t>
  </si>
  <si>
    <t>Cobrado total: 1.556 €</t>
  </si>
  <si>
    <t>Pagado total: 821 €</t>
  </si>
  <si>
    <t>DIF: 736 €   ·   Margen hist.: 47.3%</t>
  </si>
  <si>
    <t>Mejor mes: 2023-10 · 202 € · margen 56%</t>
  </si>
  <si>
    <t>Peor mes: 2024-06 · 7 € · margen 81%</t>
  </si>
  <si>
    <t>Factura 8581 ·  · MANUEL GARCÍA DEL VALLE CARLOS-ROCA</t>
  </si>
  <si>
    <t>ES0022000007974829ZA · Naturgy</t>
  </si>
  <si>
    <t>MES ANTERIOR · Fact.6438</t>
  </si>
  <si>
    <t>AÑO ANTERIOR · Fact.4792</t>
  </si>
  <si>
    <t>Cobrado total: 3.463 €</t>
  </si>
  <si>
    <t>Pagado total: 2.847 €</t>
  </si>
  <si>
    <t>DIF: 616 €   ·   Margen hist.: 17.8%</t>
  </si>
  <si>
    <t>Mejor mes: 2024-11 · 243 € · margen 36%</t>
  </si>
  <si>
    <t>Peor mes: 2024-06 · 93 € · margen 16%</t>
  </si>
  <si>
    <t>Factura 8584 · C00040 · Mª ROSARIO ORTOLÁ FERRER</t>
  </si>
  <si>
    <t>ES0021000000827846TG · Naturgy</t>
  </si>
  <si>
    <t>MES ANTERIOR · Fact.6463</t>
  </si>
  <si>
    <t>AÑO ANTERIOR · Fact.4665</t>
  </si>
  <si>
    <t>Cobrado total: 10.841 €</t>
  </si>
  <si>
    <t>Pagado total: 6.963 €</t>
  </si>
  <si>
    <t>DIF: 3.878 €   ·   Margen hist.: 35.8%</t>
  </si>
  <si>
    <t>Mejor mes: 2023-07 · 768 € · margen 71%</t>
  </si>
  <si>
    <t>Peor mes: 2024-01 · 205 € · margen 30%</t>
  </si>
  <si>
    <t>⚠ periodo parcial 01-24abr</t>
  </si>
  <si>
    <t>Factura 8585 · C00050 · HELADOS ESPI</t>
  </si>
  <si>
    <t>ES0021000001210794KW · Naturgy</t>
  </si>
  <si>
    <t>MES ANTERIOR · Fact.6462</t>
  </si>
  <si>
    <t>AÑO ANTERIOR · Fact.4664</t>
  </si>
  <si>
    <t>Cobrado total: 5.331 €</t>
  </si>
  <si>
    <t>Pagado total: 3.726 €</t>
  </si>
  <si>
    <t>DIF: 1.605 €   ·   Margen hist.: 30.1%</t>
  </si>
  <si>
    <t>Mejor mes: 2023-08 · 751 € · margen 35%</t>
  </si>
  <si>
    <t>Peor mes: 2024-02 · 22 € · margen 35%</t>
  </si>
  <si>
    <t>Factura 8586 · C00060 · HV LUXO SA</t>
  </si>
  <si>
    <t>Factura 8588 · C00100 · CRISTINA MARÍA FALCÓN ESCALONA</t>
  </si>
  <si>
    <t>ES0021000001206049KH · Naturgy</t>
  </si>
  <si>
    <t>MES ANTERIOR · Fact.6459</t>
  </si>
  <si>
    <t>AÑO ANTERIOR · Fact.4662</t>
  </si>
  <si>
    <t>Cobrado total: 1.874 €</t>
  </si>
  <si>
    <t>Pagado total: 998 €</t>
  </si>
  <si>
    <t>DIF: 876 €   ·   Margen hist.: 46.8%</t>
  </si>
  <si>
    <t>Mejor mes: 2024-12 · 132 € · margen 42%</t>
  </si>
  <si>
    <t>Peor mes: 2023-08 · 56 € · margen 64%</t>
  </si>
  <si>
    <t>Factura 8589 · C00120 · STEPHEN RICHARD ROBINSON</t>
  </si>
  <si>
    <t>ES0021000021936589WZ · Naturgy</t>
  </si>
  <si>
    <t>MES ANTERIOR · Fact.6458</t>
  </si>
  <si>
    <t>AÑO ANTERIOR · Fact.4661</t>
  </si>
  <si>
    <t>Cobrado total: 3.583 €</t>
  </si>
  <si>
    <t>Pagado total: 2.438 €</t>
  </si>
  <si>
    <t>DIF: 1.146 €   ·   Margen hist.: 32.0%</t>
  </si>
  <si>
    <t>Mejor mes: 2023-04 · 276 € · margen 2977%</t>
  </si>
  <si>
    <t>Peor mes: 2024-08 · 60 € · margen 157%</t>
  </si>
  <si>
    <t>Factura 8590 · C00130 · BIO JARDINSOSTENIBLE, S.L.U.</t>
  </si>
  <si>
    <t>ES0021000001209135VE · Naturgy</t>
  </si>
  <si>
    <t>MES ANTERIOR · Fact.6457</t>
  </si>
  <si>
    <t>AÑO ANTERIOR · Fact.4660</t>
  </si>
  <si>
    <t>Cobrado total: 3.449 €</t>
  </si>
  <si>
    <t>Pagado total: 1.967 €</t>
  </si>
  <si>
    <t>DIF: 1.482 €   ·   Margen hist.: 43.0%</t>
  </si>
  <si>
    <t>Mejor mes: 2023-12 · 210 € · margen 51%</t>
  </si>
  <si>
    <t>Peor mes: 2023-03 · 84 € · margen 114%</t>
  </si>
  <si>
    <t>Factura 8593 · C00270 · CLAUDE JOSÉ GOFFINET</t>
  </si>
  <si>
    <t>ES0021000001208140CQ · Naturgy</t>
  </si>
  <si>
    <t>MES ANTERIOR · Fact.6454</t>
  </si>
  <si>
    <t>AÑO ANTERIOR · Fact.4657</t>
  </si>
  <si>
    <t>Cobrado total: 4.468 €</t>
  </si>
  <si>
    <t>Pagado total: 2.413 €</t>
  </si>
  <si>
    <t>DIF: 2.055 €   ·   Margen hist.: 46.0%</t>
  </si>
  <si>
    <t>Mejor mes: 2023-01 · 371 € · margen 75%</t>
  </si>
  <si>
    <t>Peor mes: 2023-04 · 67 € · margen 67%</t>
  </si>
  <si>
    <t>Factura 8594 · C00310 · MICHAEL BALMER</t>
  </si>
  <si>
    <t>ES0021000001498936ZT · Naturgy</t>
  </si>
  <si>
    <t>MES ANTERIOR · Fact.6453</t>
  </si>
  <si>
    <t>Cobrado total: 1.087 €</t>
  </si>
  <si>
    <t>Pagado total: 533 €</t>
  </si>
  <si>
    <t>DIF: 554 €   ·   Margen hist.: 51.0%</t>
  </si>
  <si>
    <t>Mejor mes: 2024-01 · 206 €</t>
  </si>
  <si>
    <t>Peor mes: 2023-02 · 23 € · margen 121%</t>
  </si>
  <si>
    <t>Factura 8597 · C00410 · VALENTINA BARCA</t>
  </si>
  <si>
    <t>ES0021000001215730MQ · Naturgy</t>
  </si>
  <si>
    <t>MES ANTERIOR · Fact.6450</t>
  </si>
  <si>
    <t>AÑO ANTERIOR · Fact.4654</t>
  </si>
  <si>
    <t>Cobrado total: 3.174 €</t>
  </si>
  <si>
    <t>Pagado total: 1.935 €</t>
  </si>
  <si>
    <t>DIF: 1.239 €   ·   Margen hist.: 39.0%</t>
  </si>
  <si>
    <t>Mejor mes: 2023-01 · 246 € · margen 73%</t>
  </si>
  <si>
    <t>Peor mes: 2024-05 · 74 € · margen 14%</t>
  </si>
  <si>
    <t>Factura 8599 · C00540 · PEDRO CAÑADAS FERNANDEZ</t>
  </si>
  <si>
    <t>ES0021000011666174FL · Naturgy</t>
  </si>
  <si>
    <t>MES ANTERIOR · Fact.6448</t>
  </si>
  <si>
    <t>AÑO ANTERIOR · Fact.4652</t>
  </si>
  <si>
    <t>Cobrado total: 910 €</t>
  </si>
  <si>
    <t>Pagado total: 648 €</t>
  </si>
  <si>
    <t>DIF: 263 €   ·   Margen hist.: 28.8%</t>
  </si>
  <si>
    <t>Mejor mes: 2024-04 · 48 € · margen 134%</t>
  </si>
  <si>
    <t>Peor mes: 2024-05 · 25 € · margen 4%</t>
  </si>
  <si>
    <t>Factura 8600 · C00670 · CARLOS A. GAVILANES PAUCAR</t>
  </si>
  <si>
    <t>ES0021000039192179PS · Naturgy</t>
  </si>
  <si>
    <t>MES ANTERIOR · Fact.6447</t>
  </si>
  <si>
    <t>AÑO ANTERIOR · Fact.4651</t>
  </si>
  <si>
    <t>Cobrado total: 5.027 €</t>
  </si>
  <si>
    <t>Pagado total: 2.840 €</t>
  </si>
  <si>
    <t>DIF: 2.188 €   ·   Margen hist.: 43.5%</t>
  </si>
  <si>
    <t>Mejor mes: 2023-07 · 263 € · margen 5340%</t>
  </si>
  <si>
    <t>Peor mes: 2023-11 · 157 € · margen 33%</t>
  </si>
  <si>
    <t>Factura 8601 · C00700 · ELEEN VELTHOVEN</t>
  </si>
  <si>
    <t>Factura 8604 · C00780 · MONTGO SEGURIDAD, S.L.</t>
  </si>
  <si>
    <t>ES0021000011513513VD · Naturgy</t>
  </si>
  <si>
    <t>MES ANTERIOR · Fact.6442</t>
  </si>
  <si>
    <t>AÑO ANTERIOR · Fact.4646</t>
  </si>
  <si>
    <t>Cobrado total: 1.104 €</t>
  </si>
  <si>
    <t>Pagado total: 1.002 €</t>
  </si>
  <si>
    <t>DIF: 101 €   ·   Margen hist.: 9.2%</t>
  </si>
  <si>
    <t>Mejor mes: 2023-08 · 149 € · margen 2%</t>
  </si>
  <si>
    <t>Peor mes: 2024-08 · 1 € · margen 97%</t>
  </si>
  <si>
    <t>Factura 8605 · C00820 · JAIME VIVES LADRÓN DE GUEVARA</t>
  </si>
  <si>
    <t>ES0021000013325188XC · Naturgy</t>
  </si>
  <si>
    <t>MES ANTERIOR · Fact.6441</t>
  </si>
  <si>
    <t>AÑO ANTERIOR · Fact.4645</t>
  </si>
  <si>
    <t>Cobrado total: 1.904 €</t>
  </si>
  <si>
    <t>Pagado total: 1.201 €</t>
  </si>
  <si>
    <t>DIF: 704 €   ·   Margen hist.: 37.0%</t>
  </si>
  <si>
    <t>Mejor mes: 2023-08 · 113 € · margen 34%</t>
  </si>
  <si>
    <t>Peor mes: 2023-04 · 27 € · margen 374%</t>
  </si>
  <si>
    <t>Factura 8606 · C00910 · PATRICE HERNEST HECQ</t>
  </si>
  <si>
    <t>ES0021000001218582ZQ · Naturgy</t>
  </si>
  <si>
    <t>MES ANTERIOR · Fact.6440</t>
  </si>
  <si>
    <t>AÑO ANTERIOR · Fact.4644</t>
  </si>
  <si>
    <t>Cobrado total: 1.467 €</t>
  </si>
  <si>
    <t>Pagado total: 784 €</t>
  </si>
  <si>
    <t>DIF: 682 €   ·   Margen hist.: 46.5%</t>
  </si>
  <si>
    <t>Mejor mes: 2023-08 · 128 € · margen 50%</t>
  </si>
  <si>
    <t>Peor mes: 2024-05 · 7 € · margen 81%</t>
  </si>
  <si>
    <t>Factura 8607 · C00940 · ANDRE DOUTREVAL</t>
  </si>
  <si>
    <t>ES0021000001199725EL · Naturgy</t>
  </si>
  <si>
    <t>MES ANTERIOR · Fact.6439</t>
  </si>
  <si>
    <t>AÑO ANTERIOR · Fact.4643</t>
  </si>
  <si>
    <t>Cobrado total: 2.318 €</t>
  </si>
  <si>
    <t>Pagado total: 1.174 €</t>
  </si>
  <si>
    <t>DIF: 1.144 €   ·   Margen hist.: 49.4%</t>
  </si>
  <si>
    <t>Mejor mes: 2024-01 · 268 € · margen 83%</t>
  </si>
  <si>
    <t>Peor mes: 2023-05 · 37 € · margen 3%</t>
  </si>
  <si>
    <t>Factura 8611 · C01140 · DESIRÉ ANNA GUSTAAF SCHUTTER</t>
  </si>
  <si>
    <t>Factura 8612 · C01150 · ARIE PETER PETRI</t>
  </si>
  <si>
    <t>ES0021000000825192EH · Naturgy</t>
  </si>
  <si>
    <t>MES ANTERIOR · Fact.6433</t>
  </si>
  <si>
    <t>AÑO ANTERIOR · Fact.4636</t>
  </si>
  <si>
    <t>Cobrado total: 2.947 €</t>
  </si>
  <si>
    <t>Pagado total: 1.849 €</t>
  </si>
  <si>
    <t>DIF: 1.098 €   ·   Margen hist.: 37.2%</t>
  </si>
  <si>
    <t>Mejor mes: 2024-12 · 417 € · margen 24%</t>
  </si>
  <si>
    <t>Peor mes: 2023-07 · 51 € · margen 41%</t>
  </si>
  <si>
    <t>Factura 8613 · C01160 · DEBORAH LEFFELAAR</t>
  </si>
  <si>
    <t>ES0021000011060321RD · Naturgy</t>
  </si>
  <si>
    <t>MES ANTERIOR · Fact.6432</t>
  </si>
  <si>
    <t>AÑO ANTERIOR · Fact.4635</t>
  </si>
  <si>
    <t>Cobrado total: 3.343 €</t>
  </si>
  <si>
    <t>Pagado total: 1.926 €</t>
  </si>
  <si>
    <t>DIF: 1.417 €   ·   Margen hist.: 42.4%</t>
  </si>
  <si>
    <t>Mejor mes: 2023-07 · 242 € · margen 30%</t>
  </si>
  <si>
    <t>Peor mes: 2024-05 · 75 € · margen 15%</t>
  </si>
  <si>
    <t>Factura 8614 · C01190 · BART VAN OERLE JOZEF J.</t>
  </si>
  <si>
    <t>ES0021000000829575YP · Naturgy</t>
  </si>
  <si>
    <t>MES ANTERIOR · Fact.6431</t>
  </si>
  <si>
    <t>AÑO ANTERIOR · Fact.5003</t>
  </si>
  <si>
    <t>Cobrado total: 755 €</t>
  </si>
  <si>
    <t>Pagado total: 511 €</t>
  </si>
  <si>
    <t>DIF: 244 €   ·   Margen hist.: 32.3%</t>
  </si>
  <si>
    <t>Mejor mes: 2024-08 · 68 € · margen 70%</t>
  </si>
  <si>
    <t>Peor mes: 2024-05 · 19 € · margen 50%</t>
  </si>
  <si>
    <t>Factura 8617 · C01250 · DANIELLE B. PAULI</t>
  </si>
  <si>
    <t>ES0021000000828326KR · Naturgy</t>
  </si>
  <si>
    <t>MES ANTERIOR · Fact.6428</t>
  </si>
  <si>
    <t>AÑO ANTERIOR · Fact.4632</t>
  </si>
  <si>
    <t>Cobrado total: 841 €</t>
  </si>
  <si>
    <t>Pagado total: 551 €</t>
  </si>
  <si>
    <t>DIF: 290 €   ·   Margen hist.: 34.4%</t>
  </si>
  <si>
    <t>Mejor mes: 2024-03 · 99 € · margen 152%</t>
  </si>
  <si>
    <t>Peor mes: 2023-11 · 1 € · margen 2134%</t>
  </si>
  <si>
    <t>Factura 8618 · C01280 · Mª ISABEL HEVIA TENA</t>
  </si>
  <si>
    <t>Factura 8620 · C01330 · ULF BALZER</t>
  </si>
  <si>
    <t>ES0021000000826123VY · Naturgy</t>
  </si>
  <si>
    <t>MES ANTERIOR · Fact.6424</t>
  </si>
  <si>
    <t>AÑO ANTERIOR · Fact.4628</t>
  </si>
  <si>
    <t>Cobrado total: 1.176 €</t>
  </si>
  <si>
    <t>Pagado total: 773 €</t>
  </si>
  <si>
    <t>DIF: 403 €   ·   Margen hist.: 34.2%</t>
  </si>
  <si>
    <t>Mejor mes: 2023-07 · 136 € · margen 33%</t>
  </si>
  <si>
    <t>Peor mes: 2024-11 · 27 € · margen 0%</t>
  </si>
  <si>
    <t>Factura 8621 · C01350 · CORDULA PETERS</t>
  </si>
  <si>
    <t>Factura 8622 · C01390 · DANIEL DE WIT</t>
  </si>
  <si>
    <t>ES0021000011984452TT · Naturgy</t>
  </si>
  <si>
    <t>MES ANTERIOR · Fact.6422</t>
  </si>
  <si>
    <t>AÑO ANTERIOR · Fact.4626</t>
  </si>
  <si>
    <t>Cobrado total: 4.239 €</t>
  </si>
  <si>
    <t>Pagado total: 2.913 €</t>
  </si>
  <si>
    <t>DIF: 1.326 €   ·   Margen hist.: 31.3%</t>
  </si>
  <si>
    <t>Mejor mes: 2023-07 · 471 € · margen 28%</t>
  </si>
  <si>
    <t>Peor mes: 2024-04 · 81 € · margen 53%</t>
  </si>
  <si>
    <t>Factura 8623 · C01400 · CHRISTOPH BLUME</t>
  </si>
  <si>
    <t>Factura 8624 · C01420 · JAIME VIVES</t>
  </si>
  <si>
    <t>ES0021000001200654VM · Naturgy</t>
  </si>
  <si>
    <t>MES ANTERIOR · Fact.6420</t>
  </si>
  <si>
    <t>AÑO ANTERIOR · Fact.4624</t>
  </si>
  <si>
    <t>Cobrado total: 3.220 €</t>
  </si>
  <si>
    <t>Pagado total: 2.347 €</t>
  </si>
  <si>
    <t>DIF: 873 €   ·   Margen hist.: 27.1%</t>
  </si>
  <si>
    <t>Mejor mes: 2023-08 · 276 € · margen 7%</t>
  </si>
  <si>
    <t>Peor mes: 2023-05 · 39 € · margen 49%</t>
  </si>
  <si>
    <t>Factura 8625 · C01440 · VICENTE BAS ALENTADO</t>
  </si>
  <si>
    <t>ES0021000011331851PR · Naturgy</t>
  </si>
  <si>
    <t>MES ANTERIOR · Fact.6419</t>
  </si>
  <si>
    <t>AÑO ANTERIOR · Fact.4623</t>
  </si>
  <si>
    <t>Cobrado total: 1.841 €</t>
  </si>
  <si>
    <t>Pagado total: 1.299 €</t>
  </si>
  <si>
    <t>DIF: 542 €   ·   Margen hist.: 29.4%</t>
  </si>
  <si>
    <t>Mejor mes: 2023-08 · 135 €</t>
  </si>
  <si>
    <t>Peor mes: 2024-10 · 72 € · margen 16%</t>
  </si>
  <si>
    <t>Factura 8626 · C01460 · MARCUS JOHANNES MULLER</t>
  </si>
  <si>
    <t>ES0021000001504069FG · Naturgy</t>
  </si>
  <si>
    <t>MES ANTERIOR · Fact.6418</t>
  </si>
  <si>
    <t>AÑO ANTERIOR · Fact.4621</t>
  </si>
  <si>
    <t>Cobrado total: 937 €</t>
  </si>
  <si>
    <t>Pagado total: 857 €</t>
  </si>
  <si>
    <t>DIF: 80 €   ·   Margen hist.: 8.6%</t>
  </si>
  <si>
    <t>Mejor mes: 2024-10 · 93 € · margen 36%</t>
  </si>
  <si>
    <t>Peor mes: 2024-07 · 8 €</t>
  </si>
  <si>
    <t>Factura 8627 · C01470 · LIEUWE KOOPMANS</t>
  </si>
  <si>
    <t>ES0021000000845404GJ · Naturgy</t>
  </si>
  <si>
    <t>MES ANTERIOR · Fact.6417</t>
  </si>
  <si>
    <t>AÑO ANTERIOR · Fact.4620</t>
  </si>
  <si>
    <t>Cobrado total: 1.174 €</t>
  </si>
  <si>
    <t>Pagado total: 817 €</t>
  </si>
  <si>
    <t>DIF: 357 €   ·   Margen hist.: 30.4%</t>
  </si>
  <si>
    <t>Mejor mes: 2024-08 · 134 € · margen 42%</t>
  </si>
  <si>
    <t>Peor mes: 2023-10 · 5 €</t>
  </si>
  <si>
    <t>Factura 8628 · C01490 · JOSE EDUARDO BAYONA SOTOS</t>
  </si>
  <si>
    <t>ES0021000008703423SJ · Naturgy</t>
  </si>
  <si>
    <t>MES ANTERIOR · Fact.6416</t>
  </si>
  <si>
    <t>AÑO ANTERIOR · Fact.4619</t>
  </si>
  <si>
    <t>Cobrado total: 3.232 €</t>
  </si>
  <si>
    <t>Pagado total: 2.491 €</t>
  </si>
  <si>
    <t>DIF: 741 €   ·   Margen hist.: 22.9%</t>
  </si>
  <si>
    <t>Mejor mes: 2023-07 · 235 € · margen 101%</t>
  </si>
  <si>
    <t>Peor mes: 2023-04 · 13 € · margen 57%</t>
  </si>
  <si>
    <t>Factura 8630 · C01530 · JUAN POCH FERNANDEZ</t>
  </si>
  <si>
    <t>ES0021000001196881ZG · Naturgy</t>
  </si>
  <si>
    <t>MES ANTERIOR · Fact.6413</t>
  </si>
  <si>
    <t>AÑO ANTERIOR · Fact.4617</t>
  </si>
  <si>
    <t>Cobrado total: 2.148 €</t>
  </si>
  <si>
    <t>Pagado total: 1.336 €</t>
  </si>
  <si>
    <t>DIF: 812 €   ·   Margen hist.: 37.8%</t>
  </si>
  <si>
    <t>Mejor mes: 2024-12 · 231 € · margen 34%</t>
  </si>
  <si>
    <t>Peor mes: 2023-06 · 43 € · margen 55%</t>
  </si>
  <si>
    <t>Factura 8631 · C01540 · FORN MONICA S L</t>
  </si>
  <si>
    <t>ES0021000000827388AY · Naturgy</t>
  </si>
  <si>
    <t>MES ANTERIOR · Fact.6412</t>
  </si>
  <si>
    <t>AÑO ANTERIOR · Fact.4512</t>
  </si>
  <si>
    <t>Cobrado total: 13.789 €</t>
  </si>
  <si>
    <t>Pagado total: 9.316 €</t>
  </si>
  <si>
    <t>DIF: 4.473 €   ·   Margen hist.: 32.4%</t>
  </si>
  <si>
    <t>Mejor mes: 2023-08 · 1.795 € · margen 53%</t>
  </si>
  <si>
    <t>Peor mes: 2024-12 · 586 € · margen 14%</t>
  </si>
  <si>
    <t>Factura 8632 · C01570 · FRANCISCO MULA ROBERTO</t>
  </si>
  <si>
    <t>ES0021000000971679CH · Naturgy</t>
  </si>
  <si>
    <t>MES ANTERIOR · Fact.6411</t>
  </si>
  <si>
    <t>AÑO ANTERIOR · Fact.4615</t>
  </si>
  <si>
    <t>Cobrado total: 1.850 €</t>
  </si>
  <si>
    <t>Pagado total: 1.169 €</t>
  </si>
  <si>
    <t>DIF: 681 €   ·   Margen hist.: 36.8%</t>
  </si>
  <si>
    <t>Mejor mes: 2023-07 · 163 € · margen 24%</t>
  </si>
  <si>
    <t>Peor mes: 2023-06 · 57 € · margen 31%</t>
  </si>
  <si>
    <t>Factura 8633 · C01600 · HAFELI BRIGITTE</t>
  </si>
  <si>
    <t>ES0021000000958945LA · Naturgy</t>
  </si>
  <si>
    <t>MES ANTERIOR · Fact.6410</t>
  </si>
  <si>
    <t>AÑO ANTERIOR · Fact.4614</t>
  </si>
  <si>
    <t>Cobrado total: 2.070 €</t>
  </si>
  <si>
    <t>Pagado total: 1.492 €</t>
  </si>
  <si>
    <t>DIF: 578 €   ·   Margen hist.: 27.9%</t>
  </si>
  <si>
    <t>Mejor mes: 2023-12 · 313 € · margen -2347%</t>
  </si>
  <si>
    <t>Peor mes: 2023-10 · 20 €</t>
  </si>
  <si>
    <t>Factura 8634 · C01620 · MIA EDELTRUDIS JOSEPHINA ZANTMAN</t>
  </si>
  <si>
    <t>ES0021000000828286LF · Naturgy</t>
  </si>
  <si>
    <t>MES ANTERIOR · Fact.6409</t>
  </si>
  <si>
    <t>AÑO ANTERIOR · Fact.4613</t>
  </si>
  <si>
    <t>Cobrado total: 282 €</t>
  </si>
  <si>
    <t>Pagado total: 515 €</t>
  </si>
  <si>
    <t>DIF: -233 €   ·   Margen hist.: -82.4%</t>
  </si>
  <si>
    <t>Mejor mes: 2024-11 · 38 € · margen 27%</t>
  </si>
  <si>
    <t>Peor mes: 2024-05 · 0 € · margen 100%</t>
  </si>
  <si>
    <t>Factura 8636 · C01660 · LIEUWE KOOPMANS (2)</t>
  </si>
  <si>
    <t>ES0021000000820403KJ · Naturgy</t>
  </si>
  <si>
    <t>MES ANTERIOR · Fact.6407</t>
  </si>
  <si>
    <t>AÑO ANTERIOR · Fact.4612</t>
  </si>
  <si>
    <t>Cobrado total: 2.327 €</t>
  </si>
  <si>
    <t>Pagado total: 1.681 €</t>
  </si>
  <si>
    <t>DIF: 646 €   ·   Margen hist.: 27.8%</t>
  </si>
  <si>
    <t>Mejor mes: 2024-08 · 288 € · margen 12%</t>
  </si>
  <si>
    <t>Peor mes: 2024-11 · 67 € · margen 31%</t>
  </si>
  <si>
    <t>Factura 8637 · C01670 · COCKTAIL BAR AYAHUMA</t>
  </si>
  <si>
    <t>ES0021000001205999LZ · Naturgy</t>
  </si>
  <si>
    <t>MES ANTERIOR · Fact.6406</t>
  </si>
  <si>
    <t>AÑO ANTERIOR · Fact.4611</t>
  </si>
  <si>
    <t>Cobrado total: 5.393 €</t>
  </si>
  <si>
    <t>Pagado total: 3.728 €</t>
  </si>
  <si>
    <t>DIF: 1.665 €   ·   Margen hist.: 30.9%</t>
  </si>
  <si>
    <t>Mejor mes: 2024-08 · 502 € · margen 79%</t>
  </si>
  <si>
    <t>Peor mes: 2024-11 · 81 € · margen -20%</t>
  </si>
  <si>
    <t>Factura 8639 · C01720 · AHMED DAHMAN</t>
  </si>
  <si>
    <t>ES0021000001212203JP · Naturgy</t>
  </si>
  <si>
    <t>MES ANTERIOR · Fact.6404</t>
  </si>
  <si>
    <t>AÑO ANTERIOR · Fact.4609</t>
  </si>
  <si>
    <t>Cobrado total: 1.990 €</t>
  </si>
  <si>
    <t>Pagado total: 1.321 €</t>
  </si>
  <si>
    <t>DIF: 668 €   ·   Margen hist.: 33.6%</t>
  </si>
  <si>
    <t>Mejor mes: 2023-08 · 167 €</t>
  </si>
  <si>
    <t>Peor mes: 2023-07 · 48 €</t>
  </si>
  <si>
    <t>Factura 8640 · C01730 · LORENA ROCIO PAUCAR LÓPEZ</t>
  </si>
  <si>
    <t>ES0021000001192552DE · Naturgy</t>
  </si>
  <si>
    <t>MES ANTERIOR · Fact.6403</t>
  </si>
  <si>
    <t>AÑO ANTERIOR · Fact.4608</t>
  </si>
  <si>
    <t>Cobrado total: 7.311 €</t>
  </si>
  <si>
    <t>Pagado total: 4.761 €</t>
  </si>
  <si>
    <t>DIF: 2.550 €   ·   Margen hist.: 34.9%</t>
  </si>
  <si>
    <t>Mejor mes: 2024-12 · 794 € · margen 72%</t>
  </si>
  <si>
    <t>Peor mes: 2023-11 · 142 €</t>
  </si>
  <si>
    <t>Factura 8642 · C01800 · ROY SCHOLTEN</t>
  </si>
  <si>
    <t>ES0021000001501271TN · Naturgy</t>
  </si>
  <si>
    <t>MES ANTERIOR · Fact.6401</t>
  </si>
  <si>
    <t>AÑO ANTERIOR · Fact.4606</t>
  </si>
  <si>
    <t>Cobrado total: 1.292 €</t>
  </si>
  <si>
    <t>Pagado total: 1.001 €</t>
  </si>
  <si>
    <t>DIF: 291 €   ·   Margen hist.: 22.5%</t>
  </si>
  <si>
    <t>Mejor mes: 2024-08 · 164 € · margen 36%</t>
  </si>
  <si>
    <t>Peor mes: 2023-12 · 38 € · margen 43%</t>
  </si>
  <si>
    <t>Factura 8645 · C01850 · GUILLERMO CHOLBI SART</t>
  </si>
  <si>
    <t>ES0021000001204184DQ · Naturgy</t>
  </si>
  <si>
    <t>MES ANTERIOR · Fact.6398</t>
  </si>
  <si>
    <t>AÑO ANTERIOR · Fact.4604</t>
  </si>
  <si>
    <t>Cobrado total: 669 €</t>
  </si>
  <si>
    <t>Pagado total: 495 €</t>
  </si>
  <si>
    <t>DIF: 174 €   ·   Margen hist.: 26.0%</t>
  </si>
  <si>
    <t>Mejor mes: 2023-11 · 54 € · margen 8%</t>
  </si>
  <si>
    <t>Peor mes: 2024-11 · 42 € · margen 23%</t>
  </si>
  <si>
    <t>Factura 8646 · C01860 · GUILLERMO CHOLBI SART</t>
  </si>
  <si>
    <t>ES0021000001664631LA · Naturgy</t>
  </si>
  <si>
    <t>MES ANTERIOR · Fact.6397</t>
  </si>
  <si>
    <t>AÑO ANTERIOR · Fact.4603</t>
  </si>
  <si>
    <t>Cobrado total: 3.662 €</t>
  </si>
  <si>
    <t>Pagado total: 3.169 €</t>
  </si>
  <si>
    <t>DIF: 492 €   ·   Margen hist.: 13.5%</t>
  </si>
  <si>
    <t>Mejor mes: 2024-03 · 458 € · margen 25%</t>
  </si>
  <si>
    <t>Peor mes: 2023-12 · 125 € · margen 42%</t>
  </si>
  <si>
    <t>Factura 8647 · C01870 · GUILLERMO CHOLBI SART</t>
  </si>
  <si>
    <t>ES0021000001150884SF · Naturgy</t>
  </si>
  <si>
    <t>MES ANTERIOR · Fact.6396</t>
  </si>
  <si>
    <t>AÑO ANTERIOR · Fact.4602</t>
  </si>
  <si>
    <t>Cobrado total: 1.402 €</t>
  </si>
  <si>
    <t>Pagado total: 1.128 €</t>
  </si>
  <si>
    <t>DIF: 274 €   ·   Margen hist.: 19.5%</t>
  </si>
  <si>
    <t>Mejor mes: 2024-12 · 142 € · margen 16%</t>
  </si>
  <si>
    <t>Peor mes: 2024-09 · 49 € · margen 24%</t>
  </si>
  <si>
    <t>Factura 8648 · C01880 · ALEJANDRO BOX CANDELA</t>
  </si>
  <si>
    <t>ES0021000001216036LT · Naturgy</t>
  </si>
  <si>
    <t>MES ANTERIOR · Fact.6395</t>
  </si>
  <si>
    <t>AÑO ANTERIOR · Fact.4601</t>
  </si>
  <si>
    <t>Cobrado total: 1.365 €</t>
  </si>
  <si>
    <t>Pagado total: 1.033 €</t>
  </si>
  <si>
    <t>DIF: 332 €   ·   Margen hist.: 24.3%</t>
  </si>
  <si>
    <t>Mejor mes: 2024-03 · 142 € · margen 44%</t>
  </si>
  <si>
    <t>Peor mes: 2024-11 · 40 € · margen 45%</t>
  </si>
  <si>
    <t>Factura 8650 · C01990 · GERRIT JONGEJAN</t>
  </si>
  <si>
    <t>Factura 8651 · C02160 · CASA LILI SL (V)</t>
  </si>
  <si>
    <t>ES0021000012599393XJ · Naturgy</t>
  </si>
  <si>
    <t>MES ANTERIOR · Fact.6392</t>
  </si>
  <si>
    <t>AÑO ANTERIOR · Fact.4582</t>
  </si>
  <si>
    <t>Cobrado total: 2.035 €</t>
  </si>
  <si>
    <t>Pagado total: 1.399 €</t>
  </si>
  <si>
    <t>DIF: 636 €   ·   Margen hist.: 31.2%</t>
  </si>
  <si>
    <t>Mejor mes: 2024-12 · 215 € · margen 27%</t>
  </si>
  <si>
    <t>Peor mes: 2024-02 · 88 €</t>
  </si>
  <si>
    <t>Factura 8653 · C02190 · TAIRÉ VERA</t>
  </si>
  <si>
    <t>ES0021000000961277MN · Naturgy</t>
  </si>
  <si>
    <t>MES ANTERIOR · Fact.6390</t>
  </si>
  <si>
    <t>AÑO ANTERIOR · Fact.4580</t>
  </si>
  <si>
    <t>Cobrado total: 598 €</t>
  </si>
  <si>
    <t>Pagado total: 527 €</t>
  </si>
  <si>
    <t>DIF: 71 €   ·   Margen hist.: 11.9%</t>
  </si>
  <si>
    <t>Mejor mes: 2024-08 · 95 € · margen 18%</t>
  </si>
  <si>
    <t>Peor mes: 2024-04 · 12 € · margen 2%</t>
  </si>
  <si>
    <t>Factura 8655 · C02240 · SANDRA GONZALEZ LECHUGA</t>
  </si>
  <si>
    <t>ES0021000001206078TR · Naturgy</t>
  </si>
  <si>
    <t>MES ANTERIOR · Fact.6388</t>
  </si>
  <si>
    <t>AÑO ANTERIOR · Fact.4578</t>
  </si>
  <si>
    <t>Cobrado total: 195 €</t>
  </si>
  <si>
    <t>Pagado total: 220 €</t>
  </si>
  <si>
    <t>DIF: -25 €   ·   Margen hist.: -12.7%</t>
  </si>
  <si>
    <t>Mejor mes: 2024-12 · 29 € · margen -11%</t>
  </si>
  <si>
    <t>Peor mes: 2024-04 · 6 € · margen 5%</t>
  </si>
  <si>
    <t>Factura 8656 · C02340 · PRISCILA WELTER CARRASCO</t>
  </si>
  <si>
    <t>ES0021000012718599HX · Naturgy</t>
  </si>
  <si>
    <t>MES ANTERIOR · Fact.6387</t>
  </si>
  <si>
    <t>AÑO ANTERIOR · Fact.4544</t>
  </si>
  <si>
    <t>Cobrado total: 1.439 €</t>
  </si>
  <si>
    <t>Pagado total: 1.464 €</t>
  </si>
  <si>
    <t>DIF: -25 €   ·   Margen hist.: -1.7%</t>
  </si>
  <si>
    <t>Mejor mes: 2024-08 · 269 € · margen 32%</t>
  </si>
  <si>
    <t>Peor mes: 2024-11 · 103 € · margen -112%</t>
  </si>
  <si>
    <t>Factura 8657 · C02350 · YANIS DAHIANA JIMENEZ JIMENEZ</t>
  </si>
  <si>
    <t>ES0021000001202657NF · Naturgy</t>
  </si>
  <si>
    <t>MES ANTERIOR · Fact.6386</t>
  </si>
  <si>
    <t>AÑO ANTERIOR · Fact.4576</t>
  </si>
  <si>
    <t>Cobrado total: 4.242 €</t>
  </si>
  <si>
    <t>Pagado total: 3.900 €</t>
  </si>
  <si>
    <t>DIF: 342 €   ·   Margen hist.: 8.1%</t>
  </si>
  <si>
    <t>Mejor mes: 2024-07 · 759 € · margen 10%</t>
  </si>
  <si>
    <t>Peor mes: 2024-05 · 234 € · margen 13%</t>
  </si>
  <si>
    <t>Factura 8658 · C02380 · FORMATGES MÓNICA</t>
  </si>
  <si>
    <t>ES0021000001192535DM · Naturgy</t>
  </si>
  <si>
    <t>MES ANTERIOR · Fact.6385</t>
  </si>
  <si>
    <t>AÑO ANTERIOR · Fact.4575</t>
  </si>
  <si>
    <t>Cobrado total: 945 €</t>
  </si>
  <si>
    <t>Pagado total: 614 €</t>
  </si>
  <si>
    <t>DIF: 331 €   ·   Margen hist.: 35.0%</t>
  </si>
  <si>
    <t>Mejor mes: 2024-12 · 218 € · margen 75%</t>
  </si>
  <si>
    <t>Peor mes: 2024-09 · 61 € · margen 40%</t>
  </si>
  <si>
    <t>Factura 8659 · C02400 · MARUJA CHOLBI PUIG</t>
  </si>
  <si>
    <t>ES0021000001194530AE · Naturgy</t>
  </si>
  <si>
    <t>MES ANTERIOR · Fact.6384</t>
  </si>
  <si>
    <t>AÑO ANTERIOR · Fact.4573</t>
  </si>
  <si>
    <t>Cobrado total: 417 €</t>
  </si>
  <si>
    <t>Pagado total: 295 €</t>
  </si>
  <si>
    <t>DIF: 122 €   ·   Margen hist.: 29.3%</t>
  </si>
  <si>
    <t>Mejor mes: 2024-08 · 110 € · margen 37%</t>
  </si>
  <si>
    <t>Peor mes: 2024-07 · 29 €</t>
  </si>
  <si>
    <t>Factura 8660 · C02420 · KHALID EL JEBLI</t>
  </si>
  <si>
    <t>ES0021000013419226MB · Naturgy</t>
  </si>
  <si>
    <t>MES ANTERIOR · Fact.6383</t>
  </si>
  <si>
    <t>AÑO ANTERIOR · Fact.4572</t>
  </si>
  <si>
    <t>Cobrado total: 1.452 €</t>
  </si>
  <si>
    <t>Pagado total: 1.099 €</t>
  </si>
  <si>
    <t>DIF: 352 €   ·   Margen hist.: 24.3%</t>
  </si>
  <si>
    <t>Mejor mes: 2024-08 · 346 € · margen 69%</t>
  </si>
  <si>
    <t>Peor mes: 2024-10 · 203 € · margen 30%</t>
  </si>
  <si>
    <t>Factura 8662 · C02470 · TALLER SENDRA CUELLO, S.L.</t>
  </si>
  <si>
    <t>ES0021000000822827BE · Naturgy</t>
  </si>
  <si>
    <t>MES ANTERIOR · Fact.6381</t>
  </si>
  <si>
    <t>AÑO ANTERIOR · Fact.4570</t>
  </si>
  <si>
    <t>Cobrado total: 338 €</t>
  </si>
  <si>
    <t>Pagado total: 269 €</t>
  </si>
  <si>
    <t>DIF: 69 €   ·   Margen hist.: 20.5%</t>
  </si>
  <si>
    <t>Mejor mes: 2024-12 · 160 € · margen 21%</t>
  </si>
  <si>
    <t>Peor mes: 2024-10 · 45 € · margen 28%</t>
  </si>
  <si>
    <t>Factura 8663 · C02510 · ANTONIO LLIDO ESPASA</t>
  </si>
  <si>
    <t>ES0021000001197237YS · Naturgy</t>
  </si>
  <si>
    <t>MES ANTERIOR · Fact.6380</t>
  </si>
  <si>
    <t>AÑO ANTERIOR · Fact.4568</t>
  </si>
  <si>
    <t>Cobrado total: 234 €</t>
  </si>
  <si>
    <t>Pagado total: 194 €</t>
  </si>
  <si>
    <t>DIF: 40 €   ·   Margen hist.: 17.0%</t>
  </si>
  <si>
    <t>Mejor mes: 2024-11 · 111 € · margen 23%</t>
  </si>
  <si>
    <t>Peor mes: 2024-10 · 15 € · margen -0%</t>
  </si>
  <si>
    <t>Factura 8665 · C02530 · JUAN SANCHEZ RONDA</t>
  </si>
  <si>
    <t>ES0021000021069440CB · Naturgy</t>
  </si>
  <si>
    <t>MES ANTERIOR · Fact.6378</t>
  </si>
  <si>
    <t>AÑO ANTERIOR · Fact.4566</t>
  </si>
  <si>
    <t>Cobrado total: 275 €</t>
  </si>
  <si>
    <t>Pagado total: 222 €</t>
  </si>
  <si>
    <t>DIF: 53 €   ·   Margen hist.: 19.4%</t>
  </si>
  <si>
    <t>Mejor mes: 2024-11 · 113 € · margen 22%</t>
  </si>
  <si>
    <t>Peor mes: 2024-10 · 79 € · margen 22%</t>
  </si>
  <si>
    <t>Factura 8666 · C02540 · TERESA MENGUAL ALBEROLA</t>
  </si>
  <si>
    <t>ES0021000011425522DQ · Naturgy</t>
  </si>
  <si>
    <t>MES ANTERIOR · Fact.6377</t>
  </si>
  <si>
    <t>AÑO ANTERIOR · Fact.4565</t>
  </si>
  <si>
    <t>Cobrado total: 168 €</t>
  </si>
  <si>
    <t>Pagado total: 127 €</t>
  </si>
  <si>
    <t>DIF: 40 €   ·   Margen hist.: 24.0%</t>
  </si>
  <si>
    <t>Mejor mes: 2024-11 · 84 € · margen 32%</t>
  </si>
  <si>
    <t>Peor mes: 2024-12 · 81 € · margen 27%</t>
  </si>
  <si>
    <t>Factura 8667 · C02560 · PEDRO IVARS TRO 2018, S.L.</t>
  </si>
  <si>
    <t>Factura 8670 · C02610 · VEHICULOS ANDRADA, S.L.</t>
  </si>
  <si>
    <t>ES0021000001194258SA · Naturgy</t>
  </si>
  <si>
    <t>MES ANTERIOR · Fact.6373</t>
  </si>
  <si>
    <t>AÑO ANTERIOR · Fact.4561</t>
  </si>
  <si>
    <t>Cobrado total: 563 €</t>
  </si>
  <si>
    <t>Pagado total: 406 €</t>
  </si>
  <si>
    <t>DIF: 158 €   ·   Margen hist.: 28.0%</t>
  </si>
  <si>
    <t>Mejor mes: 2024-12 · 326 € · margen 29%</t>
  </si>
  <si>
    <t>Peor mes: 2024-11 · 236 € · margen 27%</t>
  </si>
  <si>
    <t>Factura 8671 · C02630 · AUTOCENTER MARINA ALTA S.L.</t>
  </si>
  <si>
    <t>ES0021000013052712DW · Naturgy</t>
  </si>
  <si>
    <t>MES ANTERIOR · Fact.6372</t>
  </si>
  <si>
    <t>AÑO ANTERIOR · Fact.4560</t>
  </si>
  <si>
    <t>Cobrado total: 145 €</t>
  </si>
  <si>
    <t>Pagado total: 116 €</t>
  </si>
  <si>
    <t>DIF: 30 €   ·   Margen hist.: 20.4%</t>
  </si>
  <si>
    <t>Mejor mes: 2024-11 · 72 € · margen 29%</t>
  </si>
  <si>
    <t>Peor mes: 2024-12 · 72 € · margen 10%</t>
  </si>
  <si>
    <t>Factura 8672 · C02640 · JUAN CARLOS HERNANDEZ MELERO</t>
  </si>
  <si>
    <t>ES0021000001216778MY · Naturgy</t>
  </si>
  <si>
    <t>MES ANTERIOR · Fact.6371</t>
  </si>
  <si>
    <t>AÑO ANTERIOR · Fact.4559</t>
  </si>
  <si>
    <t>Factura 8674 · C02680 · ALVARO DAVID OCHOA BIOSCA</t>
  </si>
  <si>
    <t>Factura 8676 · C02710 · CASA LILI S.L. AUTOS (EXPOSICIÓN)</t>
  </si>
  <si>
    <t>ES0021000001498862XH · Naturgy</t>
  </si>
  <si>
    <t>MES ANTERIOR · Fact.6318</t>
  </si>
  <si>
    <t>AÑO ANTERIOR · Fact.4504</t>
  </si>
  <si>
    <t>Cobrado total: 4 €</t>
  </si>
  <si>
    <t>DIF: 4 €   ·   Margen hist.: 100.0%</t>
  </si>
  <si>
    <t>Factura 8677 · C02740 · FRANCISCO DANIEL GUIJARRO ORTEGA</t>
  </si>
  <si>
    <t>ES0021000012536439XX · Naturgy</t>
  </si>
  <si>
    <t>MES ANTERIOR · Fact.6367</t>
  </si>
  <si>
    <t>AÑO ANTERIOR · Fact.4674</t>
  </si>
  <si>
    <t>Factura 8678 · C02760 · ISABEL RAMIREZ CAPDEVILA</t>
  </si>
  <si>
    <t>ES0021000012536447XH · Naturgy</t>
  </si>
  <si>
    <t>MES ANTERIOR · Fact.6366</t>
  </si>
  <si>
    <t>AÑO ANTERIOR · Fact.4552</t>
  </si>
  <si>
    <t>Factura 8679 · C02780 · MARIA PILAR CATALA SANTAMARIA</t>
  </si>
  <si>
    <t>ES0021000001197031CQ · Naturgy</t>
  </si>
  <si>
    <t>MES ANTERIOR · Fact.6365</t>
  </si>
  <si>
    <t>AÑO ANTERIOR · Fact.4551</t>
  </si>
  <si>
    <t>Factura 8680 · C02800 · ABDESLAM LAMRANI</t>
  </si>
  <si>
    <t>ES0021000001191925MQ · Iberdrola</t>
  </si>
  <si>
    <t>MES ANTERIOR · Fact.6364</t>
  </si>
  <si>
    <t>AÑO ANTERIOR · Fact.4550</t>
  </si>
  <si>
    <t>Factura 8681 · C02820 · FRANCISCO DANIEL GUIJARRO ORTEGA</t>
  </si>
  <si>
    <t>ES0021000001191926MV · Iberdrola</t>
  </si>
  <si>
    <t>MES ANTERIOR · Fact.6363</t>
  </si>
  <si>
    <t>Factura 8682 · C02840 · VICENTE BAS ALENTADO</t>
  </si>
  <si>
    <t>ES0021000015284291CY · Naturgy</t>
  </si>
  <si>
    <t>MES ANTERIOR · Fact.6362</t>
  </si>
  <si>
    <t>AÑO ANTERIOR · Fact.4548</t>
  </si>
  <si>
    <t>Factura 8683 · C02860 · SALVADOR TORRES BISQUERT</t>
  </si>
  <si>
    <t>ES0021000001201668SF · Naturgy</t>
  </si>
  <si>
    <t>MES ANTERIOR · Fact.6361</t>
  </si>
  <si>
    <t>AÑO ANTERIOR · Fact.4547</t>
  </si>
  <si>
    <t>Factura 8685 · C02920 · JAKUB JAN PICHOLA</t>
  </si>
  <si>
    <t>ES0021000043297204PT · Naturgy</t>
  </si>
  <si>
    <t>MES ANTERIOR · Fact.6359</t>
  </si>
  <si>
    <t>Factura 8686 · C02930 · UWE HEINZ WERNER SCHMUCK</t>
  </si>
  <si>
    <t>ES0021000000842065CD · Naturgy</t>
  </si>
  <si>
    <t>MES ANTERIOR · Fact.6358</t>
  </si>
  <si>
    <t>Cobrado total: 2 €</t>
  </si>
  <si>
    <t>DIF: 2 €   ·   Margen hist.: 100.0%</t>
  </si>
  <si>
    <t>Factura 8687 · C02950 · TALLERES MARTINEZ JAVEA, S.L.</t>
  </si>
  <si>
    <t>ES0021000011306311RZ · Naturgy</t>
  </si>
  <si>
    <t>MES ANTERIOR · Fact.6357</t>
  </si>
  <si>
    <t>Cobrado total: -2 €</t>
  </si>
  <si>
    <t>DIF: -2 €   ·   Margen hist.: 100.0%</t>
  </si>
  <si>
    <t>Factura 8688 · C02960 · FRANK CLEMENT</t>
  </si>
  <si>
    <t>ES0021000000844565ZW · Naturgy</t>
  </si>
  <si>
    <t>MES ANTERIOR · Fact.6356</t>
  </si>
  <si>
    <t>Factura 8689 · C02970 · SARA HERMINA NIJENHUIJS GREVE</t>
  </si>
  <si>
    <t>ES0021000000821424LE · Iberdrola</t>
  </si>
  <si>
    <t>MES ANTERIOR · Fact.6355</t>
  </si>
  <si>
    <t>Cobrado total: -0 €</t>
  </si>
  <si>
    <t>DIF: -0 €   ·   Margen hist.: 100.0%</t>
  </si>
  <si>
    <t>⚠ Iberdrola: exportados 480,69 kWh; compensa 0,001532 EUR/kWh via Solar Cloud (no 0,06)</t>
  </si>
  <si>
    <t>Factura 8690 · C02990 · AMARE BOTEGA SL</t>
  </si>
  <si>
    <t>ES0021000001204720XT · Naturgy</t>
  </si>
  <si>
    <t>MES ANTERIOR · Fact.6354</t>
  </si>
  <si>
    <t>Factura 8692 · C03030 · JUAN MANUEL CAMACHO GONZALEZ</t>
  </si>
  <si>
    <t>ES0021000001212039YM · Iberdrola</t>
  </si>
  <si>
    <t>MES ANTERIOR · Fact.6350</t>
  </si>
  <si>
    <t>Factura 8693 · C03040 · JUAN MANUEL CAMACHO GONZALEZ</t>
  </si>
  <si>
    <t>ES0021000005295382MC · Naturgy</t>
  </si>
  <si>
    <t>MES ANTERIOR · Fact.6349</t>
  </si>
  <si>
    <t>Factura 8694 · C03050 · JAN ANDERS ANSEHN</t>
  </si>
  <si>
    <t>ES0021000001502901WD · Naturgy</t>
  </si>
  <si>
    <t>MES ANTERIOR · Fact.6348</t>
  </si>
  <si>
    <t>Factura 8695 · C03060 · MARIA TERESA PONS DEVESA</t>
  </si>
  <si>
    <t>ES0021000001201680SL · Naturgy</t>
  </si>
  <si>
    <t>MES ANTERIOR · Fact.6347</t>
  </si>
  <si>
    <t>Factura 8696 · C03070 · CONGLI WANG</t>
  </si>
  <si>
    <t>ES0021000013610497HZ · Naturgy</t>
  </si>
  <si>
    <t>MES ANTERIOR · Fact.6346</t>
  </si>
  <si>
    <t>Factura 8697 · C03110 · RUBÉN CAMACHO PATRICIO</t>
  </si>
  <si>
    <t>ES0021000004645064KG · Naturgy</t>
  </si>
  <si>
    <t>MES ANTERIOR · Fact.6345</t>
  </si>
  <si>
    <t>Factura 8698 · C03130 · MARCELLO RAUCCI</t>
  </si>
  <si>
    <t>ES0021000000938748ST · Naturgy</t>
  </si>
  <si>
    <t>MES ANTERIOR · Fact.6344</t>
  </si>
  <si>
    <t>Factura 8702 · C03170 · THOMAS CHRISTIAAN GREVE</t>
  </si>
  <si>
    <t>ES0021000001504221JH · Naturgy</t>
  </si>
  <si>
    <t>MES ANTERIOR · Fact.6340</t>
  </si>
  <si>
    <t>Factura 8703 · C03180 · LERWIN SANTIAGO AVENDAÑO ANDRADE</t>
  </si>
  <si>
    <t>ES0021000018843904LR · Naturgy</t>
  </si>
  <si>
    <t>MES ANTERIOR · Fact.6339</t>
  </si>
  <si>
    <t>Factura 8704 · C03190 · 2 HANDS FULL S.L</t>
  </si>
  <si>
    <t>ES0021000037345279RS · Naturgy</t>
  </si>
  <si>
    <t>MES ANTERIOR · Fact.6338</t>
  </si>
  <si>
    <t>Factura 8706 · C03210 · VLADIMIR KREMPASKY</t>
  </si>
  <si>
    <t>ES0021000039701028YN · Naturgy</t>
  </si>
  <si>
    <t>MES ANTERIOR · Fact.6337</t>
  </si>
  <si>
    <t>Factura 8707 · C03220 · EVA ROHRMAN MADOVA</t>
  </si>
  <si>
    <t>ES0021000001209164LM · Naturgy</t>
  </si>
  <si>
    <t>MES ANTERIOR · Fact.6336</t>
  </si>
  <si>
    <t>Factura 8708 · C03230 · OLDRICH PETRAS</t>
  </si>
  <si>
    <t>ES0021000000948050MX · Naturgy</t>
  </si>
  <si>
    <t>MES ANTERIOR · Fact.6335</t>
  </si>
  <si>
    <t>Factura 8709 · C03240 · SPAINLIFE AND HOUSES S.L.</t>
  </si>
  <si>
    <t>ES0021000001214540EE · Naturgy</t>
  </si>
  <si>
    <t>MES ANTERIOR · Fact.6334</t>
  </si>
  <si>
    <t>Factura 8710 · C03250 · SPAINLIFE AND HOUSES S.L.</t>
  </si>
  <si>
    <t>ES0021000042961967ZB · Naturgy</t>
  </si>
  <si>
    <t>MES ANTERIOR · Fact.6333</t>
  </si>
  <si>
    <t>Factura 8711 · C03260 · MICHAL CUKAN</t>
  </si>
  <si>
    <t>Factura 8712 · C03280 · SOPHIA ROSE WADLE</t>
  </si>
  <si>
    <t>ES0021000001212470RE · Naturgy</t>
  </si>
  <si>
    <t>MES ANTERIOR · Fact.6331</t>
  </si>
  <si>
    <t>Factura 8714 · C03300 · COMPASS IBERICA 2007 SL</t>
  </si>
  <si>
    <t>ES0021000001211776VH · Naturgy</t>
  </si>
  <si>
    <t>MES ANTERIOR · Fact.6329</t>
  </si>
  <si>
    <t>Factura 8715 · C03310 · AMANDA APARICI MARTINEZ</t>
  </si>
  <si>
    <t>ES0021000038540357GJ · Naturgy</t>
  </si>
  <si>
    <t>MES ANTERIOR · Fact.6328</t>
  </si>
  <si>
    <t>Factura 8716 · C03320 · ELISABETH M. PAREDES DE QUINTERO</t>
  </si>
  <si>
    <t>ES0021000012286668YL · Naturgy</t>
  </si>
  <si>
    <t>MES ANTERIOR · Fact.6327</t>
  </si>
  <si>
    <t>Factura 8717 · C03330 · MARIA SOLEDAD ANSOLA ESTRADA</t>
  </si>
  <si>
    <t>ES0021000008759184RE · Naturgy</t>
  </si>
  <si>
    <t>MES ANTERIOR · Fact.6326</t>
  </si>
  <si>
    <t>Cobrado total: 0 €</t>
  </si>
  <si>
    <t>DIF: 0 €   ·   Margen hist.: 100.0%</t>
  </si>
  <si>
    <t>Factura 8718 · C03340 · CRISTIAN DAVID BETANCUR BARRERA</t>
  </si>
  <si>
    <t>ES0021000001150431HZ · Naturgy</t>
  </si>
  <si>
    <t>MES ANTERIOR · Fact.6325</t>
  </si>
  <si>
    <t>Factura 8719 · C03350 · SARA BARBERA SOLA</t>
  </si>
  <si>
    <t>ES0021000007872840JY · Naturgy</t>
  </si>
  <si>
    <t>MES ANTERIOR · (sin dato)</t>
  </si>
  <si>
    <t>Factura 8720 · C03360 · CBDSROLL,S.L.</t>
  </si>
  <si>
    <t>ES0021000008123399MA · Naturgy</t>
  </si>
  <si>
    <t xml:space="preserve">Factura 8721 · C03380 · </t>
  </si>
  <si>
    <t>ES0021000008123313RD · Naturgy</t>
  </si>
  <si>
    <t>Factura 8722 · C03390 · MAGDALENA ORTOLÁ FERRER</t>
  </si>
  <si>
    <t>ES0021000000827500PA · Naturgy</t>
  </si>
  <si>
    <t>MES ANTERIOR · Fact.6324</t>
  </si>
  <si>
    <t>Factura 8723 · C03400 · ZISKO SLAVOMIR</t>
  </si>
  <si>
    <t>ES0021000001386440KC · Naturgy</t>
  </si>
  <si>
    <t>MES ANTERIOR · Fact.6323</t>
  </si>
  <si>
    <t>Factura 8724 · C03430 · MARIA DEL MAR FERRANDO GUILLEM</t>
  </si>
  <si>
    <t>ES0021000001204298ZS · Naturgy</t>
  </si>
  <si>
    <t>Factura 8725 · C03440 · DIEGO BARQUERO PEREZ</t>
  </si>
  <si>
    <t>ES0021000001200743KW · Naturgy</t>
  </si>
  <si>
    <t>Factura 8726 · C03450 · RADEK ERBEN</t>
  </si>
  <si>
    <t>ES0021000013695713CS · Naturgy</t>
  </si>
  <si>
    <t>Factura 8727 · C03460 · SILVIA KREMPASKA</t>
  </si>
  <si>
    <t>ES0021000039701362KR · Naturgy</t>
  </si>
  <si>
    <t xml:space="preserve">Factura 8728 · C03470 · </t>
  </si>
  <si>
    <t>ES0021000001198764GR · Naturgy</t>
  </si>
  <si>
    <t>Factura 8729 · C03480 · MICHAL GLOSIK</t>
  </si>
  <si>
    <t>ES0021000042199454GV · Naturgy</t>
  </si>
  <si>
    <t>Factura 8730 · C00760 · SALVADOR TORRES BISQUERT</t>
  </si>
  <si>
    <t>ES0021000001192533DA · Naturgy</t>
  </si>
  <si>
    <t>MES ANTERIOR · Fact.6322</t>
  </si>
  <si>
    <t>AÑO ANTERIOR · Fact.4672</t>
  </si>
  <si>
    <t>Cobrado total: 17.622 €</t>
  </si>
  <si>
    <t>Pagado total: 13.368 €</t>
  </si>
  <si>
    <t>DIF: 4.254 €   ·   Margen hist.: 24.1%</t>
  </si>
  <si>
    <t>Mejor mes: 2024-12 · 1.051 € · margen 66%</t>
  </si>
  <si>
    <t>Peor mes: 2023-11 · 258 € · margen 23%</t>
  </si>
  <si>
    <t>nf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</si>
  <si>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</si>
  <si>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</si>
  <si>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</si>
  <si>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</si>
  <si>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</si>
  <si>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</si>
  <si>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</si>
  <si>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</si>
  <si>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</si>
  <si>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</si>
  <si>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</si>
  <si>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</si>
  <si>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</si>
  <si>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</si>
  <si>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</si>
  <si>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</si>
  <si>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</si>
  <si>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</si>
  <si>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</si>
  <si>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</si>
  <si>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</si>
  <si>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</si>
  <si>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</si>
  <si>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</si>
  <si>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OPTIMIZAR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</si>
</sst>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"/>
    <numFmt numFmtId="165" formatCode="#,##0&quot; €&quot;"/>
    <numFmt numFmtId="166" formatCode="0.00000"/>
    <numFmt numFmtId="167" formatCode="#,##0.0"/>
    <numFmt numFmtId="168" formatCode="0.000000"/>
    <numFmt numFmtId="169" formatCode="[$-C0A]0"/>
    <numFmt numFmtId="170" formatCode="[$-C0A]#,##0.00&quot; €&quot;;[Red]\-[$-C0A]#,##0.00&quot; €&quot;"/>
    <numFmt numFmtId="171" formatCode="dd/mm/yy"/>
    <numFmt numFmtId="172" formatCode="[$-C0A]#,##0.000"/>
    <numFmt numFmtId="173" formatCode="[$-C0A]0.000000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u/>
      <sz val="11"/>
      <color rgb="FF0563C1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8"/>
      <color rgb="FF000000"/>
      <name val="Arial"/>
      <family val="2"/>
    </font>
    <font>
      <b/>
      <sz val="10"/>
      <color rgb="FFFFFFFF"/>
      <name val="Arial"/>
      <family val="2"/>
    </font>
    <font>
      <sz val="8"/>
      <color rgb="FFFFFFFF"/>
      <name val="Arial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b/>
      <sz val="11"/>
      <color rgb="FF1F4E78"/>
      <name val="Arial"/>
      <family val="2"/>
    </font>
    <font>
      <b/>
      <sz val="11"/>
      <color rgb="FF0000FF"/>
      <name val="Arial"/>
      <family val="2"/>
    </font>
    <font>
      <b/>
      <sz val="12"/>
      <color rgb="FF008000"/>
      <name val="Arial"/>
      <family val="2"/>
    </font>
    <font>
      <sz val="11"/>
      <name val="Arial"/>
      <family val="2"/>
    </font>
    <font>
      <sz val="11"/>
      <color rgb="FF008000"/>
      <name val="Arial"/>
      <family val="2"/>
    </font>
    <font>
      <sz val="9"/>
      <name val="Arial"/>
      <family val="2"/>
    </font>
    <font>
      <b/>
      <sz val="11"/>
      <color rgb="FF375623"/>
      <name val="Arial"/>
      <family val="2"/>
    </font>
    <font>
      <b/>
      <sz val="11"/>
      <color rgb="FF843C0C"/>
      <name val="Arial"/>
      <family val="2"/>
    </font>
    <font>
      <b/>
      <sz val="9"/>
      <color rgb="FF843C0C"/>
      <name val="Arial"/>
      <family val="2"/>
    </font>
    <font>
      <sz val="9"/>
      <color rgb="FF843C0C"/>
      <name val="Arial"/>
      <family val="2"/>
    </font>
    <font>
      <b/>
      <sz val="9"/>
      <color rgb="FF2E75B6"/>
      <name val="Arial"/>
      <family val="2"/>
    </font>
    <font>
      <sz val="9"/>
      <color rgb="FF808080"/>
      <name val="Arial"/>
      <family val="2"/>
    </font>
    <font>
      <b/>
      <sz val="11"/>
      <color rgb="FF7F6000"/>
      <name val="Arial"/>
      <family val="2"/>
    </font>
    <font>
      <b/>
      <sz val="9"/>
      <color rgb="FF7F6000"/>
      <name val="Arial"/>
      <family val="2"/>
    </font>
    <font>
      <i/>
      <sz val="8"/>
      <color rgb="FF7F6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1F4E78"/>
        <bgColor rgb="FF2F549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8B4B4"/>
      </patternFill>
    </fill>
    <fill>
      <patternFill patternType="solid">
        <fgColor rgb="FFD9E1F2"/>
        <bgColor rgb="FFDDEBF7"/>
      </patternFill>
    </fill>
    <fill>
      <patternFill patternType="solid">
        <fgColor rgb="FF1F3864"/>
        <bgColor rgb="FF1F4E78"/>
      </patternFill>
    </fill>
    <fill>
      <patternFill patternType="solid">
        <fgColor rgb="FF404040"/>
        <bgColor rgb="FF375623"/>
      </patternFill>
    </fill>
    <fill>
      <patternFill patternType="solid">
        <fgColor rgb="FF2F5496"/>
        <bgColor rgb="FF1F4E78"/>
      </patternFill>
    </fill>
    <fill>
      <patternFill patternType="solid">
        <fgColor rgb="FFF0F0F0"/>
        <bgColor rgb="FFF2F2F2"/>
      </patternFill>
    </fill>
    <fill>
      <patternFill patternType="solid">
        <fgColor rgb="FF7030A0"/>
        <bgColor rgb="FF800080"/>
      </patternFill>
    </fill>
    <fill>
      <patternFill patternType="solid">
        <fgColor rgb="FF8EAADB"/>
        <bgColor rgb="FFB3B3B3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C55A11"/>
      </patternFill>
    </fill>
    <fill>
      <patternFill patternType="solid">
        <fgColor rgb="FF70AD47"/>
        <bgColor rgb="FF548235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BE5D6"/>
      </patternFill>
    </fill>
    <fill>
      <patternFill patternType="solid">
        <fgColor rgb="FFF2F2F2"/>
        <bgColor rgb="FFF0F0F0"/>
      </patternFill>
    </fill>
    <fill>
      <patternFill patternType="solid">
        <fgColor rgb="FFFFF2CC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D24D"/>
        <bgColor rgb="FFFFD966"/>
      </patternFill>
    </fill>
    <fill>
      <patternFill patternType="solid">
        <fgColor rgb="FFF8B4B4"/>
        <bgColor rgb="FFFFC7CE"/>
      </patternFill>
    </fill>
    <fill>
      <patternFill patternType="solid">
        <fgColor rgb="FFFFE699"/>
        <bgColor rgb="FFFFEB9C"/>
      </patternFill>
    </fill>
    <fill>
      <patternFill patternType="solid">
        <fgColor rgb="FFC55A11"/>
        <bgColor rgb="FFED7D31"/>
      </patternFill>
    </fill>
    <fill>
      <patternFill patternType="solid">
        <fgColor rgb="FF548235"/>
        <bgColor rgb="FF595959"/>
      </patternFill>
    </fill>
    <fill>
      <patternFill patternType="solid">
        <fgColor rgb="FFFBE5D6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FD966"/>
        <bgColor rgb="FFFFD24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7" fillId="17" borderId="2" xfId="0" applyFont="1" applyFill="1" applyBorder="1" applyAlignment="1">
      <alignment horizontal="left" vertical="center" wrapText="1"/>
    </xf>
    <xf numFmtId="0" fontId="8" fillId="16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9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4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4" fontId="12" fillId="15" borderId="2" xfId="0" applyNumberFormat="1" applyFont="1" applyFill="1" applyBorder="1" applyAlignment="1">
      <alignment horizontal="center" vertical="center"/>
    </xf>
    <xf numFmtId="166" fontId="12" fillId="15" borderId="2" xfId="0" applyNumberFormat="1" applyFont="1" applyFill="1" applyBorder="1" applyAlignment="1">
      <alignment horizontal="center" vertical="center"/>
    </xf>
    <xf numFmtId="4" fontId="12" fillId="16" borderId="2" xfId="0" applyNumberFormat="1" applyFont="1" applyFill="1" applyBorder="1" applyAlignment="1">
      <alignment horizontal="center" vertical="center"/>
    </xf>
    <xf numFmtId="166" fontId="12" fillId="16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left" vertical="center"/>
    </xf>
    <xf numFmtId="167" fontId="12" fillId="0" borderId="2" xfId="0" applyNumberFormat="1" applyFont="1" applyBorder="1" applyAlignment="1">
      <alignment horizontal="center" vertical="center"/>
    </xf>
    <xf numFmtId="168" fontId="12" fillId="0" borderId="2" xfId="0" applyNumberFormat="1" applyFont="1" applyBorder="1" applyAlignment="1">
      <alignment horizontal="center" vertical="center"/>
    </xf>
    <xf numFmtId="167" fontId="12" fillId="15" borderId="2" xfId="0" applyNumberFormat="1" applyFont="1" applyFill="1" applyBorder="1" applyAlignment="1">
      <alignment horizontal="center" vertical="center"/>
    </xf>
    <xf numFmtId="167" fontId="12" fillId="16" borderId="2" xfId="0" applyNumberFormat="1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right" vertical="center"/>
    </xf>
    <xf numFmtId="9" fontId="14" fillId="22" borderId="2" xfId="0" applyNumberFormat="1" applyFon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right" vertical="center"/>
    </xf>
    <xf numFmtId="169" fontId="12" fillId="0" borderId="2" xfId="0" applyNumberFormat="1" applyFont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4" fontId="15" fillId="7" borderId="2" xfId="0" applyNumberFormat="1" applyFont="1" applyFill="1" applyBorder="1" applyAlignment="1">
      <alignment horizontal="center" vertical="center"/>
    </xf>
    <xf numFmtId="4" fontId="15" fillId="15" borderId="2" xfId="0" applyNumberFormat="1" applyFont="1" applyFill="1" applyBorder="1" applyAlignment="1">
      <alignment horizontal="center" vertical="center"/>
    </xf>
    <xf numFmtId="4" fontId="15" fillId="16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8" fillId="24" borderId="2" xfId="0" applyFont="1" applyFill="1" applyBorder="1" applyAlignment="1">
      <alignment horizontal="center" vertical="center"/>
    </xf>
    <xf numFmtId="164" fontId="18" fillId="24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/>
    <xf numFmtId="164" fontId="21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170" fontId="20" fillId="0" borderId="2" xfId="0" applyNumberFormat="1" applyFont="1" applyBorder="1" applyAlignment="1">
      <alignment horizontal="right" vertical="center"/>
    </xf>
    <xf numFmtId="0" fontId="22" fillId="0" borderId="2" xfId="0" applyFont="1" applyBorder="1"/>
    <xf numFmtId="171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3" fillId="3" borderId="0" xfId="0" applyFont="1" applyFill="1"/>
    <xf numFmtId="0" fontId="0" fillId="3" borderId="0" xfId="0" applyFill="1"/>
    <xf numFmtId="0" fontId="3" fillId="25" borderId="0" xfId="0" applyFont="1" applyFill="1"/>
    <xf numFmtId="0" fontId="0" fillId="25" borderId="0" xfId="0" applyFill="1"/>
    <xf numFmtId="0" fontId="3" fillId="26" borderId="0" xfId="0" applyFont="1" applyFill="1"/>
    <xf numFmtId="0" fontId="0" fillId="26" borderId="0" xfId="0" applyFill="1"/>
    <xf numFmtId="0" fontId="23" fillId="17" borderId="0" xfId="0" applyFont="1" applyFill="1"/>
    <xf numFmtId="0" fontId="3" fillId="25" borderId="2" xfId="0" applyFont="1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24" fillId="27" borderId="0" xfId="0" applyFont="1" applyFill="1"/>
    <xf numFmtId="0" fontId="20" fillId="0" borderId="0" xfId="0" applyFont="1"/>
    <xf numFmtId="172" fontId="20" fillId="28" borderId="2" xfId="0" applyNumberFormat="1" applyFont="1" applyFill="1" applyBorder="1" applyAlignment="1">
      <alignment horizontal="center" vertical="center"/>
    </xf>
    <xf numFmtId="169" fontId="20" fillId="28" borderId="2" xfId="0" applyNumberFormat="1" applyFont="1" applyFill="1" applyBorder="1" applyAlignment="1">
      <alignment horizontal="center" vertical="center"/>
    </xf>
    <xf numFmtId="173" fontId="18" fillId="24" borderId="2" xfId="0" applyNumberFormat="1" applyFont="1" applyFill="1" applyBorder="1" applyAlignment="1">
      <alignment horizontal="center" vertical="center"/>
    </xf>
    <xf numFmtId="173" fontId="20" fillId="28" borderId="2" xfId="0" applyNumberFormat="1" applyFont="1" applyFill="1" applyBorder="1" applyAlignment="1">
      <alignment horizontal="center" vertical="center"/>
    </xf>
    <xf numFmtId="170" fontId="20" fillId="28" borderId="2" xfId="0" applyNumberFormat="1" applyFont="1" applyFill="1" applyBorder="1" applyAlignment="1">
      <alignment horizontal="right" vertical="center"/>
    </xf>
    <xf numFmtId="172" fontId="20" fillId="18" borderId="2" xfId="0" applyNumberFormat="1" applyFont="1" applyFill="1" applyBorder="1" applyAlignment="1">
      <alignment horizontal="center" vertical="center"/>
    </xf>
    <xf numFmtId="173" fontId="20" fillId="18" borderId="2" xfId="0" applyNumberFormat="1" applyFont="1" applyFill="1" applyBorder="1" applyAlignment="1">
      <alignment horizontal="center" vertical="center"/>
    </xf>
    <xf numFmtId="170" fontId="20" fillId="18" borderId="2" xfId="0" applyNumberFormat="1" applyFont="1" applyFill="1" applyBorder="1" applyAlignment="1">
      <alignment horizontal="right" vertical="center"/>
    </xf>
    <xf numFmtId="172" fontId="20" fillId="17" borderId="2" xfId="0" applyNumberFormat="1" applyFont="1" applyFill="1" applyBorder="1" applyAlignment="1">
      <alignment horizontal="center" vertical="center"/>
    </xf>
    <xf numFmtId="173" fontId="20" fillId="17" borderId="2" xfId="0" applyNumberFormat="1" applyFont="1" applyFill="1" applyBorder="1" applyAlignment="1">
      <alignment horizontal="center" vertical="center"/>
    </xf>
    <xf numFmtId="170" fontId="20" fillId="17" borderId="2" xfId="0" applyNumberFormat="1" applyFont="1" applyFill="1" applyBorder="1" applyAlignment="1">
      <alignment horizontal="right" vertical="center"/>
    </xf>
    <xf numFmtId="0" fontId="25" fillId="20" borderId="0" xfId="0" applyFont="1" applyFill="1"/>
    <xf numFmtId="0" fontId="26" fillId="0" borderId="0" xfId="0" applyFont="1"/>
    <xf numFmtId="0" fontId="20" fillId="28" borderId="2" xfId="0" applyFont="1" applyFill="1" applyBorder="1"/>
    <xf numFmtId="0" fontId="27" fillId="0" borderId="0" xfId="0" applyFont="1"/>
    <xf numFmtId="0" fontId="28" fillId="0" borderId="0" xfId="0" applyFont="1"/>
    <xf numFmtId="0" fontId="4" fillId="7" borderId="0" xfId="0" applyFont="1" applyFill="1"/>
    <xf numFmtId="170" fontId="4" fillId="7" borderId="0" xfId="0" applyNumberFormat="1" applyFont="1" applyFill="1" applyAlignment="1">
      <alignment horizontal="right" vertical="center"/>
    </xf>
    <xf numFmtId="170" fontId="4" fillId="18" borderId="0" xfId="0" applyNumberFormat="1" applyFont="1" applyFill="1" applyAlignment="1">
      <alignment horizontal="right" vertical="center"/>
    </xf>
    <xf numFmtId="170" fontId="4" fillId="17" borderId="0" xfId="0" applyNumberFormat="1" applyFont="1" applyFill="1" applyAlignment="1">
      <alignment horizontal="right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20" fillId="20" borderId="2" xfId="0" applyFont="1" applyFill="1" applyBorder="1"/>
    <xf numFmtId="169" fontId="0" fillId="20" borderId="2" xfId="0" applyNumberFormat="1" applyFill="1" applyBorder="1" applyAlignment="1">
      <alignment horizontal="center" vertical="center"/>
    </xf>
    <xf numFmtId="0" fontId="0" fillId="20" borderId="2" xfId="0" applyFill="1" applyBorder="1"/>
    <xf numFmtId="170" fontId="0" fillId="20" borderId="2" xfId="0" applyNumberFormat="1" applyFill="1" applyBorder="1" applyAlignment="1">
      <alignment horizontal="right" vertical="center"/>
    </xf>
    <xf numFmtId="173" fontId="0" fillId="20" borderId="2" xfId="0" applyNumberFormat="1" applyFill="1" applyBorder="1" applyAlignment="1">
      <alignment horizontal="center" vertical="center"/>
    </xf>
    <xf numFmtId="0" fontId="29" fillId="20" borderId="2" xfId="0" applyFont="1" applyFill="1" applyBorder="1"/>
    <xf numFmtId="170" fontId="4" fillId="20" borderId="2" xfId="0" applyNumberFormat="1" applyFont="1" applyFill="1" applyBorder="1" applyAlignment="1">
      <alignment horizontal="right" vertical="center"/>
    </xf>
    <xf numFmtId="0" fontId="20" fillId="17" borderId="2" xfId="0" applyFont="1" applyFill="1" applyBorder="1"/>
    <xf numFmtId="0" fontId="0" fillId="17" borderId="0" xfId="0" applyFill="1"/>
    <xf numFmtId="0" fontId="20" fillId="18" borderId="2" xfId="0" applyFont="1" applyFill="1" applyBorder="1"/>
    <xf numFmtId="0" fontId="31" fillId="0" borderId="0" xfId="0" applyFont="1"/>
    <xf numFmtId="0" fontId="0" fillId="18" borderId="0" xfId="0" applyFill="1"/>
    <xf numFmtId="0" fontId="7" fillId="18" borderId="2" xfId="0" applyFont="1" applyFill="1" applyBorder="1" applyAlignment="1">
      <alignment horizontal="left" vertical="center" wrapText="1"/>
    </xf>
    <xf numFmtId="0" fontId="9" fillId="20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9" fillId="19" borderId="2" xfId="0" applyFont="1" applyFill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7" fillId="0" borderId="0" xfId="0" applyFont="1" applyAlignment="1">
      <alignment horizontal="right" vertical="center"/>
    </xf>
    <xf numFmtId="170" fontId="19" fillId="0" borderId="3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9" fillId="29" borderId="0" xfId="0" applyFont="1" applyFill="1"/>
  </cellXfs>
  <cellStyles count="1">
    <cellStyle name="Normal" xfId="0" builtinId="0"/>
  </cellStyles>
  <dxfs count="174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F2F2F2"/>
      <rgbColor rgb="FF800000"/>
      <rgbColor rgb="FF008000"/>
      <rgbColor rgb="FF000080"/>
      <rgbColor rgb="FF7F6000"/>
      <rgbColor rgb="FF800080"/>
      <rgbColor rgb="FF2E75B6"/>
      <rgbColor rgb="FFBFBFBF"/>
      <rgbColor rgb="FF808080"/>
      <rgbColor rgb="FF8EAADB"/>
      <rgbColor rgb="FF7030A0"/>
      <rgbColor rgb="FFFFF2CC"/>
      <rgbColor rgb="FFDDEBF7"/>
      <rgbColor rgb="FF660066"/>
      <rgbColor rgb="FFFCE4D6"/>
      <rgbColor rgb="FF0563C1"/>
      <rgbColor rgb="FFD0D0D0"/>
      <rgbColor rgb="FF000080"/>
      <rgbColor rgb="FFFF00FF"/>
      <rgbColor rgb="FFFFE699"/>
      <rgbColor rgb="FFFFF8E7"/>
      <rgbColor rgb="FF800080"/>
      <rgbColor rgb="FF800000"/>
      <rgbColor rgb="FF1F4E78"/>
      <rgbColor rgb="FF0000FF"/>
      <rgbColor rgb="FF00CCFF"/>
      <rgbColor rgb="FFE2EFDA"/>
      <rgbColor rgb="FFC6EFCE"/>
      <rgbColor rgb="FFFFEB9C"/>
      <rgbColor rgb="FFD9D9D9"/>
      <rgbColor rgb="FFF8B4B4"/>
      <rgbColor rgb="FFD9E1F2"/>
      <rgbColor rgb="FFFFC7CE"/>
      <rgbColor rgb="FF4472C4"/>
      <rgbColor rgb="FFF0F0F0"/>
      <rgbColor rgb="FF70AD47"/>
      <rgbColor rgb="FFFFD24D"/>
      <rgbColor rgb="FFFBE5D6"/>
      <rgbColor rgb="FFED7D31"/>
      <rgbColor rgb="FF595959"/>
      <rgbColor rgb="FFB3B3B3"/>
      <rgbColor rgb="FF1F3864"/>
      <rgbColor rgb="FF548235"/>
      <rgbColor rgb="FF003300"/>
      <rgbColor rgb="FF375623"/>
      <rgbColor rgb="FF843C0C"/>
      <rgbColor rgb="FFC55A11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_series_3!$B$2:$Y$2</c:f>
              <c:numCache>
                <c:formatCode>General</c:formatCode>
                <c:ptCount val="24"/>
                <c:pt idx="0">
                  <c:v>1823.2</c:v>
                </c:pt>
                <c:pt idx="1">
                  <c:v>2200.79</c:v>
                </c:pt>
                <c:pt idx="2">
                  <c:v>1506.86</c:v>
                </c:pt>
                <c:pt idx="3">
                  <c:v>1294.73</c:v>
                </c:pt>
                <c:pt idx="4">
                  <c:v>701.24</c:v>
                </c:pt>
                <c:pt idx="5">
                  <c:v>2057.58</c:v>
                </c:pt>
                <c:pt idx="6">
                  <c:v>704.65</c:v>
                </c:pt>
                <c:pt idx="7">
                  <c:v>1131.33</c:v>
                </c:pt>
                <c:pt idx="8">
                  <c:v>1195.22</c:v>
                </c:pt>
                <c:pt idx="9">
                  <c:v>1397.39</c:v>
                </c:pt>
                <c:pt idx="10">
                  <c:v>1489.78</c:v>
                </c:pt>
                <c:pt idx="11">
                  <c:v>1604.92</c:v>
                </c:pt>
                <c:pt idx="12">
                  <c:v>2264.6799999999998</c:v>
                </c:pt>
                <c:pt idx="13">
                  <c:v>2392.2199999999998</c:v>
                </c:pt>
                <c:pt idx="14">
                  <c:v>1906.5</c:v>
                </c:pt>
                <c:pt idx="15">
                  <c:v>1541.7</c:v>
                </c:pt>
                <c:pt idx="16">
                  <c:v>1553.06</c:v>
                </c:pt>
                <c:pt idx="17">
                  <c:v>1623.98</c:v>
                </c:pt>
                <c:pt idx="18">
                  <c:v>1669.87</c:v>
                </c:pt>
                <c:pt idx="19">
                  <c:v>1287.26</c:v>
                </c:pt>
                <c:pt idx="20">
                  <c:v>1560.23</c:v>
                </c:pt>
                <c:pt idx="21">
                  <c:v>1696.52</c:v>
                </c:pt>
                <c:pt idx="22">
                  <c:v>1398.99</c:v>
                </c:pt>
                <c:pt idx="23">
                  <c:v>1699.39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0-E844-A140-1A67B317D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457527"/>
        <c:axId val="89082953"/>
      </c:lineChart>
      <c:catAx>
        <c:axId val="794575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9082953"/>
        <c:crosses val="autoZero"/>
        <c:auto val="1"/>
        <c:lblAlgn val="ctr"/>
        <c:lblOffset val="100"/>
        <c:noMultiLvlLbl val="0"/>
      </c:catAx>
      <c:valAx>
        <c:axId val="890829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94575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_series_3!$B$3:$Y$3</c:f>
              <c:numCache>
                <c:formatCode>General</c:formatCode>
                <c:ptCount val="24"/>
                <c:pt idx="0">
                  <c:v>2278.23</c:v>
                </c:pt>
                <c:pt idx="1">
                  <c:v>2606.4899999999998</c:v>
                </c:pt>
                <c:pt idx="2">
                  <c:v>1372.78</c:v>
                </c:pt>
                <c:pt idx="3">
                  <c:v>1218.04</c:v>
                </c:pt>
                <c:pt idx="4">
                  <c:v>852.42</c:v>
                </c:pt>
                <c:pt idx="5">
                  <c:v>892.96</c:v>
                </c:pt>
                <c:pt idx="6">
                  <c:v>526.46</c:v>
                </c:pt>
                <c:pt idx="7">
                  <c:v>703.02</c:v>
                </c:pt>
                <c:pt idx="8">
                  <c:v>973.88</c:v>
                </c:pt>
                <c:pt idx="9">
                  <c:v>1071.5</c:v>
                </c:pt>
                <c:pt idx="10">
                  <c:v>1198.45</c:v>
                </c:pt>
                <c:pt idx="11">
                  <c:v>1352.91</c:v>
                </c:pt>
                <c:pt idx="12">
                  <c:v>2137.7800000000002</c:v>
                </c:pt>
                <c:pt idx="13">
                  <c:v>2576.37</c:v>
                </c:pt>
                <c:pt idx="14">
                  <c:v>1966.13</c:v>
                </c:pt>
                <c:pt idx="15">
                  <c:v>1508.21</c:v>
                </c:pt>
                <c:pt idx="16">
                  <c:v>982.22</c:v>
                </c:pt>
                <c:pt idx="17">
                  <c:v>980.76</c:v>
                </c:pt>
                <c:pt idx="18">
                  <c:v>639.12</c:v>
                </c:pt>
                <c:pt idx="19">
                  <c:v>1081.3900000000001</c:v>
                </c:pt>
                <c:pt idx="20">
                  <c:v>1166.31</c:v>
                </c:pt>
                <c:pt idx="21">
                  <c:v>1408.31</c:v>
                </c:pt>
                <c:pt idx="22">
                  <c:v>1317.52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4-CA44-92F9-2047D5A3F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316705"/>
        <c:axId val="34472702"/>
      </c:lineChart>
      <c:catAx>
        <c:axId val="3931670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4472702"/>
        <c:crosses val="autoZero"/>
        <c:auto val="1"/>
        <c:lblAlgn val="ctr"/>
        <c:lblOffset val="100"/>
        <c:noMultiLvlLbl val="0"/>
      </c:catAx>
      <c:valAx>
        <c:axId val="344727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9316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_series_3!$B$4:$Y$4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1625.21</c:v>
                </c:pt>
                <c:pt idx="20">
                  <c:v>3262.26</c:v>
                </c:pt>
                <c:pt idx="21">
                  <c:v>3637.92</c:v>
                </c:pt>
                <c:pt idx="22">
                  <c:v>3747.07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41-B346-920C-5C94CA8A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385142"/>
        <c:axId val="22158150"/>
      </c:lineChart>
      <c:catAx>
        <c:axId val="363851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158150"/>
        <c:crosses val="autoZero"/>
        <c:auto val="1"/>
        <c:lblAlgn val="ctr"/>
        <c:lblOffset val="100"/>
        <c:noMultiLvlLbl val="0"/>
      </c:catAx>
      <c:valAx>
        <c:axId val="221581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6385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_series_3!$B$5:$Y$5</c:f>
              <c:numCache>
                <c:formatCode>General</c:formatCode>
                <c:ptCount val="24"/>
                <c:pt idx="0">
                  <c:v>4696.57</c:v>
                </c:pt>
                <c:pt idx="1">
                  <c:v>5119.32</c:v>
                </c:pt>
                <c:pt idx="2">
                  <c:v>3940.09</c:v>
                </c:pt>
                <c:pt idx="3">
                  <c:v>4434.05</c:v>
                </c:pt>
                <c:pt idx="4">
                  <c:v>4230.84</c:v>
                </c:pt>
                <c:pt idx="5">
                  <c:v>4056.83</c:v>
                </c:pt>
                <c:pt idx="6">
                  <c:v>3691.35</c:v>
                </c:pt>
                <c:pt idx="7">
                  <c:v>4434.05</c:v>
                </c:pt>
                <c:pt idx="8">
                  <c:v>4606.2299999999996</c:v>
                </c:pt>
                <c:pt idx="9">
                  <c:v>3691.35</c:v>
                </c:pt>
                <c:pt idx="10">
                  <c:v>3472.32</c:v>
                </c:pt>
                <c:pt idx="11">
                  <c:v>3278.22</c:v>
                </c:pt>
                <c:pt idx="12">
                  <c:v>4267.4799999999996</c:v>
                </c:pt>
                <c:pt idx="13">
                  <c:v>4424.0200000000004</c:v>
                </c:pt>
                <c:pt idx="14">
                  <c:v>3939.03</c:v>
                </c:pt>
                <c:pt idx="15">
                  <c:v>3404.76</c:v>
                </c:pt>
                <c:pt idx="16">
                  <c:v>3733.87</c:v>
                </c:pt>
                <c:pt idx="17">
                  <c:v>3769.58</c:v>
                </c:pt>
                <c:pt idx="18">
                  <c:v>2917.21</c:v>
                </c:pt>
                <c:pt idx="19">
                  <c:v>3522.69</c:v>
                </c:pt>
                <c:pt idx="20">
                  <c:v>3557.98</c:v>
                </c:pt>
                <c:pt idx="21">
                  <c:v>3087.33</c:v>
                </c:pt>
                <c:pt idx="22">
                  <c:v>3133.52</c:v>
                </c:pt>
                <c:pt idx="23">
                  <c:v>3743.04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C-8540-A56F-9917E50DA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556420"/>
        <c:axId val="56894587"/>
      </c:lineChart>
      <c:catAx>
        <c:axId val="955564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6894587"/>
        <c:crosses val="autoZero"/>
        <c:auto val="1"/>
        <c:lblAlgn val="ctr"/>
        <c:lblOffset val="100"/>
        <c:noMultiLvlLbl val="0"/>
      </c:catAx>
      <c:valAx>
        <c:axId val="568945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55564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_series_3!$B$6:$Y$6</c:f>
              <c:numCache>
                <c:formatCode>General</c:formatCode>
                <c:ptCount val="24"/>
                <c:pt idx="0">
                  <c:v>643.79</c:v>
                </c:pt>
                <c:pt idx="1">
                  <c:v>476.53</c:v>
                </c:pt>
                <c:pt idx="2">
                  <c:v>592.29999999999995</c:v>
                </c:pt>
                <c:pt idx="3">
                  <c:v>631.05999999999995</c:v>
                </c:pt>
                <c:pt idx="4">
                  <c:v>457.49</c:v>
                </c:pt>
                <c:pt idx="5">
                  <c:v>578.16</c:v>
                </c:pt>
                <c:pt idx="6">
                  <c:v>596.33000000000004</c:v>
                </c:pt>
                <c:pt idx="7">
                  <c:v>602.79</c:v>
                </c:pt>
                <c:pt idx="8">
                  <c:v>791.23</c:v>
                </c:pt>
                <c:pt idx="9">
                  <c:v>624.49</c:v>
                </c:pt>
                <c:pt idx="10">
                  <c:v>601.33000000000004</c:v>
                </c:pt>
                <c:pt idx="11">
                  <c:v>711.31</c:v>
                </c:pt>
                <c:pt idx="12">
                  <c:v>738.16</c:v>
                </c:pt>
                <c:pt idx="13">
                  <c:v>605.42999999999995</c:v>
                </c:pt>
                <c:pt idx="14">
                  <c:v>803.47</c:v>
                </c:pt>
                <c:pt idx="15">
                  <c:v>816.36</c:v>
                </c:pt>
                <c:pt idx="16">
                  <c:v>572.69000000000005</c:v>
                </c:pt>
                <c:pt idx="17">
                  <c:v>690.5</c:v>
                </c:pt>
                <c:pt idx="18">
                  <c:v>712.22</c:v>
                </c:pt>
                <c:pt idx="19">
                  <c:v>695.09</c:v>
                </c:pt>
                <c:pt idx="20">
                  <c:v>791.23</c:v>
                </c:pt>
                <c:pt idx="21">
                  <c:v>741.17</c:v>
                </c:pt>
                <c:pt idx="22">
                  <c:v>782.58</c:v>
                </c:pt>
                <c:pt idx="23">
                  <c:v>755.25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7-6040-B0A6-B339B3F8C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2255571"/>
        <c:axId val="17068634"/>
      </c:lineChart>
      <c:catAx>
        <c:axId val="7225557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7068634"/>
        <c:crosses val="autoZero"/>
        <c:auto val="1"/>
        <c:lblAlgn val="ctr"/>
        <c:lblOffset val="100"/>
        <c:noMultiLvlLbl val="0"/>
      </c:catAx>
      <c:valAx>
        <c:axId val="170686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2255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_series_3!$B$7:$Y$7</c:f>
              <c:numCache>
                <c:formatCode>General</c:formatCode>
                <c:ptCount val="24"/>
                <c:pt idx="0">
                  <c:v>632.44000000000005</c:v>
                </c:pt>
                <c:pt idx="1">
                  <c:v>592.69000000000005</c:v>
                </c:pt>
                <c:pt idx="2">
                  <c:v>610.04</c:v>
                </c:pt>
                <c:pt idx="3">
                  <c:v>632.66</c:v>
                </c:pt>
                <c:pt idx="4">
                  <c:v>637.17999999999995</c:v>
                </c:pt>
                <c:pt idx="5">
                  <c:v>207.37</c:v>
                </c:pt>
                <c:pt idx="6">
                  <c:v>706.19</c:v>
                </c:pt>
                <c:pt idx="7">
                  <c:v>645.52</c:v>
                </c:pt>
                <c:pt idx="8">
                  <c:v>899.33</c:v>
                </c:pt>
                <c:pt idx="9">
                  <c:v>591.1</c:v>
                </c:pt>
                <c:pt idx="10">
                  <c:v>643.89</c:v>
                </c:pt>
                <c:pt idx="11">
                  <c:v>696.92</c:v>
                </c:pt>
                <c:pt idx="12">
                  <c:v>731.73</c:v>
                </c:pt>
                <c:pt idx="13">
                  <c:v>688.65</c:v>
                </c:pt>
                <c:pt idx="14">
                  <c:v>794.97</c:v>
                </c:pt>
                <c:pt idx="15">
                  <c:v>824.16</c:v>
                </c:pt>
                <c:pt idx="16">
                  <c:v>684.8</c:v>
                </c:pt>
                <c:pt idx="17">
                  <c:v>331.28</c:v>
                </c:pt>
                <c:pt idx="18">
                  <c:v>819.21</c:v>
                </c:pt>
                <c:pt idx="19">
                  <c:v>753.83</c:v>
                </c:pt>
                <c:pt idx="20">
                  <c:v>1018.62</c:v>
                </c:pt>
                <c:pt idx="21">
                  <c:v>685.61</c:v>
                </c:pt>
                <c:pt idx="22">
                  <c:v>741.79</c:v>
                </c:pt>
                <c:pt idx="23">
                  <c:v>789.76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8-C44A-93D3-EB4EFBACD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041721"/>
        <c:axId val="84734676"/>
      </c:lineChart>
      <c:catAx>
        <c:axId val="6104172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4734676"/>
        <c:crosses val="autoZero"/>
        <c:auto val="1"/>
        <c:lblAlgn val="ctr"/>
        <c:lblOffset val="100"/>
        <c:noMultiLvlLbl val="0"/>
      </c:catAx>
      <c:valAx>
        <c:axId val="847346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10417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_series_3!$B$8:$Y$8</c:f>
              <c:numCache>
                <c:formatCode>General</c:formatCode>
                <c:ptCount val="24"/>
                <c:pt idx="0">
                  <c:v>524.5</c:v>
                </c:pt>
                <c:pt idx="1">
                  <c:v>166.78</c:v>
                </c:pt>
                <c:pt idx="2">
                  <c:v>444.46</c:v>
                </c:pt>
                <c:pt idx="3">
                  <c:v>345.59</c:v>
                </c:pt>
                <c:pt idx="4">
                  <c:v>0</c:v>
                </c:pt>
                <c:pt idx="5">
                  <c:v>233.91</c:v>
                </c:pt>
                <c:pt idx="6">
                  <c:v>294.11</c:v>
                </c:pt>
                <c:pt idx="7">
                  <c:v>270.48</c:v>
                </c:pt>
                <c:pt idx="8">
                  <c:v>383.23</c:v>
                </c:pt>
                <c:pt idx="9">
                  <c:v>290.33</c:v>
                </c:pt>
                <c:pt idx="10">
                  <c:v>336.88</c:v>
                </c:pt>
                <c:pt idx="11">
                  <c:v>502.61</c:v>
                </c:pt>
                <c:pt idx="12">
                  <c:v>634.9</c:v>
                </c:pt>
                <c:pt idx="13">
                  <c:v>239.55</c:v>
                </c:pt>
                <c:pt idx="14">
                  <c:v>628.5</c:v>
                </c:pt>
                <c:pt idx="15">
                  <c:v>440.92</c:v>
                </c:pt>
                <c:pt idx="16">
                  <c:v>411.49</c:v>
                </c:pt>
                <c:pt idx="17">
                  <c:v>407.39</c:v>
                </c:pt>
                <c:pt idx="18">
                  <c:v>420.96</c:v>
                </c:pt>
                <c:pt idx="19">
                  <c:v>391.83</c:v>
                </c:pt>
                <c:pt idx="20">
                  <c:v>427.24</c:v>
                </c:pt>
                <c:pt idx="21">
                  <c:v>354.48</c:v>
                </c:pt>
                <c:pt idx="22">
                  <c:v>412.63</c:v>
                </c:pt>
                <c:pt idx="23">
                  <c:v>593.22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36-3140-94FB-13ADAFE81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899638"/>
        <c:axId val="81167494"/>
      </c:lineChart>
      <c:catAx>
        <c:axId val="2189963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1167494"/>
        <c:crosses val="autoZero"/>
        <c:auto val="1"/>
        <c:lblAlgn val="ctr"/>
        <c:lblOffset val="100"/>
        <c:noMultiLvlLbl val="0"/>
      </c:catAx>
      <c:valAx>
        <c:axId val="811674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8996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_series_3!$B$9:$Y$9</c:f>
              <c:numCache>
                <c:formatCode>General</c:formatCode>
                <c:ptCount val="24"/>
                <c:pt idx="0">
                  <c:v>4475.16</c:v>
                </c:pt>
                <c:pt idx="1">
                  <c:v>4612.54</c:v>
                </c:pt>
                <c:pt idx="2">
                  <c:v>3701.38</c:v>
                </c:pt>
                <c:pt idx="3">
                  <c:v>4561.47</c:v>
                </c:pt>
                <c:pt idx="4">
                  <c:v>3334.09</c:v>
                </c:pt>
                <c:pt idx="5">
                  <c:v>3216.6</c:v>
                </c:pt>
                <c:pt idx="6">
                  <c:v>2924.41</c:v>
                </c:pt>
                <c:pt idx="7">
                  <c:v>2743.54</c:v>
                </c:pt>
                <c:pt idx="8">
                  <c:v>3702.5</c:v>
                </c:pt>
                <c:pt idx="9">
                  <c:v>3817.43</c:v>
                </c:pt>
                <c:pt idx="10">
                  <c:v>3300.04</c:v>
                </c:pt>
                <c:pt idx="11">
                  <c:v>2798.1</c:v>
                </c:pt>
                <c:pt idx="12">
                  <c:v>3784.48</c:v>
                </c:pt>
                <c:pt idx="13">
                  <c:v>3716.14</c:v>
                </c:pt>
                <c:pt idx="14">
                  <c:v>3334.45</c:v>
                </c:pt>
                <c:pt idx="15">
                  <c:v>3275.16</c:v>
                </c:pt>
                <c:pt idx="16">
                  <c:v>3190.07</c:v>
                </c:pt>
                <c:pt idx="17">
                  <c:v>2956.24</c:v>
                </c:pt>
                <c:pt idx="18">
                  <c:v>2736.06</c:v>
                </c:pt>
                <c:pt idx="19">
                  <c:v>2890.35</c:v>
                </c:pt>
                <c:pt idx="20">
                  <c:v>3365.79</c:v>
                </c:pt>
                <c:pt idx="21">
                  <c:v>2721.04</c:v>
                </c:pt>
                <c:pt idx="22">
                  <c:v>2640.22</c:v>
                </c:pt>
                <c:pt idx="23">
                  <c:v>3260.09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B-9342-99C0-9BB68E087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53933"/>
        <c:axId val="29788004"/>
      </c:lineChart>
      <c:catAx>
        <c:axId val="20539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9788004"/>
        <c:crosses val="autoZero"/>
        <c:auto val="1"/>
        <c:lblAlgn val="ctr"/>
        <c:lblOffset val="100"/>
        <c:noMultiLvlLbl val="0"/>
      </c:catAx>
      <c:valAx>
        <c:axId val="297880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053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_series_3!$B$10:$Y$10</c:f>
              <c:numCache>
                <c:formatCode>General</c:formatCode>
                <c:ptCount val="24"/>
                <c:pt idx="0">
                  <c:v>151.82</c:v>
                </c:pt>
                <c:pt idx="1">
                  <c:v>199.06</c:v>
                </c:pt>
                <c:pt idx="2">
                  <c:v>183.84</c:v>
                </c:pt>
                <c:pt idx="3">
                  <c:v>178.12</c:v>
                </c:pt>
                <c:pt idx="4">
                  <c:v>184.03</c:v>
                </c:pt>
                <c:pt idx="5">
                  <c:v>163.02000000000001</c:v>
                </c:pt>
                <c:pt idx="6">
                  <c:v>136.55000000000001</c:v>
                </c:pt>
                <c:pt idx="7">
                  <c:v>104.41</c:v>
                </c:pt>
                <c:pt idx="8">
                  <c:v>98.7</c:v>
                </c:pt>
                <c:pt idx="9">
                  <c:v>40.049999999999997</c:v>
                </c:pt>
                <c:pt idx="10">
                  <c:v>67.349999999999994</c:v>
                </c:pt>
                <c:pt idx="11">
                  <c:v>65.709999999999994</c:v>
                </c:pt>
                <c:pt idx="12">
                  <c:v>361.06</c:v>
                </c:pt>
                <c:pt idx="13">
                  <c:v>201.13</c:v>
                </c:pt>
                <c:pt idx="14">
                  <c:v>85.6</c:v>
                </c:pt>
                <c:pt idx="15">
                  <c:v>63.93</c:v>
                </c:pt>
                <c:pt idx="16">
                  <c:v>60.72</c:v>
                </c:pt>
                <c:pt idx="17">
                  <c:v>51.57</c:v>
                </c:pt>
                <c:pt idx="18">
                  <c:v>43.55</c:v>
                </c:pt>
                <c:pt idx="19">
                  <c:v>40.369999999999997</c:v>
                </c:pt>
                <c:pt idx="20">
                  <c:v>82.31</c:v>
                </c:pt>
                <c:pt idx="21">
                  <c:v>38.53</c:v>
                </c:pt>
                <c:pt idx="22">
                  <c:v>39.81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0-C14D-BC75-6821DB233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224042"/>
        <c:axId val="87556850"/>
      </c:lineChart>
      <c:catAx>
        <c:axId val="3422404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7556850"/>
        <c:crosses val="autoZero"/>
        <c:auto val="1"/>
        <c:lblAlgn val="ctr"/>
        <c:lblOffset val="100"/>
        <c:noMultiLvlLbl val="0"/>
      </c:catAx>
      <c:valAx>
        <c:axId val="875568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4224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_series_3!$B$11:$Y$11</c:f>
              <c:numCache>
                <c:formatCode>General</c:formatCode>
                <c:ptCount val="24"/>
                <c:pt idx="0">
                  <c:v>1167.19</c:v>
                </c:pt>
                <c:pt idx="1">
                  <c:v>1131.8599999999999</c:v>
                </c:pt>
                <c:pt idx="2">
                  <c:v>610.86</c:v>
                </c:pt>
                <c:pt idx="3">
                  <c:v>553.94000000000005</c:v>
                </c:pt>
                <c:pt idx="4">
                  <c:v>544.65</c:v>
                </c:pt>
                <c:pt idx="5">
                  <c:v>727.09</c:v>
                </c:pt>
                <c:pt idx="6">
                  <c:v>952.35</c:v>
                </c:pt>
                <c:pt idx="7">
                  <c:v>581.27</c:v>
                </c:pt>
                <c:pt idx="8">
                  <c:v>746.2</c:v>
                </c:pt>
                <c:pt idx="9">
                  <c:v>543.77</c:v>
                </c:pt>
                <c:pt idx="10">
                  <c:v>442.06</c:v>
                </c:pt>
                <c:pt idx="11">
                  <c:v>643.80999999999995</c:v>
                </c:pt>
                <c:pt idx="12">
                  <c:v>881.89</c:v>
                </c:pt>
                <c:pt idx="13">
                  <c:v>963.15</c:v>
                </c:pt>
                <c:pt idx="14">
                  <c:v>800.92</c:v>
                </c:pt>
                <c:pt idx="15">
                  <c:v>588.39</c:v>
                </c:pt>
                <c:pt idx="16">
                  <c:v>478.95</c:v>
                </c:pt>
                <c:pt idx="17">
                  <c:v>812.61</c:v>
                </c:pt>
                <c:pt idx="18">
                  <c:v>783.67</c:v>
                </c:pt>
                <c:pt idx="19">
                  <c:v>595.95000000000005</c:v>
                </c:pt>
                <c:pt idx="20">
                  <c:v>634.87</c:v>
                </c:pt>
                <c:pt idx="21">
                  <c:v>433.2</c:v>
                </c:pt>
                <c:pt idx="22">
                  <c:v>544.11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C-D34D-AC0B-07457F3CE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758329"/>
        <c:axId val="21168417"/>
      </c:lineChart>
      <c:catAx>
        <c:axId val="957583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168417"/>
        <c:crosses val="autoZero"/>
        <c:auto val="1"/>
        <c:lblAlgn val="ctr"/>
        <c:lblOffset val="100"/>
        <c:noMultiLvlLbl val="0"/>
      </c:catAx>
      <c:valAx>
        <c:axId val="211684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57583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_series_3!$B$12:$Y$12</c:f>
              <c:numCache>
                <c:formatCode>General</c:formatCode>
                <c:ptCount val="24"/>
                <c:pt idx="0">
                  <c:v>128.85</c:v>
                </c:pt>
                <c:pt idx="1">
                  <c:v>119.74</c:v>
                </c:pt>
                <c:pt idx="2">
                  <c:v>120.37</c:v>
                </c:pt>
                <c:pt idx="3">
                  <c:v>126</c:v>
                </c:pt>
                <c:pt idx="4">
                  <c:v>121.75</c:v>
                </c:pt>
                <c:pt idx="5">
                  <c:v>129.12</c:v>
                </c:pt>
                <c:pt idx="6">
                  <c:v>118.2</c:v>
                </c:pt>
                <c:pt idx="7">
                  <c:v>116.61</c:v>
                </c:pt>
                <c:pt idx="8">
                  <c:v>118.21</c:v>
                </c:pt>
                <c:pt idx="9">
                  <c:v>118.11</c:v>
                </c:pt>
                <c:pt idx="10">
                  <c:v>120.31</c:v>
                </c:pt>
                <c:pt idx="11">
                  <c:v>110.46</c:v>
                </c:pt>
                <c:pt idx="12">
                  <c:v>126.3</c:v>
                </c:pt>
                <c:pt idx="13">
                  <c:v>120.84</c:v>
                </c:pt>
                <c:pt idx="14">
                  <c:v>118.41</c:v>
                </c:pt>
                <c:pt idx="15">
                  <c:v>110.34</c:v>
                </c:pt>
                <c:pt idx="16">
                  <c:v>143.28</c:v>
                </c:pt>
                <c:pt idx="17">
                  <c:v>123.63</c:v>
                </c:pt>
                <c:pt idx="18">
                  <c:v>117.54</c:v>
                </c:pt>
                <c:pt idx="19">
                  <c:v>119.84</c:v>
                </c:pt>
                <c:pt idx="20">
                  <c:v>122.01</c:v>
                </c:pt>
                <c:pt idx="21">
                  <c:v>115.84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9-0B4B-82BB-5AA888D89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879340"/>
        <c:axId val="45558014"/>
      </c:lineChart>
      <c:catAx>
        <c:axId val="688793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5558014"/>
        <c:crosses val="autoZero"/>
        <c:auto val="1"/>
        <c:lblAlgn val="ctr"/>
        <c:lblOffset val="100"/>
        <c:noMultiLvlLbl val="0"/>
      </c:catAx>
      <c:valAx>
        <c:axId val="455580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88793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_series_3!$B$13:$Y$13</c:f>
              <c:numCache>
                <c:formatCode>General</c:formatCode>
                <c:ptCount val="24"/>
                <c:pt idx="0">
                  <c:v>1506.8</c:v>
                </c:pt>
                <c:pt idx="1">
                  <c:v>1792.99</c:v>
                </c:pt>
                <c:pt idx="2">
                  <c:v>833.07</c:v>
                </c:pt>
                <c:pt idx="3">
                  <c:v>766.01</c:v>
                </c:pt>
                <c:pt idx="4">
                  <c:v>194.02</c:v>
                </c:pt>
                <c:pt idx="5">
                  <c:v>665.19</c:v>
                </c:pt>
                <c:pt idx="6">
                  <c:v>676.36</c:v>
                </c:pt>
                <c:pt idx="7">
                  <c:v>603.95000000000005</c:v>
                </c:pt>
                <c:pt idx="8">
                  <c:v>730.96</c:v>
                </c:pt>
                <c:pt idx="9">
                  <c:v>678.97</c:v>
                </c:pt>
                <c:pt idx="10">
                  <c:v>774.09</c:v>
                </c:pt>
                <c:pt idx="11">
                  <c:v>774.72</c:v>
                </c:pt>
                <c:pt idx="12">
                  <c:v>1594.97</c:v>
                </c:pt>
                <c:pt idx="13">
                  <c:v>1863.52</c:v>
                </c:pt>
                <c:pt idx="14">
                  <c:v>1379.87</c:v>
                </c:pt>
                <c:pt idx="15">
                  <c:v>902.28</c:v>
                </c:pt>
                <c:pt idx="16">
                  <c:v>243.48</c:v>
                </c:pt>
                <c:pt idx="17">
                  <c:v>790.46</c:v>
                </c:pt>
                <c:pt idx="18">
                  <c:v>762.17</c:v>
                </c:pt>
                <c:pt idx="19">
                  <c:v>615.97</c:v>
                </c:pt>
                <c:pt idx="20">
                  <c:v>542.6</c:v>
                </c:pt>
                <c:pt idx="21">
                  <c:v>641.55999999999995</c:v>
                </c:pt>
                <c:pt idx="22">
                  <c:v>747.69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8-A84D-B7EA-F2037B559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859483"/>
        <c:axId val="84555638"/>
      </c:lineChart>
      <c:catAx>
        <c:axId val="6385948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4555638"/>
        <c:crosses val="autoZero"/>
        <c:auto val="1"/>
        <c:lblAlgn val="ctr"/>
        <c:lblOffset val="100"/>
        <c:noMultiLvlLbl val="0"/>
      </c:catAx>
      <c:valAx>
        <c:axId val="845556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3859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_series_3!$B$14:$Y$14</c:f>
              <c:numCache>
                <c:formatCode>General</c:formatCode>
                <c:ptCount val="24"/>
                <c:pt idx="0">
                  <c:v>693.23</c:v>
                </c:pt>
                <c:pt idx="1">
                  <c:v>552.9</c:v>
                </c:pt>
                <c:pt idx="2">
                  <c:v>433.72</c:v>
                </c:pt>
                <c:pt idx="3">
                  <c:v>362.57</c:v>
                </c:pt>
                <c:pt idx="4">
                  <c:v>340.99</c:v>
                </c:pt>
                <c:pt idx="5">
                  <c:v>389.79</c:v>
                </c:pt>
                <c:pt idx="6">
                  <c:v>446.52</c:v>
                </c:pt>
                <c:pt idx="7">
                  <c:v>418.69</c:v>
                </c:pt>
                <c:pt idx="8">
                  <c:v>387.06</c:v>
                </c:pt>
                <c:pt idx="9">
                  <c:v>287.83999999999997</c:v>
                </c:pt>
                <c:pt idx="10">
                  <c:v>309.27999999999997</c:v>
                </c:pt>
                <c:pt idx="11">
                  <c:v>360.8</c:v>
                </c:pt>
                <c:pt idx="12">
                  <c:v>523.09</c:v>
                </c:pt>
                <c:pt idx="13">
                  <c:v>475.61</c:v>
                </c:pt>
                <c:pt idx="14">
                  <c:v>414.61</c:v>
                </c:pt>
                <c:pt idx="15">
                  <c:v>335.53</c:v>
                </c:pt>
                <c:pt idx="16">
                  <c:v>354.84</c:v>
                </c:pt>
                <c:pt idx="17">
                  <c:v>421.51</c:v>
                </c:pt>
                <c:pt idx="18">
                  <c:v>502.41</c:v>
                </c:pt>
                <c:pt idx="19">
                  <c:v>454.39</c:v>
                </c:pt>
                <c:pt idx="20">
                  <c:v>353.18</c:v>
                </c:pt>
                <c:pt idx="21">
                  <c:v>161.47</c:v>
                </c:pt>
                <c:pt idx="22">
                  <c:v>302.83999999999997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4-D549-939F-1744EB1CB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476005"/>
        <c:axId val="31608333"/>
      </c:lineChart>
      <c:catAx>
        <c:axId val="9647600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1608333"/>
        <c:crosses val="autoZero"/>
        <c:auto val="1"/>
        <c:lblAlgn val="ctr"/>
        <c:lblOffset val="100"/>
        <c:noMultiLvlLbl val="0"/>
      </c:catAx>
      <c:valAx>
        <c:axId val="316083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4760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_series_3!$B$15:$Y$15</c:f>
              <c:numCache>
                <c:formatCode>General</c:formatCode>
                <c:ptCount val="24"/>
                <c:pt idx="0">
                  <c:v>153.99</c:v>
                </c:pt>
                <c:pt idx="1">
                  <c:v>163.34</c:v>
                </c:pt>
                <c:pt idx="2">
                  <c:v>87.39</c:v>
                </c:pt>
                <c:pt idx="3">
                  <c:v>84.32</c:v>
                </c:pt>
                <c:pt idx="4">
                  <c:v>56.29</c:v>
                </c:pt>
                <c:pt idx="5">
                  <c:v>72.5</c:v>
                </c:pt>
                <c:pt idx="6">
                  <c:v>86.78</c:v>
                </c:pt>
                <c:pt idx="7">
                  <c:v>75.95</c:v>
                </c:pt>
                <c:pt idx="8">
                  <c:v>62.51</c:v>
                </c:pt>
                <c:pt idx="9">
                  <c:v>89.8</c:v>
                </c:pt>
                <c:pt idx="10">
                  <c:v>102.08</c:v>
                </c:pt>
                <c:pt idx="11">
                  <c:v>160.63</c:v>
                </c:pt>
                <c:pt idx="12">
                  <c:v>240.96</c:v>
                </c:pt>
                <c:pt idx="13">
                  <c:v>176.31</c:v>
                </c:pt>
                <c:pt idx="14">
                  <c:v>154.65</c:v>
                </c:pt>
                <c:pt idx="15">
                  <c:v>105.42</c:v>
                </c:pt>
                <c:pt idx="16">
                  <c:v>106.51</c:v>
                </c:pt>
                <c:pt idx="17">
                  <c:v>147.06</c:v>
                </c:pt>
                <c:pt idx="18">
                  <c:v>201.1</c:v>
                </c:pt>
                <c:pt idx="19">
                  <c:v>180.88</c:v>
                </c:pt>
                <c:pt idx="20">
                  <c:v>134.57</c:v>
                </c:pt>
                <c:pt idx="21">
                  <c:v>119.32</c:v>
                </c:pt>
                <c:pt idx="22">
                  <c:v>107.6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E-DD41-9803-200880625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604252"/>
        <c:axId val="56582496"/>
      </c:lineChart>
      <c:catAx>
        <c:axId val="146042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6582496"/>
        <c:crosses val="autoZero"/>
        <c:auto val="1"/>
        <c:lblAlgn val="ctr"/>
        <c:lblOffset val="100"/>
        <c:noMultiLvlLbl val="0"/>
      </c:catAx>
      <c:valAx>
        <c:axId val="565824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46042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_series_3!$B$16:$Y$16</c:f>
              <c:numCache>
                <c:formatCode>General</c:formatCode>
                <c:ptCount val="24"/>
                <c:pt idx="0">
                  <c:v>603.54</c:v>
                </c:pt>
                <c:pt idx="1">
                  <c:v>655.43</c:v>
                </c:pt>
                <c:pt idx="2">
                  <c:v>506.31</c:v>
                </c:pt>
                <c:pt idx="3">
                  <c:v>465.23</c:v>
                </c:pt>
                <c:pt idx="4">
                  <c:v>409.29</c:v>
                </c:pt>
                <c:pt idx="5">
                  <c:v>548.46</c:v>
                </c:pt>
                <c:pt idx="6">
                  <c:v>492.1</c:v>
                </c:pt>
                <c:pt idx="7">
                  <c:v>491.6</c:v>
                </c:pt>
                <c:pt idx="8">
                  <c:v>623.9</c:v>
                </c:pt>
                <c:pt idx="9">
                  <c:v>695.32</c:v>
                </c:pt>
                <c:pt idx="10">
                  <c:v>685.39</c:v>
                </c:pt>
                <c:pt idx="11">
                  <c:v>604.64</c:v>
                </c:pt>
                <c:pt idx="12">
                  <c:v>607.41</c:v>
                </c:pt>
                <c:pt idx="13">
                  <c:v>743.97</c:v>
                </c:pt>
                <c:pt idx="14">
                  <c:v>563.07000000000005</c:v>
                </c:pt>
                <c:pt idx="15">
                  <c:v>543.73</c:v>
                </c:pt>
                <c:pt idx="16">
                  <c:v>537.26</c:v>
                </c:pt>
                <c:pt idx="17">
                  <c:v>451.19</c:v>
                </c:pt>
                <c:pt idx="18">
                  <c:v>441.06</c:v>
                </c:pt>
                <c:pt idx="19">
                  <c:v>574.27</c:v>
                </c:pt>
                <c:pt idx="20">
                  <c:v>531.25</c:v>
                </c:pt>
                <c:pt idx="21">
                  <c:v>552.85</c:v>
                </c:pt>
                <c:pt idx="22">
                  <c:v>562.65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0-A140-B57F-E05BE03F6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2115415"/>
        <c:axId val="79782343"/>
      </c:lineChart>
      <c:catAx>
        <c:axId val="7211541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9782343"/>
        <c:crosses val="autoZero"/>
        <c:auto val="1"/>
        <c:lblAlgn val="ctr"/>
        <c:lblOffset val="100"/>
        <c:noMultiLvlLbl val="0"/>
      </c:catAx>
      <c:valAx>
        <c:axId val="797823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2115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_series_3!$B$17:$Y$17</c:f>
              <c:numCache>
                <c:formatCode>General</c:formatCode>
                <c:ptCount val="24"/>
                <c:pt idx="0">
                  <c:v>151.82</c:v>
                </c:pt>
                <c:pt idx="1">
                  <c:v>199.06</c:v>
                </c:pt>
                <c:pt idx="2">
                  <c:v>183.84</c:v>
                </c:pt>
                <c:pt idx="3">
                  <c:v>178.12</c:v>
                </c:pt>
                <c:pt idx="4">
                  <c:v>184.03</c:v>
                </c:pt>
                <c:pt idx="5">
                  <c:v>163.02000000000001</c:v>
                </c:pt>
                <c:pt idx="6">
                  <c:v>136.55000000000001</c:v>
                </c:pt>
                <c:pt idx="7">
                  <c:v>104.41</c:v>
                </c:pt>
                <c:pt idx="8">
                  <c:v>98.7</c:v>
                </c:pt>
                <c:pt idx="9">
                  <c:v>40.049999999999997</c:v>
                </c:pt>
                <c:pt idx="10">
                  <c:v>67.349999999999994</c:v>
                </c:pt>
                <c:pt idx="11">
                  <c:v>65.709999999999994</c:v>
                </c:pt>
                <c:pt idx="12">
                  <c:v>361.06</c:v>
                </c:pt>
                <c:pt idx="13">
                  <c:v>201.13</c:v>
                </c:pt>
                <c:pt idx="14">
                  <c:v>85.6</c:v>
                </c:pt>
                <c:pt idx="15">
                  <c:v>63.93</c:v>
                </c:pt>
                <c:pt idx="16">
                  <c:v>60.72</c:v>
                </c:pt>
                <c:pt idx="17">
                  <c:v>51.57</c:v>
                </c:pt>
                <c:pt idx="18">
                  <c:v>43.55</c:v>
                </c:pt>
                <c:pt idx="19">
                  <c:v>40.369999999999997</c:v>
                </c:pt>
                <c:pt idx="20">
                  <c:v>82.31</c:v>
                </c:pt>
                <c:pt idx="21">
                  <c:v>38.53</c:v>
                </c:pt>
                <c:pt idx="22">
                  <c:v>39.81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F-2742-8778-4BA1AE7F9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666765"/>
        <c:axId val="83803427"/>
      </c:lineChart>
      <c:catAx>
        <c:axId val="496667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3803427"/>
        <c:crosses val="autoZero"/>
        <c:auto val="1"/>
        <c:lblAlgn val="ctr"/>
        <c:lblOffset val="100"/>
        <c:noMultiLvlLbl val="0"/>
      </c:catAx>
      <c:valAx>
        <c:axId val="83803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9666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_series_3!$B$18:$Y$18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262.87</c:v>
                </c:pt>
                <c:pt idx="5">
                  <c:v>272.44</c:v>
                </c:pt>
                <c:pt idx="6">
                  <c:v>322.45</c:v>
                </c:pt>
                <c:pt idx="7">
                  <c:v>279.82</c:v>
                </c:pt>
                <c:pt idx="8">
                  <c:v>300.62</c:v>
                </c:pt>
                <c:pt idx="9">
                  <c:v>288.22000000000003</c:v>
                </c:pt>
                <c:pt idx="10">
                  <c:v>286.45999999999998</c:v>
                </c:pt>
                <c:pt idx="11">
                  <c:v>299.16000000000003</c:v>
                </c:pt>
                <c:pt idx="12">
                  <c:v>319.89</c:v>
                </c:pt>
                <c:pt idx="13">
                  <c:v>367.14</c:v>
                </c:pt>
                <c:pt idx="14">
                  <c:v>403.18</c:v>
                </c:pt>
                <c:pt idx="15">
                  <c:v>340.89</c:v>
                </c:pt>
                <c:pt idx="16">
                  <c:v>356.84</c:v>
                </c:pt>
                <c:pt idx="17">
                  <c:v>348.94</c:v>
                </c:pt>
                <c:pt idx="18">
                  <c:v>345.34</c:v>
                </c:pt>
                <c:pt idx="19">
                  <c:v>292.45999999999998</c:v>
                </c:pt>
                <c:pt idx="20">
                  <c:v>297.24</c:v>
                </c:pt>
                <c:pt idx="21">
                  <c:v>246.51</c:v>
                </c:pt>
                <c:pt idx="22">
                  <c:v>267.24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D-534C-8058-104E0BD5C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728918"/>
        <c:axId val="26026265"/>
      </c:lineChart>
      <c:catAx>
        <c:axId val="4072891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6026265"/>
        <c:crosses val="autoZero"/>
        <c:auto val="1"/>
        <c:lblAlgn val="ctr"/>
        <c:lblOffset val="100"/>
        <c:noMultiLvlLbl val="0"/>
      </c:catAx>
      <c:valAx>
        <c:axId val="260262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0728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_series_3!$B$19:$Y$19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52.43</c:v>
                </c:pt>
                <c:pt idx="9">
                  <c:v>0</c:v>
                </c:pt>
                <c:pt idx="10">
                  <c:v>138.43</c:v>
                </c:pt>
                <c:pt idx="11">
                  <c:v>311.64</c:v>
                </c:pt>
                <c:pt idx="12">
                  <c:v>556.61</c:v>
                </c:pt>
                <c:pt idx="13">
                  <c:v>757.4</c:v>
                </c:pt>
                <c:pt idx="14">
                  <c:v>410.48</c:v>
                </c:pt>
                <c:pt idx="15">
                  <c:v>353.17</c:v>
                </c:pt>
                <c:pt idx="16">
                  <c:v>352.08</c:v>
                </c:pt>
                <c:pt idx="17">
                  <c:v>375.43</c:v>
                </c:pt>
                <c:pt idx="18">
                  <c:v>373</c:v>
                </c:pt>
                <c:pt idx="19">
                  <c:v>233.07</c:v>
                </c:pt>
                <c:pt idx="20">
                  <c:v>257.63</c:v>
                </c:pt>
                <c:pt idx="21">
                  <c:v>219.48</c:v>
                </c:pt>
                <c:pt idx="22">
                  <c:v>351.08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C-5E46-9353-7DDAA535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892412"/>
        <c:axId val="82085645"/>
      </c:lineChart>
      <c:catAx>
        <c:axId val="228924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085645"/>
        <c:crosses val="autoZero"/>
        <c:auto val="1"/>
        <c:lblAlgn val="ctr"/>
        <c:lblOffset val="100"/>
        <c:noMultiLvlLbl val="0"/>
      </c:catAx>
      <c:valAx>
        <c:axId val="820856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8924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_series_3!$B$20:$Y$20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290.76</c:v>
                </c:pt>
                <c:pt idx="16">
                  <c:v>292.51</c:v>
                </c:pt>
                <c:pt idx="17">
                  <c:v>370.75</c:v>
                </c:pt>
                <c:pt idx="18">
                  <c:v>527.61</c:v>
                </c:pt>
                <c:pt idx="19">
                  <c:v>407.96</c:v>
                </c:pt>
                <c:pt idx="20">
                  <c:v>350.57</c:v>
                </c:pt>
                <c:pt idx="21">
                  <c:v>256.73</c:v>
                </c:pt>
                <c:pt idx="22">
                  <c:v>259.83999999999997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E-E940-8ACC-01AF6133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885920"/>
        <c:axId val="81949583"/>
      </c:lineChart>
      <c:catAx>
        <c:axId val="17885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1949583"/>
        <c:crosses val="autoZero"/>
        <c:auto val="1"/>
        <c:lblAlgn val="ctr"/>
        <c:lblOffset val="100"/>
        <c:noMultiLvlLbl val="0"/>
      </c:catAx>
      <c:valAx>
        <c:axId val="819495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78859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_series_3!$B$21:$Y$21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713.4</c:v>
                </c:pt>
                <c:pt idx="20">
                  <c:v>890.51</c:v>
                </c:pt>
                <c:pt idx="21">
                  <c:v>1016.59</c:v>
                </c:pt>
                <c:pt idx="22">
                  <c:v>1223.71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E-2248-A66B-63D73BBAF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462017"/>
        <c:axId val="51592360"/>
      </c:lineChart>
      <c:catAx>
        <c:axId val="634620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1592360"/>
        <c:crosses val="autoZero"/>
        <c:auto val="1"/>
        <c:lblAlgn val="ctr"/>
        <c:lblOffset val="100"/>
        <c:noMultiLvlLbl val="0"/>
      </c:catAx>
      <c:valAx>
        <c:axId val="515923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34620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_series_3!$B$22:$Y$22</c:f>
              <c:numCache>
                <c:formatCode>General</c:formatCode>
                <c:ptCount val="24"/>
                <c:pt idx="0">
                  <c:v>1586.36</c:v>
                </c:pt>
                <c:pt idx="1">
                  <c:v>1774.61</c:v>
                </c:pt>
                <c:pt idx="2">
                  <c:v>1038.58</c:v>
                </c:pt>
                <c:pt idx="3">
                  <c:v>830.95</c:v>
                </c:pt>
                <c:pt idx="4">
                  <c:v>967.97</c:v>
                </c:pt>
                <c:pt idx="5">
                  <c:v>983.43</c:v>
                </c:pt>
                <c:pt idx="6">
                  <c:v>1124.1199999999999</c:v>
                </c:pt>
                <c:pt idx="7">
                  <c:v>888.12</c:v>
                </c:pt>
                <c:pt idx="8">
                  <c:v>897.79</c:v>
                </c:pt>
                <c:pt idx="9">
                  <c:v>1150.8900000000001</c:v>
                </c:pt>
                <c:pt idx="10">
                  <c:v>1197.48</c:v>
                </c:pt>
                <c:pt idx="11">
                  <c:v>1168.1199999999999</c:v>
                </c:pt>
                <c:pt idx="12">
                  <c:v>1373.89</c:v>
                </c:pt>
                <c:pt idx="13">
                  <c:v>1831.06</c:v>
                </c:pt>
                <c:pt idx="14">
                  <c:v>1409.07</c:v>
                </c:pt>
                <c:pt idx="15">
                  <c:v>987.45</c:v>
                </c:pt>
                <c:pt idx="16">
                  <c:v>669.16</c:v>
                </c:pt>
                <c:pt idx="17">
                  <c:v>663.77</c:v>
                </c:pt>
                <c:pt idx="18">
                  <c:v>576.33000000000004</c:v>
                </c:pt>
                <c:pt idx="19">
                  <c:v>938.81</c:v>
                </c:pt>
                <c:pt idx="20">
                  <c:v>734.17</c:v>
                </c:pt>
                <c:pt idx="21">
                  <c:v>1087.6400000000001</c:v>
                </c:pt>
                <c:pt idx="22">
                  <c:v>1113.9000000000001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1-0A46-9D7B-BF0BDE1B0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372624"/>
        <c:axId val="19144570"/>
      </c:lineChart>
      <c:catAx>
        <c:axId val="25372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9144570"/>
        <c:crosses val="autoZero"/>
        <c:auto val="1"/>
        <c:lblAlgn val="ctr"/>
        <c:lblOffset val="100"/>
        <c:noMultiLvlLbl val="0"/>
      </c:catAx>
      <c:valAx>
        <c:axId val="191445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5372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_series_3!$B$23:$Y$23</c:f>
              <c:numCache>
                <c:formatCode>General</c:formatCode>
                <c:ptCount val="24"/>
                <c:pt idx="0">
                  <c:v>359</c:v>
                </c:pt>
                <c:pt idx="1">
                  <c:v>684</c:v>
                </c:pt>
                <c:pt idx="2">
                  <c:v>504.63</c:v>
                </c:pt>
                <c:pt idx="3">
                  <c:v>495.2</c:v>
                </c:pt>
                <c:pt idx="4">
                  <c:v>615.4</c:v>
                </c:pt>
                <c:pt idx="5">
                  <c:v>932.48</c:v>
                </c:pt>
                <c:pt idx="6">
                  <c:v>853.3</c:v>
                </c:pt>
                <c:pt idx="7">
                  <c:v>734.18</c:v>
                </c:pt>
                <c:pt idx="8">
                  <c:v>890.6</c:v>
                </c:pt>
                <c:pt idx="9">
                  <c:v>616.77</c:v>
                </c:pt>
                <c:pt idx="10">
                  <c:v>412.22</c:v>
                </c:pt>
                <c:pt idx="11">
                  <c:v>490.79</c:v>
                </c:pt>
                <c:pt idx="12">
                  <c:v>630.26</c:v>
                </c:pt>
                <c:pt idx="13">
                  <c:v>602.20000000000005</c:v>
                </c:pt>
                <c:pt idx="14">
                  <c:v>484.8</c:v>
                </c:pt>
                <c:pt idx="15">
                  <c:v>460.05</c:v>
                </c:pt>
                <c:pt idx="16">
                  <c:v>639.86</c:v>
                </c:pt>
                <c:pt idx="17">
                  <c:v>814.18</c:v>
                </c:pt>
                <c:pt idx="18">
                  <c:v>866.3</c:v>
                </c:pt>
                <c:pt idx="19">
                  <c:v>766.65</c:v>
                </c:pt>
                <c:pt idx="20">
                  <c:v>747.83</c:v>
                </c:pt>
                <c:pt idx="21">
                  <c:v>532.64</c:v>
                </c:pt>
                <c:pt idx="22">
                  <c:v>308.79000000000002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4-8E46-ABC2-3053E90E8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754716"/>
        <c:axId val="543312"/>
      </c:lineChart>
      <c:catAx>
        <c:axId val="207547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43312"/>
        <c:crosses val="autoZero"/>
        <c:auto val="1"/>
        <c:lblAlgn val="ctr"/>
        <c:lblOffset val="100"/>
        <c:noMultiLvlLbl val="0"/>
      </c:catAx>
      <c:valAx>
        <c:axId val="5433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0754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_series_3!$B$24:$Y$24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849.63</c:v>
                </c:pt>
                <c:pt idx="21">
                  <c:v>2476.17</c:v>
                </c:pt>
                <c:pt idx="22">
                  <c:v>2528.89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1-3048-90AC-54EC87E3E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213561"/>
        <c:axId val="7888331"/>
      </c:lineChart>
      <c:catAx>
        <c:axId val="4221356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88331"/>
        <c:crosses val="autoZero"/>
        <c:auto val="1"/>
        <c:lblAlgn val="ctr"/>
        <c:lblOffset val="100"/>
        <c:noMultiLvlLbl val="0"/>
      </c:catAx>
      <c:valAx>
        <c:axId val="78883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22135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_series_3!$B$25:$Y$25</c:f>
              <c:numCache>
                <c:formatCode>General</c:formatCode>
                <c:ptCount val="24"/>
                <c:pt idx="0">
                  <c:v>1468.85</c:v>
                </c:pt>
                <c:pt idx="1">
                  <c:v>2411.23</c:v>
                </c:pt>
                <c:pt idx="2">
                  <c:v>1830.72</c:v>
                </c:pt>
                <c:pt idx="3">
                  <c:v>1647.5</c:v>
                </c:pt>
                <c:pt idx="4">
                  <c:v>1116.8499999999999</c:v>
                </c:pt>
                <c:pt idx="5">
                  <c:v>299.01</c:v>
                </c:pt>
                <c:pt idx="6">
                  <c:v>279.7</c:v>
                </c:pt>
                <c:pt idx="7">
                  <c:v>556.32000000000005</c:v>
                </c:pt>
                <c:pt idx="8">
                  <c:v>1059.32</c:v>
                </c:pt>
                <c:pt idx="9">
                  <c:v>1129.73</c:v>
                </c:pt>
                <c:pt idx="10">
                  <c:v>1346.5</c:v>
                </c:pt>
                <c:pt idx="11">
                  <c:v>1270.52</c:v>
                </c:pt>
                <c:pt idx="12">
                  <c:v>1606.67</c:v>
                </c:pt>
                <c:pt idx="13">
                  <c:v>1821.93</c:v>
                </c:pt>
                <c:pt idx="14">
                  <c:v>1618.31</c:v>
                </c:pt>
                <c:pt idx="15">
                  <c:v>1377.08</c:v>
                </c:pt>
                <c:pt idx="16">
                  <c:v>1116.96</c:v>
                </c:pt>
                <c:pt idx="17">
                  <c:v>333.7</c:v>
                </c:pt>
                <c:pt idx="18">
                  <c:v>348.77</c:v>
                </c:pt>
                <c:pt idx="19">
                  <c:v>555.02</c:v>
                </c:pt>
                <c:pt idx="20">
                  <c:v>979.12</c:v>
                </c:pt>
                <c:pt idx="21">
                  <c:v>1157.1400000000001</c:v>
                </c:pt>
                <c:pt idx="22">
                  <c:v>1221.5899999999999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A-8944-A8AF-86C2A161A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353585"/>
        <c:axId val="93395559"/>
      </c:lineChart>
      <c:catAx>
        <c:axId val="2535358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3395559"/>
        <c:crosses val="autoZero"/>
        <c:auto val="1"/>
        <c:lblAlgn val="ctr"/>
        <c:lblOffset val="100"/>
        <c:noMultiLvlLbl val="0"/>
      </c:catAx>
      <c:valAx>
        <c:axId val="933955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53535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_series_3!$B$26:$Y$26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913.59</c:v>
                </c:pt>
                <c:pt idx="8">
                  <c:v>934.6</c:v>
                </c:pt>
                <c:pt idx="9">
                  <c:v>820.23</c:v>
                </c:pt>
                <c:pt idx="10">
                  <c:v>902.11</c:v>
                </c:pt>
                <c:pt idx="11">
                  <c:v>800.93</c:v>
                </c:pt>
                <c:pt idx="12">
                  <c:v>979.94</c:v>
                </c:pt>
                <c:pt idx="13">
                  <c:v>942.5</c:v>
                </c:pt>
                <c:pt idx="14">
                  <c:v>836.15</c:v>
                </c:pt>
                <c:pt idx="15">
                  <c:v>893.99</c:v>
                </c:pt>
                <c:pt idx="16">
                  <c:v>853.1</c:v>
                </c:pt>
                <c:pt idx="17">
                  <c:v>916.2</c:v>
                </c:pt>
                <c:pt idx="18">
                  <c:v>839.02</c:v>
                </c:pt>
                <c:pt idx="19">
                  <c:v>989.25</c:v>
                </c:pt>
                <c:pt idx="20">
                  <c:v>1077.25</c:v>
                </c:pt>
                <c:pt idx="21">
                  <c:v>1061.1600000000001</c:v>
                </c:pt>
                <c:pt idx="22">
                  <c:v>1072.8699999999999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F-DB4A-B8F4-6645BDEBA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402774"/>
        <c:axId val="1983915"/>
      </c:lineChart>
      <c:catAx>
        <c:axId val="4440277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983915"/>
        <c:crosses val="autoZero"/>
        <c:auto val="1"/>
        <c:lblAlgn val="ctr"/>
        <c:lblOffset val="100"/>
        <c:noMultiLvlLbl val="0"/>
      </c:catAx>
      <c:valAx>
        <c:axId val="19839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44027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_series_3!$B$27:$Y$27</c:f>
              <c:numCache>
                <c:formatCode>General</c:formatCode>
                <c:ptCount val="24"/>
                <c:pt idx="0">
                  <c:v>1935</c:v>
                </c:pt>
                <c:pt idx="1">
                  <c:v>3017.05</c:v>
                </c:pt>
                <c:pt idx="2">
                  <c:v>1800.37</c:v>
                </c:pt>
                <c:pt idx="3">
                  <c:v>1926.12</c:v>
                </c:pt>
                <c:pt idx="4">
                  <c:v>2041.87</c:v>
                </c:pt>
                <c:pt idx="5">
                  <c:v>1259.3</c:v>
                </c:pt>
                <c:pt idx="6">
                  <c:v>2058.91</c:v>
                </c:pt>
                <c:pt idx="7">
                  <c:v>1147.24</c:v>
                </c:pt>
                <c:pt idx="8">
                  <c:v>2067.9</c:v>
                </c:pt>
                <c:pt idx="9">
                  <c:v>1486.46</c:v>
                </c:pt>
                <c:pt idx="10">
                  <c:v>1642.22</c:v>
                </c:pt>
                <c:pt idx="11">
                  <c:v>2912.65</c:v>
                </c:pt>
                <c:pt idx="12">
                  <c:v>2992.54</c:v>
                </c:pt>
                <c:pt idx="13">
                  <c:v>3368.21</c:v>
                </c:pt>
                <c:pt idx="14">
                  <c:v>2212.5</c:v>
                </c:pt>
                <c:pt idx="15">
                  <c:v>1960.19</c:v>
                </c:pt>
                <c:pt idx="16">
                  <c:v>1921.61</c:v>
                </c:pt>
                <c:pt idx="17">
                  <c:v>1263.1300000000001</c:v>
                </c:pt>
                <c:pt idx="18">
                  <c:v>1600.1</c:v>
                </c:pt>
                <c:pt idx="19">
                  <c:v>1414.77</c:v>
                </c:pt>
                <c:pt idx="20">
                  <c:v>1990.19</c:v>
                </c:pt>
                <c:pt idx="21">
                  <c:v>1763.94</c:v>
                </c:pt>
                <c:pt idx="22">
                  <c:v>1455.49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6-E240-A31F-260F09B2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562673"/>
        <c:axId val="3941253"/>
      </c:lineChart>
      <c:catAx>
        <c:axId val="7356267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941253"/>
        <c:crosses val="autoZero"/>
        <c:auto val="1"/>
        <c:lblAlgn val="ctr"/>
        <c:lblOffset val="100"/>
        <c:noMultiLvlLbl val="0"/>
      </c:catAx>
      <c:valAx>
        <c:axId val="39412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3562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_series_3!$B$1:$Y$1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_series_3!$B$28:$Y$28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1197.18</c:v>
                </c:pt>
                <c:pt idx="5">
                  <c:v>1865.97</c:v>
                </c:pt>
                <c:pt idx="6">
                  <c:v>1723.16</c:v>
                </c:pt>
                <c:pt idx="7">
                  <c:v>1570.31</c:v>
                </c:pt>
                <c:pt idx="8">
                  <c:v>1432.73</c:v>
                </c:pt>
                <c:pt idx="9">
                  <c:v>1817.32</c:v>
                </c:pt>
                <c:pt idx="10">
                  <c:v>1955.83</c:v>
                </c:pt>
                <c:pt idx="11">
                  <c:v>2235.4699999999998</c:v>
                </c:pt>
                <c:pt idx="12">
                  <c:v>2825.24</c:v>
                </c:pt>
                <c:pt idx="13">
                  <c:v>3443.22</c:v>
                </c:pt>
                <c:pt idx="14">
                  <c:v>3178.08</c:v>
                </c:pt>
                <c:pt idx="15">
                  <c:v>2134.16</c:v>
                </c:pt>
                <c:pt idx="16">
                  <c:v>1883.16</c:v>
                </c:pt>
                <c:pt idx="17">
                  <c:v>1916.12</c:v>
                </c:pt>
                <c:pt idx="18">
                  <c:v>1372.39</c:v>
                </c:pt>
                <c:pt idx="19">
                  <c:v>2844.42</c:v>
                </c:pt>
                <c:pt idx="20">
                  <c:v>2594.23</c:v>
                </c:pt>
                <c:pt idx="21">
                  <c:v>2436.29</c:v>
                </c:pt>
                <c:pt idx="22">
                  <c:v>2434.85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F-4E49-ABF0-DCDD6835E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628983"/>
        <c:axId val="36656664"/>
      </c:lineChart>
      <c:catAx>
        <c:axId val="9462898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6656664"/>
        <c:crosses val="autoZero"/>
        <c:auto val="1"/>
        <c:lblAlgn val="ctr"/>
        <c:lblOffset val="100"/>
        <c:noMultiLvlLbl val="0"/>
      </c:catAx>
      <c:valAx>
        <c:axId val="366566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6289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_series_2!$B$2:$Y$2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67.849999999999994</c:v>
                </c:pt>
                <c:pt idx="6">
                  <c:v>291.23</c:v>
                </c:pt>
                <c:pt idx="7">
                  <c:v>212.91</c:v>
                </c:pt>
                <c:pt idx="8">
                  <c:v>183.41</c:v>
                </c:pt>
                <c:pt idx="9">
                  <c:v>146.93</c:v>
                </c:pt>
                <c:pt idx="10">
                  <c:v>240.12</c:v>
                </c:pt>
                <c:pt idx="11">
                  <c:v>360.36</c:v>
                </c:pt>
                <c:pt idx="12">
                  <c:v>489.63</c:v>
                </c:pt>
                <c:pt idx="13">
                  <c:v>103.62</c:v>
                </c:pt>
                <c:pt idx="14">
                  <c:v>664.91</c:v>
                </c:pt>
                <c:pt idx="15">
                  <c:v>334.22</c:v>
                </c:pt>
                <c:pt idx="16">
                  <c:v>254.97</c:v>
                </c:pt>
                <c:pt idx="17">
                  <c:v>121.53</c:v>
                </c:pt>
                <c:pt idx="18">
                  <c:v>392.65</c:v>
                </c:pt>
                <c:pt idx="19">
                  <c:v>287.51</c:v>
                </c:pt>
                <c:pt idx="20">
                  <c:v>349.44</c:v>
                </c:pt>
                <c:pt idx="21">
                  <c:v>199.21</c:v>
                </c:pt>
                <c:pt idx="22">
                  <c:v>273.87</c:v>
                </c:pt>
                <c:pt idx="23">
                  <c:v>430.03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7-5D4E-BF5D-5AB43846C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259133"/>
        <c:axId val="52023149"/>
      </c:lineChart>
      <c:catAx>
        <c:axId val="192591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2023149"/>
        <c:crosses val="autoZero"/>
        <c:auto val="1"/>
        <c:lblAlgn val="ctr"/>
        <c:lblOffset val="100"/>
        <c:noMultiLvlLbl val="0"/>
      </c:catAx>
      <c:valAx>
        <c:axId val="520231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92591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_series_2!$B$3:$Y$3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122.79</c:v>
                </c:pt>
                <c:pt idx="6">
                  <c:v>257.60000000000002</c:v>
                </c:pt>
                <c:pt idx="7">
                  <c:v>149.88999999999999</c:v>
                </c:pt>
                <c:pt idx="8">
                  <c:v>179.34</c:v>
                </c:pt>
                <c:pt idx="9">
                  <c:v>133.56</c:v>
                </c:pt>
                <c:pt idx="10">
                  <c:v>217.18</c:v>
                </c:pt>
                <c:pt idx="11">
                  <c:v>255.1</c:v>
                </c:pt>
                <c:pt idx="12">
                  <c:v>355.24</c:v>
                </c:pt>
                <c:pt idx="13">
                  <c:v>132.59</c:v>
                </c:pt>
                <c:pt idx="14">
                  <c:v>333.79</c:v>
                </c:pt>
                <c:pt idx="15">
                  <c:v>306.02</c:v>
                </c:pt>
                <c:pt idx="16">
                  <c:v>209.78</c:v>
                </c:pt>
                <c:pt idx="17">
                  <c:v>189.38</c:v>
                </c:pt>
                <c:pt idx="18">
                  <c:v>339.72</c:v>
                </c:pt>
                <c:pt idx="19">
                  <c:v>188.55</c:v>
                </c:pt>
                <c:pt idx="20">
                  <c:v>237.18</c:v>
                </c:pt>
                <c:pt idx="21">
                  <c:v>186.2</c:v>
                </c:pt>
                <c:pt idx="22">
                  <c:v>276</c:v>
                </c:pt>
                <c:pt idx="23">
                  <c:v>343.77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F-6D43-902A-A530110AA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09366"/>
        <c:axId val="81196933"/>
      </c:lineChart>
      <c:catAx>
        <c:axId val="39093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1196933"/>
        <c:crosses val="autoZero"/>
        <c:auto val="1"/>
        <c:lblAlgn val="ctr"/>
        <c:lblOffset val="100"/>
        <c:noMultiLvlLbl val="0"/>
      </c:catAx>
      <c:valAx>
        <c:axId val="811969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9093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_series_2!$B$4:$Y$4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240.78</c:v>
                </c:pt>
                <c:pt idx="6">
                  <c:v>270.33</c:v>
                </c:pt>
                <c:pt idx="7">
                  <c:v>122.02</c:v>
                </c:pt>
                <c:pt idx="8">
                  <c:v>156.75</c:v>
                </c:pt>
                <c:pt idx="9">
                  <c:v>185.58</c:v>
                </c:pt>
                <c:pt idx="10">
                  <c:v>220.94</c:v>
                </c:pt>
                <c:pt idx="11">
                  <c:v>589.63</c:v>
                </c:pt>
                <c:pt idx="12">
                  <c:v>626.48</c:v>
                </c:pt>
                <c:pt idx="13">
                  <c:v>164.89</c:v>
                </c:pt>
                <c:pt idx="14">
                  <c:v>386.56</c:v>
                </c:pt>
                <c:pt idx="15">
                  <c:v>382.69</c:v>
                </c:pt>
                <c:pt idx="16">
                  <c:v>261.89999999999998</c:v>
                </c:pt>
                <c:pt idx="17">
                  <c:v>330.96</c:v>
                </c:pt>
                <c:pt idx="18">
                  <c:v>371.28</c:v>
                </c:pt>
                <c:pt idx="19">
                  <c:v>169.53</c:v>
                </c:pt>
                <c:pt idx="20">
                  <c:v>214.78</c:v>
                </c:pt>
                <c:pt idx="21">
                  <c:v>271.98</c:v>
                </c:pt>
                <c:pt idx="22">
                  <c:v>271.88</c:v>
                </c:pt>
                <c:pt idx="23">
                  <c:v>692.94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0-674D-8C8A-08AA3DCE5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981853"/>
        <c:axId val="35582339"/>
      </c:lineChart>
      <c:catAx>
        <c:axId val="239818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582339"/>
        <c:crosses val="autoZero"/>
        <c:auto val="1"/>
        <c:lblAlgn val="ctr"/>
        <c:lblOffset val="100"/>
        <c:noMultiLvlLbl val="0"/>
      </c:catAx>
      <c:valAx>
        <c:axId val="355823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39818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_series_2!$B$5:$Y$5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143.34</c:v>
                </c:pt>
                <c:pt idx="6">
                  <c:v>255.18</c:v>
                </c:pt>
                <c:pt idx="7">
                  <c:v>122.89</c:v>
                </c:pt>
                <c:pt idx="8">
                  <c:v>228.55</c:v>
                </c:pt>
                <c:pt idx="9">
                  <c:v>175.12</c:v>
                </c:pt>
                <c:pt idx="10">
                  <c:v>270.51</c:v>
                </c:pt>
                <c:pt idx="11">
                  <c:v>388.07</c:v>
                </c:pt>
                <c:pt idx="12">
                  <c:v>574.82000000000005</c:v>
                </c:pt>
                <c:pt idx="13">
                  <c:v>154.53</c:v>
                </c:pt>
                <c:pt idx="14">
                  <c:v>359.42</c:v>
                </c:pt>
                <c:pt idx="15">
                  <c:v>352.4</c:v>
                </c:pt>
                <c:pt idx="16">
                  <c:v>177.06</c:v>
                </c:pt>
                <c:pt idx="17">
                  <c:v>261.13</c:v>
                </c:pt>
                <c:pt idx="18">
                  <c:v>337.12</c:v>
                </c:pt>
                <c:pt idx="19">
                  <c:v>149.41999999999999</c:v>
                </c:pt>
                <c:pt idx="20">
                  <c:v>232.63</c:v>
                </c:pt>
                <c:pt idx="21">
                  <c:v>279.54000000000002</c:v>
                </c:pt>
                <c:pt idx="22">
                  <c:v>333.42</c:v>
                </c:pt>
                <c:pt idx="23">
                  <c:v>462.7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9-A045-B4B7-04FC0E48C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193285"/>
        <c:axId val="92664500"/>
      </c:lineChart>
      <c:catAx>
        <c:axId val="4819328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664500"/>
        <c:crosses val="autoZero"/>
        <c:auto val="1"/>
        <c:lblAlgn val="ctr"/>
        <c:lblOffset val="100"/>
        <c:noMultiLvlLbl val="0"/>
      </c:catAx>
      <c:valAx>
        <c:axId val="926645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81932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_series_2!$B$6:$Y$6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181.06</c:v>
                </c:pt>
                <c:pt idx="6">
                  <c:v>235.48</c:v>
                </c:pt>
                <c:pt idx="7">
                  <c:v>115.38</c:v>
                </c:pt>
                <c:pt idx="8">
                  <c:v>164.69</c:v>
                </c:pt>
                <c:pt idx="9">
                  <c:v>208.48</c:v>
                </c:pt>
                <c:pt idx="10">
                  <c:v>620.36</c:v>
                </c:pt>
                <c:pt idx="11">
                  <c:v>776.69</c:v>
                </c:pt>
                <c:pt idx="12">
                  <c:v>910.68</c:v>
                </c:pt>
                <c:pt idx="13">
                  <c:v>276.39999999999998</c:v>
                </c:pt>
                <c:pt idx="14">
                  <c:v>777.08</c:v>
                </c:pt>
                <c:pt idx="15">
                  <c:v>555.30999999999995</c:v>
                </c:pt>
                <c:pt idx="16">
                  <c:v>267.98</c:v>
                </c:pt>
                <c:pt idx="17">
                  <c:v>240.42</c:v>
                </c:pt>
                <c:pt idx="18">
                  <c:v>316.77999999999997</c:v>
                </c:pt>
                <c:pt idx="19">
                  <c:v>165.48</c:v>
                </c:pt>
                <c:pt idx="20">
                  <c:v>218.11</c:v>
                </c:pt>
                <c:pt idx="21">
                  <c:v>311.55</c:v>
                </c:pt>
                <c:pt idx="22">
                  <c:v>651.30999999999995</c:v>
                </c:pt>
                <c:pt idx="23">
                  <c:v>839.16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92-CD45-95D9-9EECDDCFA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893097"/>
        <c:axId val="69617269"/>
      </c:lineChart>
      <c:catAx>
        <c:axId val="838930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9617269"/>
        <c:crosses val="autoZero"/>
        <c:auto val="1"/>
        <c:lblAlgn val="ctr"/>
        <c:lblOffset val="100"/>
        <c:noMultiLvlLbl val="0"/>
      </c:catAx>
      <c:valAx>
        <c:axId val="696172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38930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_series_2!$B$7:$Y$7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98.79</c:v>
                </c:pt>
                <c:pt idx="6">
                  <c:v>169.59</c:v>
                </c:pt>
                <c:pt idx="7">
                  <c:v>113.34</c:v>
                </c:pt>
                <c:pt idx="8">
                  <c:v>142.41999999999999</c:v>
                </c:pt>
                <c:pt idx="9">
                  <c:v>111.81</c:v>
                </c:pt>
                <c:pt idx="10">
                  <c:v>150.31</c:v>
                </c:pt>
                <c:pt idx="11">
                  <c:v>280.5</c:v>
                </c:pt>
                <c:pt idx="12">
                  <c:v>374.5</c:v>
                </c:pt>
                <c:pt idx="13">
                  <c:v>130.26</c:v>
                </c:pt>
                <c:pt idx="14">
                  <c:v>333.66</c:v>
                </c:pt>
                <c:pt idx="15">
                  <c:v>240.63</c:v>
                </c:pt>
                <c:pt idx="16">
                  <c:v>117.47</c:v>
                </c:pt>
                <c:pt idx="17">
                  <c:v>166.39</c:v>
                </c:pt>
                <c:pt idx="18">
                  <c:v>229.98</c:v>
                </c:pt>
                <c:pt idx="19">
                  <c:v>152.99</c:v>
                </c:pt>
                <c:pt idx="20">
                  <c:v>196.1</c:v>
                </c:pt>
                <c:pt idx="21">
                  <c:v>164.11</c:v>
                </c:pt>
                <c:pt idx="22">
                  <c:v>189.25</c:v>
                </c:pt>
                <c:pt idx="23">
                  <c:v>351.03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7-3A4A-A536-E3C85F551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368500"/>
        <c:axId val="58853983"/>
      </c:lineChart>
      <c:catAx>
        <c:axId val="593685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8853983"/>
        <c:crosses val="autoZero"/>
        <c:auto val="1"/>
        <c:lblAlgn val="ctr"/>
        <c:lblOffset val="100"/>
        <c:noMultiLvlLbl val="0"/>
      </c:catAx>
      <c:valAx>
        <c:axId val="588539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3685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_series_2!$B$8:$Y$8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170.28</c:v>
                </c:pt>
                <c:pt idx="6">
                  <c:v>258.52</c:v>
                </c:pt>
                <c:pt idx="7">
                  <c:v>181.42</c:v>
                </c:pt>
                <c:pt idx="8">
                  <c:v>255.74</c:v>
                </c:pt>
                <c:pt idx="9">
                  <c:v>242.83</c:v>
                </c:pt>
                <c:pt idx="10">
                  <c:v>303.68</c:v>
                </c:pt>
                <c:pt idx="11">
                  <c:v>367.91</c:v>
                </c:pt>
                <c:pt idx="12">
                  <c:v>611.02</c:v>
                </c:pt>
                <c:pt idx="13">
                  <c:v>163.33000000000001</c:v>
                </c:pt>
                <c:pt idx="14">
                  <c:v>392.33</c:v>
                </c:pt>
                <c:pt idx="15">
                  <c:v>376.51</c:v>
                </c:pt>
                <c:pt idx="16">
                  <c:v>126.21</c:v>
                </c:pt>
                <c:pt idx="17">
                  <c:v>230.73</c:v>
                </c:pt>
                <c:pt idx="18">
                  <c:v>340.4</c:v>
                </c:pt>
                <c:pt idx="19">
                  <c:v>259.70999999999998</c:v>
                </c:pt>
                <c:pt idx="20">
                  <c:v>311.91000000000003</c:v>
                </c:pt>
                <c:pt idx="21">
                  <c:v>314.39</c:v>
                </c:pt>
                <c:pt idx="22">
                  <c:v>371.77</c:v>
                </c:pt>
                <c:pt idx="23">
                  <c:v>505.17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C-FB48-B28E-A58DA47B4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045202"/>
        <c:axId val="64813545"/>
      </c:lineChart>
      <c:catAx>
        <c:axId val="70452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4813545"/>
        <c:crosses val="autoZero"/>
        <c:auto val="1"/>
        <c:lblAlgn val="ctr"/>
        <c:lblOffset val="100"/>
        <c:noMultiLvlLbl val="0"/>
      </c:catAx>
      <c:valAx>
        <c:axId val="648135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0452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_series_2!$B$9:$Y$9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193.05</c:v>
                </c:pt>
                <c:pt idx="6">
                  <c:v>309.11</c:v>
                </c:pt>
                <c:pt idx="7">
                  <c:v>197.99</c:v>
                </c:pt>
                <c:pt idx="8">
                  <c:v>256.8</c:v>
                </c:pt>
                <c:pt idx="9">
                  <c:v>114.01</c:v>
                </c:pt>
                <c:pt idx="10">
                  <c:v>245.88</c:v>
                </c:pt>
                <c:pt idx="11">
                  <c:v>405.6</c:v>
                </c:pt>
                <c:pt idx="12">
                  <c:v>510.83</c:v>
                </c:pt>
                <c:pt idx="13">
                  <c:v>181.08</c:v>
                </c:pt>
                <c:pt idx="14">
                  <c:v>334.97</c:v>
                </c:pt>
                <c:pt idx="15">
                  <c:v>263.33999999999997</c:v>
                </c:pt>
                <c:pt idx="16">
                  <c:v>146.93</c:v>
                </c:pt>
                <c:pt idx="17">
                  <c:v>251.21</c:v>
                </c:pt>
                <c:pt idx="18">
                  <c:v>411.51</c:v>
                </c:pt>
                <c:pt idx="19">
                  <c:v>292.86</c:v>
                </c:pt>
                <c:pt idx="20">
                  <c:v>309.02999999999997</c:v>
                </c:pt>
                <c:pt idx="21">
                  <c:v>166.4</c:v>
                </c:pt>
                <c:pt idx="22">
                  <c:v>321.26</c:v>
                </c:pt>
                <c:pt idx="23">
                  <c:v>473.59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4-B441-B20D-D7421BB33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856116"/>
        <c:axId val="65553531"/>
      </c:lineChart>
      <c:catAx>
        <c:axId val="938561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5553531"/>
        <c:crosses val="autoZero"/>
        <c:auto val="1"/>
        <c:lblAlgn val="ctr"/>
        <c:lblOffset val="100"/>
        <c:noMultiLvlLbl val="0"/>
      </c:catAx>
      <c:valAx>
        <c:axId val="655535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38561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_series_2!$B$10:$Y$10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131.4</c:v>
                </c:pt>
                <c:pt idx="6">
                  <c:v>332.79</c:v>
                </c:pt>
                <c:pt idx="7">
                  <c:v>154.85</c:v>
                </c:pt>
                <c:pt idx="8">
                  <c:v>172.58</c:v>
                </c:pt>
                <c:pt idx="9">
                  <c:v>151.87</c:v>
                </c:pt>
                <c:pt idx="10">
                  <c:v>305.89</c:v>
                </c:pt>
                <c:pt idx="11">
                  <c:v>454</c:v>
                </c:pt>
                <c:pt idx="12">
                  <c:v>499.25</c:v>
                </c:pt>
                <c:pt idx="13">
                  <c:v>117.75</c:v>
                </c:pt>
                <c:pt idx="14">
                  <c:v>483.02</c:v>
                </c:pt>
                <c:pt idx="15">
                  <c:v>456.69</c:v>
                </c:pt>
                <c:pt idx="16">
                  <c:v>281.62</c:v>
                </c:pt>
                <c:pt idx="17">
                  <c:v>195.74</c:v>
                </c:pt>
                <c:pt idx="18">
                  <c:v>435.76</c:v>
                </c:pt>
                <c:pt idx="19">
                  <c:v>244.72</c:v>
                </c:pt>
                <c:pt idx="20">
                  <c:v>225.93</c:v>
                </c:pt>
                <c:pt idx="21">
                  <c:v>215.79</c:v>
                </c:pt>
                <c:pt idx="22">
                  <c:v>358.91</c:v>
                </c:pt>
                <c:pt idx="23">
                  <c:v>525.02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4-8A46-89D1-BE5734153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129269"/>
        <c:axId val="94218535"/>
      </c:lineChart>
      <c:catAx>
        <c:axId val="3012926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218535"/>
        <c:crosses val="autoZero"/>
        <c:auto val="1"/>
        <c:lblAlgn val="ctr"/>
        <c:lblOffset val="100"/>
        <c:noMultiLvlLbl val="0"/>
      </c:catAx>
      <c:valAx>
        <c:axId val="942185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01292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_series_2!$B$11:$Y$11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85.02</c:v>
                </c:pt>
                <c:pt idx="6">
                  <c:v>92.48</c:v>
                </c:pt>
                <c:pt idx="7">
                  <c:v>67.3</c:v>
                </c:pt>
                <c:pt idx="8">
                  <c:v>63.22</c:v>
                </c:pt>
                <c:pt idx="9">
                  <c:v>67.94</c:v>
                </c:pt>
                <c:pt idx="10">
                  <c:v>131.71</c:v>
                </c:pt>
                <c:pt idx="11">
                  <c:v>173.41</c:v>
                </c:pt>
                <c:pt idx="12">
                  <c:v>247.92</c:v>
                </c:pt>
                <c:pt idx="13">
                  <c:v>108.06</c:v>
                </c:pt>
                <c:pt idx="14">
                  <c:v>101.19</c:v>
                </c:pt>
                <c:pt idx="15">
                  <c:v>77.36</c:v>
                </c:pt>
                <c:pt idx="16">
                  <c:v>93.5</c:v>
                </c:pt>
                <c:pt idx="17">
                  <c:v>135.59</c:v>
                </c:pt>
                <c:pt idx="18">
                  <c:v>150.61000000000001</c:v>
                </c:pt>
                <c:pt idx="19">
                  <c:v>101.26</c:v>
                </c:pt>
                <c:pt idx="20">
                  <c:v>83.58</c:v>
                </c:pt>
                <c:pt idx="21">
                  <c:v>92.95</c:v>
                </c:pt>
                <c:pt idx="22">
                  <c:v>164.49</c:v>
                </c:pt>
                <c:pt idx="23">
                  <c:v>244.04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2-4E45-8853-A0A1924BC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502757"/>
        <c:axId val="3945235"/>
      </c:lineChart>
      <c:catAx>
        <c:axId val="155027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945235"/>
        <c:crosses val="autoZero"/>
        <c:auto val="1"/>
        <c:lblAlgn val="ctr"/>
        <c:lblOffset val="100"/>
        <c:noMultiLvlLbl val="0"/>
      </c:catAx>
      <c:valAx>
        <c:axId val="39452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55027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_series_2!$B$12:$Y$12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51.19</c:v>
                </c:pt>
                <c:pt idx="6">
                  <c:v>153.54</c:v>
                </c:pt>
                <c:pt idx="7">
                  <c:v>125.01</c:v>
                </c:pt>
                <c:pt idx="8">
                  <c:v>130.52000000000001</c:v>
                </c:pt>
                <c:pt idx="9">
                  <c:v>91.61</c:v>
                </c:pt>
                <c:pt idx="10">
                  <c:v>150.09</c:v>
                </c:pt>
                <c:pt idx="11">
                  <c:v>209.74</c:v>
                </c:pt>
                <c:pt idx="12">
                  <c:v>185.37</c:v>
                </c:pt>
                <c:pt idx="13">
                  <c:v>131.51</c:v>
                </c:pt>
                <c:pt idx="14">
                  <c:v>105.59</c:v>
                </c:pt>
                <c:pt idx="15">
                  <c:v>72.64</c:v>
                </c:pt>
                <c:pt idx="16">
                  <c:v>89.99</c:v>
                </c:pt>
                <c:pt idx="17">
                  <c:v>123.52</c:v>
                </c:pt>
                <c:pt idx="18">
                  <c:v>213.59</c:v>
                </c:pt>
                <c:pt idx="19">
                  <c:v>175.89</c:v>
                </c:pt>
                <c:pt idx="20">
                  <c:v>185.75</c:v>
                </c:pt>
                <c:pt idx="21">
                  <c:v>115.98</c:v>
                </c:pt>
                <c:pt idx="22">
                  <c:v>187.53</c:v>
                </c:pt>
                <c:pt idx="23">
                  <c:v>400.32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96-5847-BBE8-43BC3D9B8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530789"/>
        <c:axId val="64024737"/>
      </c:lineChart>
      <c:catAx>
        <c:axId val="615307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4024737"/>
        <c:crosses val="autoZero"/>
        <c:auto val="1"/>
        <c:lblAlgn val="ctr"/>
        <c:lblOffset val="100"/>
        <c:noMultiLvlLbl val="0"/>
      </c:catAx>
      <c:valAx>
        <c:axId val="640247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15307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_series_2!$B$13:$Y$13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114.46</c:v>
                </c:pt>
                <c:pt idx="6">
                  <c:v>156.19999999999999</c:v>
                </c:pt>
                <c:pt idx="7">
                  <c:v>110.71</c:v>
                </c:pt>
                <c:pt idx="8">
                  <c:v>260.77</c:v>
                </c:pt>
                <c:pt idx="9">
                  <c:v>179.33</c:v>
                </c:pt>
                <c:pt idx="10">
                  <c:v>224.35</c:v>
                </c:pt>
                <c:pt idx="11">
                  <c:v>412.73</c:v>
                </c:pt>
                <c:pt idx="12">
                  <c:v>606.87</c:v>
                </c:pt>
                <c:pt idx="13">
                  <c:v>152.72999999999999</c:v>
                </c:pt>
                <c:pt idx="14">
                  <c:v>491.2</c:v>
                </c:pt>
                <c:pt idx="15">
                  <c:v>404.96</c:v>
                </c:pt>
                <c:pt idx="16">
                  <c:v>240.01</c:v>
                </c:pt>
                <c:pt idx="17">
                  <c:v>180.49</c:v>
                </c:pt>
                <c:pt idx="18">
                  <c:v>212.19</c:v>
                </c:pt>
                <c:pt idx="19">
                  <c:v>175.43</c:v>
                </c:pt>
                <c:pt idx="20">
                  <c:v>339.01</c:v>
                </c:pt>
                <c:pt idx="21">
                  <c:v>251.07</c:v>
                </c:pt>
                <c:pt idx="22">
                  <c:v>287</c:v>
                </c:pt>
                <c:pt idx="23">
                  <c:v>499.04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F-E34F-A3A5-D19E97334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913666"/>
        <c:axId val="72678108"/>
      </c:lineChart>
      <c:catAx>
        <c:axId val="9891366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2678108"/>
        <c:crosses val="autoZero"/>
        <c:auto val="1"/>
        <c:lblAlgn val="ctr"/>
        <c:lblOffset val="100"/>
        <c:noMultiLvlLbl val="0"/>
      </c:catAx>
      <c:valAx>
        <c:axId val="726781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89136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_series_2!$B$14:$Y$14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74.36</c:v>
                </c:pt>
                <c:pt idx="6">
                  <c:v>212.65</c:v>
                </c:pt>
                <c:pt idx="7">
                  <c:v>196.15</c:v>
                </c:pt>
                <c:pt idx="8">
                  <c:v>271.38</c:v>
                </c:pt>
                <c:pt idx="9">
                  <c:v>232.4</c:v>
                </c:pt>
                <c:pt idx="10">
                  <c:v>267.24</c:v>
                </c:pt>
                <c:pt idx="11">
                  <c:v>355.82</c:v>
                </c:pt>
                <c:pt idx="12">
                  <c:v>442.68</c:v>
                </c:pt>
                <c:pt idx="13">
                  <c:v>117.14</c:v>
                </c:pt>
                <c:pt idx="14">
                  <c:v>501.52</c:v>
                </c:pt>
                <c:pt idx="15">
                  <c:v>378.61</c:v>
                </c:pt>
                <c:pt idx="16">
                  <c:v>286.56</c:v>
                </c:pt>
                <c:pt idx="17">
                  <c:v>128.80000000000001</c:v>
                </c:pt>
                <c:pt idx="18">
                  <c:v>271.26</c:v>
                </c:pt>
                <c:pt idx="19">
                  <c:v>269.14</c:v>
                </c:pt>
                <c:pt idx="20">
                  <c:v>401.39</c:v>
                </c:pt>
                <c:pt idx="21">
                  <c:v>298.92</c:v>
                </c:pt>
                <c:pt idx="22">
                  <c:v>330.2</c:v>
                </c:pt>
                <c:pt idx="23">
                  <c:v>399.6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D-974D-88F5-B6DCD9A19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475827"/>
        <c:axId val="47418009"/>
      </c:lineChart>
      <c:catAx>
        <c:axId val="994758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7418009"/>
        <c:crosses val="autoZero"/>
        <c:auto val="1"/>
        <c:lblAlgn val="ctr"/>
        <c:lblOffset val="100"/>
        <c:noMultiLvlLbl val="0"/>
      </c:catAx>
      <c:valAx>
        <c:axId val="474180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94758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_series_2!$B$15:$Y$15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80.489999999999995</c:v>
                </c:pt>
                <c:pt idx="6">
                  <c:v>305.08999999999997</c:v>
                </c:pt>
                <c:pt idx="7">
                  <c:v>247.72</c:v>
                </c:pt>
                <c:pt idx="8">
                  <c:v>457.79</c:v>
                </c:pt>
                <c:pt idx="9">
                  <c:v>280.07</c:v>
                </c:pt>
                <c:pt idx="10">
                  <c:v>373.47</c:v>
                </c:pt>
                <c:pt idx="11">
                  <c:v>467.85</c:v>
                </c:pt>
                <c:pt idx="12">
                  <c:v>609.1</c:v>
                </c:pt>
                <c:pt idx="13">
                  <c:v>125.46</c:v>
                </c:pt>
                <c:pt idx="14">
                  <c:v>424.54</c:v>
                </c:pt>
                <c:pt idx="15">
                  <c:v>524.58000000000004</c:v>
                </c:pt>
                <c:pt idx="16">
                  <c:v>411.31</c:v>
                </c:pt>
                <c:pt idx="17">
                  <c:v>134.32</c:v>
                </c:pt>
                <c:pt idx="18">
                  <c:v>403.13</c:v>
                </c:pt>
                <c:pt idx="19">
                  <c:v>345.53</c:v>
                </c:pt>
                <c:pt idx="20">
                  <c:v>523.95000000000005</c:v>
                </c:pt>
                <c:pt idx="21">
                  <c:v>345.87</c:v>
                </c:pt>
                <c:pt idx="22">
                  <c:v>442.35</c:v>
                </c:pt>
                <c:pt idx="23">
                  <c:v>522.52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7-254C-A2CC-3EB5BC9FE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318802"/>
        <c:axId val="91621839"/>
      </c:lineChart>
      <c:catAx>
        <c:axId val="153188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1621839"/>
        <c:crosses val="autoZero"/>
        <c:auto val="1"/>
        <c:lblAlgn val="ctr"/>
        <c:lblOffset val="100"/>
        <c:noMultiLvlLbl val="0"/>
      </c:catAx>
      <c:valAx>
        <c:axId val="916218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5318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_series_2!$B$16:$Y$16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197.21</c:v>
                </c:pt>
                <c:pt idx="6">
                  <c:v>107.96</c:v>
                </c:pt>
                <c:pt idx="7">
                  <c:v>57.75</c:v>
                </c:pt>
                <c:pt idx="8">
                  <c:v>57.76</c:v>
                </c:pt>
                <c:pt idx="9">
                  <c:v>156.47999999999999</c:v>
                </c:pt>
                <c:pt idx="10">
                  <c:v>109.34</c:v>
                </c:pt>
                <c:pt idx="11">
                  <c:v>81.96</c:v>
                </c:pt>
                <c:pt idx="12">
                  <c:v>104.55</c:v>
                </c:pt>
                <c:pt idx="13">
                  <c:v>64.709999999999994</c:v>
                </c:pt>
                <c:pt idx="14">
                  <c:v>144.05000000000001</c:v>
                </c:pt>
                <c:pt idx="15">
                  <c:v>114.68</c:v>
                </c:pt>
                <c:pt idx="16">
                  <c:v>57.95</c:v>
                </c:pt>
                <c:pt idx="17">
                  <c:v>155.66999999999999</c:v>
                </c:pt>
                <c:pt idx="18">
                  <c:v>95.69</c:v>
                </c:pt>
                <c:pt idx="19">
                  <c:v>73.010000000000005</c:v>
                </c:pt>
                <c:pt idx="20">
                  <c:v>131.63999999999999</c:v>
                </c:pt>
                <c:pt idx="21">
                  <c:v>214.16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8-074B-94D2-4CF335B89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242268"/>
        <c:axId val="38218181"/>
      </c:lineChart>
      <c:catAx>
        <c:axId val="112422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8218181"/>
        <c:crosses val="autoZero"/>
        <c:auto val="1"/>
        <c:lblAlgn val="ctr"/>
        <c:lblOffset val="100"/>
        <c:noMultiLvlLbl val="0"/>
      </c:catAx>
      <c:valAx>
        <c:axId val="382181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1242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_series_2!$B$17:$Y$17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242.74</c:v>
                </c:pt>
                <c:pt idx="6">
                  <c:v>219.19</c:v>
                </c:pt>
                <c:pt idx="7">
                  <c:v>209.34</c:v>
                </c:pt>
                <c:pt idx="8">
                  <c:v>210.33</c:v>
                </c:pt>
                <c:pt idx="9">
                  <c:v>189.9</c:v>
                </c:pt>
                <c:pt idx="10">
                  <c:v>190.38</c:v>
                </c:pt>
                <c:pt idx="11">
                  <c:v>193.93</c:v>
                </c:pt>
                <c:pt idx="12">
                  <c:v>203.58</c:v>
                </c:pt>
                <c:pt idx="13">
                  <c:v>205.73</c:v>
                </c:pt>
                <c:pt idx="14">
                  <c:v>206.28</c:v>
                </c:pt>
                <c:pt idx="15">
                  <c:v>209.82</c:v>
                </c:pt>
                <c:pt idx="16">
                  <c:v>233.02</c:v>
                </c:pt>
                <c:pt idx="17">
                  <c:v>237.28</c:v>
                </c:pt>
                <c:pt idx="18">
                  <c:v>266.33</c:v>
                </c:pt>
                <c:pt idx="19">
                  <c:v>225.34</c:v>
                </c:pt>
                <c:pt idx="20">
                  <c:v>236</c:v>
                </c:pt>
                <c:pt idx="21">
                  <c:v>204.34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8-3D45-9A82-0DD3B3ED8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542685"/>
        <c:axId val="67780640"/>
      </c:lineChart>
      <c:catAx>
        <c:axId val="2254268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7780640"/>
        <c:crosses val="autoZero"/>
        <c:auto val="1"/>
        <c:lblAlgn val="ctr"/>
        <c:lblOffset val="100"/>
        <c:noMultiLvlLbl val="0"/>
      </c:catAx>
      <c:valAx>
        <c:axId val="677806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5426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_series_2!$B$18:$Y$18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237.82</c:v>
                </c:pt>
                <c:pt idx="8">
                  <c:v>194.8</c:v>
                </c:pt>
                <c:pt idx="9">
                  <c:v>152.69999999999999</c:v>
                </c:pt>
                <c:pt idx="10">
                  <c:v>84.08</c:v>
                </c:pt>
                <c:pt idx="11">
                  <c:v>156.38</c:v>
                </c:pt>
                <c:pt idx="12">
                  <c:v>191.84</c:v>
                </c:pt>
                <c:pt idx="13">
                  <c:v>247.16</c:v>
                </c:pt>
                <c:pt idx="14">
                  <c:v>137.84</c:v>
                </c:pt>
                <c:pt idx="15">
                  <c:v>112.15</c:v>
                </c:pt>
                <c:pt idx="16">
                  <c:v>186.88</c:v>
                </c:pt>
                <c:pt idx="17">
                  <c:v>247.21</c:v>
                </c:pt>
                <c:pt idx="18">
                  <c:v>287.01</c:v>
                </c:pt>
                <c:pt idx="19">
                  <c:v>230.81</c:v>
                </c:pt>
                <c:pt idx="20">
                  <c:v>276.44</c:v>
                </c:pt>
                <c:pt idx="21">
                  <c:v>139.84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F-CF4E-AB74-7BDFAC4BB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113476"/>
        <c:axId val="38714808"/>
      </c:lineChart>
      <c:catAx>
        <c:axId val="351134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8714808"/>
        <c:crosses val="autoZero"/>
        <c:auto val="1"/>
        <c:lblAlgn val="ctr"/>
        <c:lblOffset val="100"/>
        <c:noMultiLvlLbl val="0"/>
      </c:catAx>
      <c:valAx>
        <c:axId val="387148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113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_series_2!$B$19:$Y$19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48.8</c:v>
                </c:pt>
                <c:pt idx="6">
                  <c:v>87.84</c:v>
                </c:pt>
                <c:pt idx="7">
                  <c:v>47.65</c:v>
                </c:pt>
                <c:pt idx="8">
                  <c:v>56.89</c:v>
                </c:pt>
                <c:pt idx="9">
                  <c:v>54.07</c:v>
                </c:pt>
                <c:pt idx="10">
                  <c:v>53.92</c:v>
                </c:pt>
                <c:pt idx="11">
                  <c:v>76.540000000000006</c:v>
                </c:pt>
                <c:pt idx="12">
                  <c:v>42.09</c:v>
                </c:pt>
                <c:pt idx="13">
                  <c:v>39.380000000000003</c:v>
                </c:pt>
                <c:pt idx="14">
                  <c:v>74.06</c:v>
                </c:pt>
                <c:pt idx="15">
                  <c:v>82.16</c:v>
                </c:pt>
                <c:pt idx="16">
                  <c:v>50.76</c:v>
                </c:pt>
                <c:pt idx="17">
                  <c:v>68.319999999999993</c:v>
                </c:pt>
                <c:pt idx="18">
                  <c:v>74.95</c:v>
                </c:pt>
                <c:pt idx="19">
                  <c:v>74.28</c:v>
                </c:pt>
                <c:pt idx="20">
                  <c:v>67.62</c:v>
                </c:pt>
                <c:pt idx="21">
                  <c:v>68.56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B-0845-9ED2-925794568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614268"/>
        <c:axId val="56982294"/>
      </c:lineChart>
      <c:catAx>
        <c:axId val="646142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6982294"/>
        <c:crosses val="autoZero"/>
        <c:auto val="1"/>
        <c:lblAlgn val="ctr"/>
        <c:lblOffset val="100"/>
        <c:noMultiLvlLbl val="0"/>
      </c:catAx>
      <c:valAx>
        <c:axId val="569822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4614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_series_2!$B$20:$Y$20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142.69999999999999</c:v>
                </c:pt>
                <c:pt idx="6">
                  <c:v>158.03</c:v>
                </c:pt>
                <c:pt idx="7">
                  <c:v>104.93</c:v>
                </c:pt>
                <c:pt idx="8">
                  <c:v>109.06</c:v>
                </c:pt>
                <c:pt idx="9">
                  <c:v>62.3</c:v>
                </c:pt>
                <c:pt idx="10">
                  <c:v>62.29</c:v>
                </c:pt>
                <c:pt idx="11">
                  <c:v>157.80000000000001</c:v>
                </c:pt>
                <c:pt idx="12">
                  <c:v>198.54</c:v>
                </c:pt>
                <c:pt idx="13">
                  <c:v>134.88999999999999</c:v>
                </c:pt>
                <c:pt idx="14">
                  <c:v>110.65</c:v>
                </c:pt>
                <c:pt idx="15">
                  <c:v>105.97</c:v>
                </c:pt>
                <c:pt idx="16">
                  <c:v>117.91</c:v>
                </c:pt>
                <c:pt idx="17">
                  <c:v>123.7</c:v>
                </c:pt>
                <c:pt idx="18">
                  <c:v>98.87</c:v>
                </c:pt>
                <c:pt idx="19">
                  <c:v>105.2</c:v>
                </c:pt>
                <c:pt idx="20">
                  <c:v>90.93</c:v>
                </c:pt>
                <c:pt idx="21">
                  <c:v>57.95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F-F345-83DD-20FF570E1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114847"/>
        <c:axId val="59597699"/>
      </c:lineChart>
      <c:catAx>
        <c:axId val="90114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597699"/>
        <c:crosses val="autoZero"/>
        <c:auto val="1"/>
        <c:lblAlgn val="ctr"/>
        <c:lblOffset val="100"/>
        <c:noMultiLvlLbl val="0"/>
      </c:catAx>
      <c:valAx>
        <c:axId val="595976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0114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_series_2!$B$21:$Y$21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47.1</c:v>
                </c:pt>
                <c:pt idx="6">
                  <c:v>102.36</c:v>
                </c:pt>
                <c:pt idx="7">
                  <c:v>78.98</c:v>
                </c:pt>
                <c:pt idx="8">
                  <c:v>99.58</c:v>
                </c:pt>
                <c:pt idx="9">
                  <c:v>74.5</c:v>
                </c:pt>
                <c:pt idx="10">
                  <c:v>68.430000000000007</c:v>
                </c:pt>
                <c:pt idx="11">
                  <c:v>74.5</c:v>
                </c:pt>
                <c:pt idx="12">
                  <c:v>105.08</c:v>
                </c:pt>
                <c:pt idx="13">
                  <c:v>138.22</c:v>
                </c:pt>
                <c:pt idx="14">
                  <c:v>106.65</c:v>
                </c:pt>
                <c:pt idx="15">
                  <c:v>83.05</c:v>
                </c:pt>
                <c:pt idx="16">
                  <c:v>64.55</c:v>
                </c:pt>
                <c:pt idx="17">
                  <c:v>76.489999999999995</c:v>
                </c:pt>
                <c:pt idx="18">
                  <c:v>91.62</c:v>
                </c:pt>
                <c:pt idx="19">
                  <c:v>58.77</c:v>
                </c:pt>
                <c:pt idx="20">
                  <c:v>58.18</c:v>
                </c:pt>
                <c:pt idx="21">
                  <c:v>55.48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9-DD43-B185-B4FC7E4B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356046"/>
        <c:axId val="9438824"/>
      </c:lineChart>
      <c:catAx>
        <c:axId val="843560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38824"/>
        <c:crosses val="autoZero"/>
        <c:auto val="1"/>
        <c:lblAlgn val="ctr"/>
        <c:lblOffset val="100"/>
        <c:noMultiLvlLbl val="0"/>
      </c:catAx>
      <c:valAx>
        <c:axId val="94388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43560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_series_2!$B$22:$Y$22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62.66</c:v>
                </c:pt>
                <c:pt idx="20">
                  <c:v>52.63</c:v>
                </c:pt>
                <c:pt idx="21">
                  <c:v>53.78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D7-BB4F-8FC2-8F521160F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193401"/>
        <c:axId val="29926513"/>
      </c:lineChart>
      <c:catAx>
        <c:axId val="171934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9926513"/>
        <c:crosses val="autoZero"/>
        <c:auto val="1"/>
        <c:lblAlgn val="ctr"/>
        <c:lblOffset val="100"/>
        <c:noMultiLvlLbl val="0"/>
      </c:catAx>
      <c:valAx>
        <c:axId val="299265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71934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_series_2!$B$23:$Y$23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40.130000000000003</c:v>
                </c:pt>
                <c:pt idx="6">
                  <c:v>113.72</c:v>
                </c:pt>
                <c:pt idx="7">
                  <c:v>75.180000000000007</c:v>
                </c:pt>
                <c:pt idx="8">
                  <c:v>54.02</c:v>
                </c:pt>
                <c:pt idx="9">
                  <c:v>53.3</c:v>
                </c:pt>
                <c:pt idx="10">
                  <c:v>53.49</c:v>
                </c:pt>
                <c:pt idx="11">
                  <c:v>66.13</c:v>
                </c:pt>
                <c:pt idx="12">
                  <c:v>53.49</c:v>
                </c:pt>
                <c:pt idx="13">
                  <c:v>53.49</c:v>
                </c:pt>
                <c:pt idx="14">
                  <c:v>53.49</c:v>
                </c:pt>
                <c:pt idx="15">
                  <c:v>59.64</c:v>
                </c:pt>
                <c:pt idx="16">
                  <c:v>53.49</c:v>
                </c:pt>
                <c:pt idx="17">
                  <c:v>53.49</c:v>
                </c:pt>
                <c:pt idx="18">
                  <c:v>53.49</c:v>
                </c:pt>
                <c:pt idx="19">
                  <c:v>84.44</c:v>
                </c:pt>
                <c:pt idx="20">
                  <c:v>86.3</c:v>
                </c:pt>
                <c:pt idx="21">
                  <c:v>53.49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A-FF4C-AB3F-D8F80822F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092617"/>
        <c:axId val="56646022"/>
      </c:lineChart>
      <c:catAx>
        <c:axId val="310926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6646022"/>
        <c:crosses val="autoZero"/>
        <c:auto val="1"/>
        <c:lblAlgn val="ctr"/>
        <c:lblOffset val="100"/>
        <c:noMultiLvlLbl val="0"/>
      </c:catAx>
      <c:valAx>
        <c:axId val="566460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1092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_series_2!$B$24:$Y$24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4.17</c:v>
                </c:pt>
                <c:pt idx="6">
                  <c:v>38.81</c:v>
                </c:pt>
                <c:pt idx="7">
                  <c:v>29.88</c:v>
                </c:pt>
                <c:pt idx="8">
                  <c:v>29.89</c:v>
                </c:pt>
                <c:pt idx="9">
                  <c:v>29.89</c:v>
                </c:pt>
                <c:pt idx="10">
                  <c:v>30.08</c:v>
                </c:pt>
                <c:pt idx="11">
                  <c:v>30.08</c:v>
                </c:pt>
                <c:pt idx="12">
                  <c:v>30.08</c:v>
                </c:pt>
                <c:pt idx="13">
                  <c:v>41.58</c:v>
                </c:pt>
                <c:pt idx="14">
                  <c:v>32.89</c:v>
                </c:pt>
                <c:pt idx="15">
                  <c:v>35.43</c:v>
                </c:pt>
                <c:pt idx="16">
                  <c:v>30.08</c:v>
                </c:pt>
                <c:pt idx="17">
                  <c:v>59.76</c:v>
                </c:pt>
                <c:pt idx="18">
                  <c:v>45.3</c:v>
                </c:pt>
                <c:pt idx="19">
                  <c:v>30.07</c:v>
                </c:pt>
                <c:pt idx="20">
                  <c:v>30.27</c:v>
                </c:pt>
                <c:pt idx="21">
                  <c:v>30.08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F-7443-98EB-F3E641FCA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476117"/>
        <c:axId val="12239659"/>
      </c:lineChart>
      <c:catAx>
        <c:axId val="94761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2239659"/>
        <c:crosses val="autoZero"/>
        <c:auto val="1"/>
        <c:lblAlgn val="ctr"/>
        <c:lblOffset val="100"/>
        <c:noMultiLvlLbl val="0"/>
      </c:catAx>
      <c:valAx>
        <c:axId val="122396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761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_series_2!$B$25:$Y$25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57.56</c:v>
                </c:pt>
                <c:pt idx="6">
                  <c:v>84.21</c:v>
                </c:pt>
                <c:pt idx="7">
                  <c:v>44.54</c:v>
                </c:pt>
                <c:pt idx="8">
                  <c:v>79.599999999999994</c:v>
                </c:pt>
                <c:pt idx="9">
                  <c:v>44.55</c:v>
                </c:pt>
                <c:pt idx="10">
                  <c:v>44.74</c:v>
                </c:pt>
                <c:pt idx="11">
                  <c:v>50.05</c:v>
                </c:pt>
                <c:pt idx="12">
                  <c:v>68.03</c:v>
                </c:pt>
                <c:pt idx="13">
                  <c:v>100.62</c:v>
                </c:pt>
                <c:pt idx="14">
                  <c:v>68.28</c:v>
                </c:pt>
                <c:pt idx="15">
                  <c:v>74.86</c:v>
                </c:pt>
                <c:pt idx="16">
                  <c:v>98.21</c:v>
                </c:pt>
                <c:pt idx="17">
                  <c:v>185.93</c:v>
                </c:pt>
                <c:pt idx="18">
                  <c:v>227.02</c:v>
                </c:pt>
                <c:pt idx="19">
                  <c:v>130.44999999999999</c:v>
                </c:pt>
                <c:pt idx="20">
                  <c:v>129.43</c:v>
                </c:pt>
                <c:pt idx="21">
                  <c:v>68.319999999999993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A-6346-BD35-543CD2EDD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62208"/>
        <c:axId val="36760284"/>
      </c:lineChart>
      <c:catAx>
        <c:axId val="866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6760284"/>
        <c:crosses val="autoZero"/>
        <c:auto val="1"/>
        <c:lblAlgn val="ctr"/>
        <c:lblOffset val="100"/>
        <c:noMultiLvlLbl val="0"/>
      </c:catAx>
      <c:valAx>
        <c:axId val="367602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6622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_series_2!$B$26:$Y$26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184.43</c:v>
                </c:pt>
                <c:pt idx="6">
                  <c:v>228.2</c:v>
                </c:pt>
                <c:pt idx="7">
                  <c:v>253.06</c:v>
                </c:pt>
                <c:pt idx="8">
                  <c:v>162.55000000000001</c:v>
                </c:pt>
                <c:pt idx="9">
                  <c:v>99.76</c:v>
                </c:pt>
                <c:pt idx="10">
                  <c:v>93.71</c:v>
                </c:pt>
                <c:pt idx="11">
                  <c:v>151.01</c:v>
                </c:pt>
                <c:pt idx="12">
                  <c:v>123.8</c:v>
                </c:pt>
                <c:pt idx="13">
                  <c:v>89.88</c:v>
                </c:pt>
                <c:pt idx="14">
                  <c:v>110.76</c:v>
                </c:pt>
                <c:pt idx="15">
                  <c:v>115.59</c:v>
                </c:pt>
                <c:pt idx="16">
                  <c:v>181.22</c:v>
                </c:pt>
                <c:pt idx="17">
                  <c:v>196.25</c:v>
                </c:pt>
                <c:pt idx="18">
                  <c:v>0</c:v>
                </c:pt>
                <c:pt idx="19">
                  <c:v>123.89</c:v>
                </c:pt>
                <c:pt idx="20">
                  <c:v>110.69</c:v>
                </c:pt>
                <c:pt idx="21">
                  <c:v>82.16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9-4248-A4A2-F7B78870C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044994"/>
        <c:axId val="55010330"/>
      </c:lineChart>
      <c:catAx>
        <c:axId val="590449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5010330"/>
        <c:crosses val="autoZero"/>
        <c:auto val="1"/>
        <c:lblAlgn val="ctr"/>
        <c:lblOffset val="100"/>
        <c:noMultiLvlLbl val="0"/>
      </c:catAx>
      <c:valAx>
        <c:axId val="550103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0449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_series_2!$B$27:$Y$27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290.70999999999998</c:v>
                </c:pt>
                <c:pt idx="6">
                  <c:v>324.27999999999997</c:v>
                </c:pt>
                <c:pt idx="7">
                  <c:v>271.18</c:v>
                </c:pt>
                <c:pt idx="8">
                  <c:v>294.10000000000002</c:v>
                </c:pt>
                <c:pt idx="9">
                  <c:v>305.38</c:v>
                </c:pt>
                <c:pt idx="10">
                  <c:v>240.86</c:v>
                </c:pt>
                <c:pt idx="11">
                  <c:v>379.37</c:v>
                </c:pt>
                <c:pt idx="12">
                  <c:v>463.88</c:v>
                </c:pt>
                <c:pt idx="13">
                  <c:v>533.80999999999995</c:v>
                </c:pt>
                <c:pt idx="14">
                  <c:v>372.47</c:v>
                </c:pt>
                <c:pt idx="15">
                  <c:v>384.38</c:v>
                </c:pt>
                <c:pt idx="16">
                  <c:v>309.32</c:v>
                </c:pt>
                <c:pt idx="17">
                  <c:v>368.67</c:v>
                </c:pt>
                <c:pt idx="18">
                  <c:v>343.52</c:v>
                </c:pt>
                <c:pt idx="19">
                  <c:v>280.31</c:v>
                </c:pt>
                <c:pt idx="20">
                  <c:v>335.76</c:v>
                </c:pt>
                <c:pt idx="21">
                  <c:v>67.209999999999994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4-A446-876B-BFE5D17F9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873488"/>
        <c:axId val="24535273"/>
      </c:lineChart>
      <c:catAx>
        <c:axId val="258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4535273"/>
        <c:crosses val="autoZero"/>
        <c:auto val="1"/>
        <c:lblAlgn val="ctr"/>
        <c:lblOffset val="100"/>
        <c:noMultiLvlLbl val="0"/>
      </c:catAx>
      <c:valAx>
        <c:axId val="245352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58734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_series_2!$B$28:$Y$28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42.64</c:v>
                </c:pt>
                <c:pt idx="6">
                  <c:v>52.53</c:v>
                </c:pt>
                <c:pt idx="7">
                  <c:v>52.52</c:v>
                </c:pt>
                <c:pt idx="8">
                  <c:v>52.53</c:v>
                </c:pt>
                <c:pt idx="9">
                  <c:v>96.36</c:v>
                </c:pt>
                <c:pt idx="10">
                  <c:v>158.5</c:v>
                </c:pt>
                <c:pt idx="11">
                  <c:v>323.81</c:v>
                </c:pt>
                <c:pt idx="12">
                  <c:v>532.71</c:v>
                </c:pt>
                <c:pt idx="13">
                  <c:v>651.11</c:v>
                </c:pt>
                <c:pt idx="14">
                  <c:v>444.67</c:v>
                </c:pt>
                <c:pt idx="15">
                  <c:v>119.88</c:v>
                </c:pt>
                <c:pt idx="16">
                  <c:v>48.59</c:v>
                </c:pt>
                <c:pt idx="17">
                  <c:v>48.59</c:v>
                </c:pt>
                <c:pt idx="18">
                  <c:v>48.59</c:v>
                </c:pt>
                <c:pt idx="19">
                  <c:v>48.58</c:v>
                </c:pt>
                <c:pt idx="20">
                  <c:v>48.59</c:v>
                </c:pt>
                <c:pt idx="21">
                  <c:v>111.27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4-414C-A5CE-FCD9B2909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998241"/>
        <c:axId val="38103140"/>
      </c:lineChart>
      <c:catAx>
        <c:axId val="619982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8103140"/>
        <c:crosses val="autoZero"/>
        <c:auto val="1"/>
        <c:lblAlgn val="ctr"/>
        <c:lblOffset val="100"/>
        <c:noMultiLvlLbl val="0"/>
      </c:catAx>
      <c:valAx>
        <c:axId val="381031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1998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_series_2!$B$29:$Y$29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57.56</c:v>
                </c:pt>
                <c:pt idx="6">
                  <c:v>84.21</c:v>
                </c:pt>
                <c:pt idx="7">
                  <c:v>44.54</c:v>
                </c:pt>
                <c:pt idx="8">
                  <c:v>79.599999999999994</c:v>
                </c:pt>
                <c:pt idx="9">
                  <c:v>44.55</c:v>
                </c:pt>
                <c:pt idx="10">
                  <c:v>44.74</c:v>
                </c:pt>
                <c:pt idx="11">
                  <c:v>50.05</c:v>
                </c:pt>
                <c:pt idx="12">
                  <c:v>68.03</c:v>
                </c:pt>
                <c:pt idx="13">
                  <c:v>100.62</c:v>
                </c:pt>
                <c:pt idx="14">
                  <c:v>68.28</c:v>
                </c:pt>
                <c:pt idx="15">
                  <c:v>74.86</c:v>
                </c:pt>
                <c:pt idx="16">
                  <c:v>98.21</c:v>
                </c:pt>
                <c:pt idx="17">
                  <c:v>185.93</c:v>
                </c:pt>
                <c:pt idx="18">
                  <c:v>227.02</c:v>
                </c:pt>
                <c:pt idx="19">
                  <c:v>130.44999999999999</c:v>
                </c:pt>
                <c:pt idx="20">
                  <c:v>129.43</c:v>
                </c:pt>
                <c:pt idx="21">
                  <c:v>68.319999999999993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9-1744-8E94-314960E5C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718045"/>
        <c:axId val="44546253"/>
      </c:lineChart>
      <c:catAx>
        <c:axId val="997180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4546253"/>
        <c:crosses val="autoZero"/>
        <c:auto val="1"/>
        <c:lblAlgn val="ctr"/>
        <c:lblOffset val="100"/>
        <c:noMultiLvlLbl val="0"/>
      </c:catAx>
      <c:valAx>
        <c:axId val="445462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97180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_series_2!$B$30:$Y$30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109.99</c:v>
                </c:pt>
                <c:pt idx="6">
                  <c:v>103.64</c:v>
                </c:pt>
                <c:pt idx="7">
                  <c:v>88.68</c:v>
                </c:pt>
                <c:pt idx="8">
                  <c:v>82.9</c:v>
                </c:pt>
                <c:pt idx="9">
                  <c:v>70.77</c:v>
                </c:pt>
                <c:pt idx="10">
                  <c:v>60.15</c:v>
                </c:pt>
                <c:pt idx="11">
                  <c:v>65.72</c:v>
                </c:pt>
                <c:pt idx="12">
                  <c:v>71.95</c:v>
                </c:pt>
                <c:pt idx="13">
                  <c:v>80.73</c:v>
                </c:pt>
                <c:pt idx="14">
                  <c:v>75.31</c:v>
                </c:pt>
                <c:pt idx="15">
                  <c:v>94.24</c:v>
                </c:pt>
                <c:pt idx="16">
                  <c:v>100.13</c:v>
                </c:pt>
                <c:pt idx="17">
                  <c:v>79.2</c:v>
                </c:pt>
                <c:pt idx="18">
                  <c:v>54.04</c:v>
                </c:pt>
                <c:pt idx="19">
                  <c:v>45.11</c:v>
                </c:pt>
                <c:pt idx="20">
                  <c:v>44.24</c:v>
                </c:pt>
                <c:pt idx="21">
                  <c:v>41.17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C-8E42-BBF8-64AB34E24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511962"/>
        <c:axId val="26213846"/>
      </c:lineChart>
      <c:catAx>
        <c:axId val="345119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6213846"/>
        <c:crosses val="autoZero"/>
        <c:auto val="1"/>
        <c:lblAlgn val="ctr"/>
        <c:lblOffset val="100"/>
        <c:noMultiLvlLbl val="0"/>
      </c:catAx>
      <c:valAx>
        <c:axId val="262138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4511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_series_2!$B$31:$Y$31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205.47</c:v>
                </c:pt>
                <c:pt idx="6">
                  <c:v>180.57</c:v>
                </c:pt>
                <c:pt idx="7">
                  <c:v>117.27</c:v>
                </c:pt>
                <c:pt idx="8">
                  <c:v>110.2</c:v>
                </c:pt>
                <c:pt idx="9">
                  <c:v>156.35</c:v>
                </c:pt>
                <c:pt idx="10">
                  <c:v>119.87</c:v>
                </c:pt>
                <c:pt idx="11">
                  <c:v>107.22</c:v>
                </c:pt>
                <c:pt idx="12">
                  <c:v>95.46</c:v>
                </c:pt>
                <c:pt idx="13">
                  <c:v>96.08</c:v>
                </c:pt>
                <c:pt idx="14">
                  <c:v>120.23</c:v>
                </c:pt>
                <c:pt idx="15">
                  <c:v>147.18</c:v>
                </c:pt>
                <c:pt idx="16">
                  <c:v>119.33</c:v>
                </c:pt>
                <c:pt idx="17">
                  <c:v>180.97</c:v>
                </c:pt>
                <c:pt idx="18">
                  <c:v>141.69</c:v>
                </c:pt>
                <c:pt idx="19">
                  <c:v>112.85</c:v>
                </c:pt>
                <c:pt idx="20">
                  <c:v>113.52</c:v>
                </c:pt>
                <c:pt idx="21">
                  <c:v>101.6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E-B545-8A22-C8FF63943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639447"/>
        <c:axId val="78037694"/>
      </c:lineChart>
      <c:catAx>
        <c:axId val="76639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037694"/>
        <c:crosses val="autoZero"/>
        <c:auto val="1"/>
        <c:lblAlgn val="ctr"/>
        <c:lblOffset val="100"/>
        <c:noMultiLvlLbl val="0"/>
      </c:catAx>
      <c:valAx>
        <c:axId val="780376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6639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_series_2!$B$32:$Y$32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140.66</c:v>
                </c:pt>
                <c:pt idx="6">
                  <c:v>134.18</c:v>
                </c:pt>
                <c:pt idx="7">
                  <c:v>89.76</c:v>
                </c:pt>
                <c:pt idx="8">
                  <c:v>109.97</c:v>
                </c:pt>
                <c:pt idx="9">
                  <c:v>103.97</c:v>
                </c:pt>
                <c:pt idx="10">
                  <c:v>101.4</c:v>
                </c:pt>
                <c:pt idx="11">
                  <c:v>119.43</c:v>
                </c:pt>
                <c:pt idx="12">
                  <c:v>157.59</c:v>
                </c:pt>
                <c:pt idx="13">
                  <c:v>113.58</c:v>
                </c:pt>
                <c:pt idx="14">
                  <c:v>111.7</c:v>
                </c:pt>
                <c:pt idx="15">
                  <c:v>107.47</c:v>
                </c:pt>
                <c:pt idx="16">
                  <c:v>104.65</c:v>
                </c:pt>
                <c:pt idx="17">
                  <c:v>129.96</c:v>
                </c:pt>
                <c:pt idx="18">
                  <c:v>127.07</c:v>
                </c:pt>
                <c:pt idx="19">
                  <c:v>121.45</c:v>
                </c:pt>
                <c:pt idx="20">
                  <c:v>103.58</c:v>
                </c:pt>
                <c:pt idx="21">
                  <c:v>78.2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D1-284F-B983-14FF1DEE7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55946"/>
        <c:axId val="70677362"/>
      </c:lineChart>
      <c:catAx>
        <c:axId val="79559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0677362"/>
        <c:crosses val="autoZero"/>
        <c:auto val="1"/>
        <c:lblAlgn val="ctr"/>
        <c:lblOffset val="100"/>
        <c:noMultiLvlLbl val="0"/>
      </c:catAx>
      <c:valAx>
        <c:axId val="706773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955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_series_2!$B$33:$Y$33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250.33</c:v>
                </c:pt>
                <c:pt idx="6">
                  <c:v>300.47000000000003</c:v>
                </c:pt>
                <c:pt idx="7">
                  <c:v>153.37</c:v>
                </c:pt>
                <c:pt idx="8">
                  <c:v>98.05</c:v>
                </c:pt>
                <c:pt idx="9">
                  <c:v>46.76</c:v>
                </c:pt>
                <c:pt idx="10">
                  <c:v>46.95</c:v>
                </c:pt>
                <c:pt idx="11">
                  <c:v>66.989999999999995</c:v>
                </c:pt>
                <c:pt idx="12">
                  <c:v>80.47</c:v>
                </c:pt>
                <c:pt idx="13">
                  <c:v>46.95</c:v>
                </c:pt>
                <c:pt idx="14">
                  <c:v>46.95</c:v>
                </c:pt>
                <c:pt idx="15">
                  <c:v>47.59</c:v>
                </c:pt>
                <c:pt idx="16">
                  <c:v>50.27</c:v>
                </c:pt>
                <c:pt idx="17">
                  <c:v>81.56</c:v>
                </c:pt>
                <c:pt idx="18">
                  <c:v>86.93</c:v>
                </c:pt>
                <c:pt idx="19">
                  <c:v>118.72</c:v>
                </c:pt>
                <c:pt idx="20">
                  <c:v>137.71</c:v>
                </c:pt>
                <c:pt idx="21">
                  <c:v>70.260000000000005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E-BB43-B0B5-700BCC043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540898"/>
        <c:axId val="27436607"/>
      </c:lineChart>
      <c:catAx>
        <c:axId val="825408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7436607"/>
        <c:crosses val="autoZero"/>
        <c:auto val="1"/>
        <c:lblAlgn val="ctr"/>
        <c:lblOffset val="100"/>
        <c:noMultiLvlLbl val="0"/>
      </c:catAx>
      <c:valAx>
        <c:axId val="274366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540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_series_2!$B$34:$Y$34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151.13999999999999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95.38</c:v>
                </c:pt>
                <c:pt idx="13">
                  <c:v>123.9</c:v>
                </c:pt>
                <c:pt idx="14">
                  <c:v>69.87</c:v>
                </c:pt>
                <c:pt idx="15">
                  <c:v>49.33</c:v>
                </c:pt>
                <c:pt idx="16">
                  <c:v>0</c:v>
                </c:pt>
                <c:pt idx="17">
                  <c:v>42.49</c:v>
                </c:pt>
                <c:pt idx="18">
                  <c:v>111.24</c:v>
                </c:pt>
                <c:pt idx="19">
                  <c:v>93.63</c:v>
                </c:pt>
                <c:pt idx="20">
                  <c:v>97.9</c:v>
                </c:pt>
                <c:pt idx="21">
                  <c:v>42.2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4-CA47-A017-4B625D16D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985029"/>
        <c:axId val="36479269"/>
      </c:lineChart>
      <c:catAx>
        <c:axId val="809850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6479269"/>
        <c:crosses val="autoZero"/>
        <c:auto val="1"/>
        <c:lblAlgn val="ctr"/>
        <c:lblOffset val="100"/>
        <c:noMultiLvlLbl val="0"/>
      </c:catAx>
      <c:valAx>
        <c:axId val="364792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09850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_series_2!$B$35:$Y$35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183.99</c:v>
                </c:pt>
                <c:pt idx="6">
                  <c:v>208.66</c:v>
                </c:pt>
                <c:pt idx="7">
                  <c:v>164.96</c:v>
                </c:pt>
                <c:pt idx="8">
                  <c:v>184.6</c:v>
                </c:pt>
                <c:pt idx="9">
                  <c:v>105.48</c:v>
                </c:pt>
                <c:pt idx="10">
                  <c:v>99.48</c:v>
                </c:pt>
                <c:pt idx="11">
                  <c:v>125.01</c:v>
                </c:pt>
                <c:pt idx="12">
                  <c:v>160.11000000000001</c:v>
                </c:pt>
                <c:pt idx="13">
                  <c:v>158.62</c:v>
                </c:pt>
                <c:pt idx="14">
                  <c:v>121.02</c:v>
                </c:pt>
                <c:pt idx="15">
                  <c:v>144.5</c:v>
                </c:pt>
                <c:pt idx="16">
                  <c:v>171.88</c:v>
                </c:pt>
                <c:pt idx="17">
                  <c:v>180.64</c:v>
                </c:pt>
                <c:pt idx="18">
                  <c:v>279.86</c:v>
                </c:pt>
                <c:pt idx="19">
                  <c:v>154.99</c:v>
                </c:pt>
                <c:pt idx="20">
                  <c:v>162.32</c:v>
                </c:pt>
                <c:pt idx="21">
                  <c:v>116.13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7-D24B-99CF-CF3FE2080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566554"/>
        <c:axId val="79958756"/>
      </c:lineChart>
      <c:catAx>
        <c:axId val="455665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9958756"/>
        <c:crosses val="autoZero"/>
        <c:auto val="1"/>
        <c:lblAlgn val="ctr"/>
        <c:lblOffset val="100"/>
        <c:noMultiLvlLbl val="0"/>
      </c:catAx>
      <c:valAx>
        <c:axId val="799587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55665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_series_2!$B$36:$Y$36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34.93</c:v>
                </c:pt>
                <c:pt idx="6">
                  <c:v>40.56</c:v>
                </c:pt>
                <c:pt idx="7">
                  <c:v>28.45</c:v>
                </c:pt>
                <c:pt idx="8">
                  <c:v>32.65</c:v>
                </c:pt>
                <c:pt idx="9">
                  <c:v>28.32</c:v>
                </c:pt>
                <c:pt idx="10">
                  <c:v>24.49</c:v>
                </c:pt>
                <c:pt idx="11">
                  <c:v>38.799999999999997</c:v>
                </c:pt>
                <c:pt idx="12">
                  <c:v>35.69</c:v>
                </c:pt>
                <c:pt idx="13">
                  <c:v>36.82</c:v>
                </c:pt>
                <c:pt idx="14">
                  <c:v>32.56</c:v>
                </c:pt>
                <c:pt idx="15">
                  <c:v>39.99</c:v>
                </c:pt>
                <c:pt idx="16">
                  <c:v>36.5</c:v>
                </c:pt>
                <c:pt idx="17">
                  <c:v>41.24</c:v>
                </c:pt>
                <c:pt idx="18">
                  <c:v>45.72</c:v>
                </c:pt>
                <c:pt idx="19">
                  <c:v>29.07</c:v>
                </c:pt>
                <c:pt idx="20">
                  <c:v>32.75</c:v>
                </c:pt>
                <c:pt idx="21">
                  <c:v>28.68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F-244A-8CC7-8B4563625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800054"/>
        <c:axId val="55102856"/>
      </c:lineChart>
      <c:catAx>
        <c:axId val="178000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5102856"/>
        <c:crosses val="autoZero"/>
        <c:auto val="1"/>
        <c:lblAlgn val="ctr"/>
        <c:lblOffset val="100"/>
        <c:noMultiLvlLbl val="0"/>
      </c:catAx>
      <c:valAx>
        <c:axId val="551028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7800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_series_2!$B$37:$Y$37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177.12</c:v>
                </c:pt>
                <c:pt idx="4">
                  <c:v>204.62</c:v>
                </c:pt>
                <c:pt idx="5">
                  <c:v>217.29</c:v>
                </c:pt>
                <c:pt idx="6">
                  <c:v>120.17</c:v>
                </c:pt>
                <c:pt idx="7">
                  <c:v>215.39</c:v>
                </c:pt>
                <c:pt idx="8">
                  <c:v>192.67</c:v>
                </c:pt>
                <c:pt idx="9">
                  <c:v>186.75</c:v>
                </c:pt>
                <c:pt idx="10">
                  <c:v>256.60000000000002</c:v>
                </c:pt>
                <c:pt idx="11">
                  <c:v>320.88</c:v>
                </c:pt>
                <c:pt idx="12">
                  <c:v>513.52</c:v>
                </c:pt>
                <c:pt idx="13">
                  <c:v>434.38</c:v>
                </c:pt>
                <c:pt idx="14">
                  <c:v>379.45</c:v>
                </c:pt>
                <c:pt idx="15">
                  <c:v>311.35000000000002</c:v>
                </c:pt>
                <c:pt idx="16">
                  <c:v>170.8</c:v>
                </c:pt>
                <c:pt idx="17">
                  <c:v>165</c:v>
                </c:pt>
                <c:pt idx="18">
                  <c:v>160.49</c:v>
                </c:pt>
                <c:pt idx="19">
                  <c:v>211.41</c:v>
                </c:pt>
                <c:pt idx="20">
                  <c:v>194.07</c:v>
                </c:pt>
                <c:pt idx="21">
                  <c:v>204.35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6-4447-8EAC-DD7C0F123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720437"/>
        <c:axId val="51048791"/>
      </c:lineChart>
      <c:catAx>
        <c:axId val="627204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1048791"/>
        <c:crosses val="autoZero"/>
        <c:auto val="1"/>
        <c:lblAlgn val="ctr"/>
        <c:lblOffset val="100"/>
        <c:noMultiLvlLbl val="0"/>
      </c:catAx>
      <c:valAx>
        <c:axId val="510487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27204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_series_2!$B$38:$Y$38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48.8</c:v>
                </c:pt>
                <c:pt idx="6">
                  <c:v>87.84</c:v>
                </c:pt>
                <c:pt idx="7">
                  <c:v>47.65</c:v>
                </c:pt>
                <c:pt idx="8">
                  <c:v>56.89</c:v>
                </c:pt>
                <c:pt idx="9">
                  <c:v>54.07</c:v>
                </c:pt>
                <c:pt idx="10">
                  <c:v>53.92</c:v>
                </c:pt>
                <c:pt idx="11">
                  <c:v>76.540000000000006</c:v>
                </c:pt>
                <c:pt idx="12">
                  <c:v>42.09</c:v>
                </c:pt>
                <c:pt idx="13">
                  <c:v>39.380000000000003</c:v>
                </c:pt>
                <c:pt idx="14">
                  <c:v>74.06</c:v>
                </c:pt>
                <c:pt idx="15">
                  <c:v>82.16</c:v>
                </c:pt>
                <c:pt idx="16">
                  <c:v>50.76</c:v>
                </c:pt>
                <c:pt idx="17">
                  <c:v>68.319999999999993</c:v>
                </c:pt>
                <c:pt idx="18">
                  <c:v>74.95</c:v>
                </c:pt>
                <c:pt idx="19">
                  <c:v>74.28</c:v>
                </c:pt>
                <c:pt idx="20">
                  <c:v>67.62</c:v>
                </c:pt>
                <c:pt idx="21">
                  <c:v>68.56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8-6444-B296-FAE56BE0D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370415"/>
        <c:axId val="82397725"/>
      </c:lineChart>
      <c:catAx>
        <c:axId val="29370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397725"/>
        <c:crosses val="autoZero"/>
        <c:auto val="1"/>
        <c:lblAlgn val="ctr"/>
        <c:lblOffset val="100"/>
        <c:noMultiLvlLbl val="0"/>
      </c:catAx>
      <c:valAx>
        <c:axId val="823977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9370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_series_2!$B$39:$Y$39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101.08</c:v>
                </c:pt>
                <c:pt idx="6">
                  <c:v>100.46</c:v>
                </c:pt>
                <c:pt idx="7">
                  <c:v>67.75</c:v>
                </c:pt>
                <c:pt idx="8">
                  <c:v>70.88</c:v>
                </c:pt>
                <c:pt idx="9">
                  <c:v>33.21</c:v>
                </c:pt>
                <c:pt idx="10">
                  <c:v>46.03</c:v>
                </c:pt>
                <c:pt idx="11">
                  <c:v>63.22</c:v>
                </c:pt>
                <c:pt idx="12">
                  <c:v>43.54</c:v>
                </c:pt>
                <c:pt idx="13">
                  <c:v>97.03</c:v>
                </c:pt>
                <c:pt idx="14">
                  <c:v>53.97</c:v>
                </c:pt>
                <c:pt idx="15">
                  <c:v>70.02</c:v>
                </c:pt>
                <c:pt idx="16">
                  <c:v>65.2</c:v>
                </c:pt>
                <c:pt idx="17">
                  <c:v>75.989999999999995</c:v>
                </c:pt>
                <c:pt idx="18">
                  <c:v>74.930000000000007</c:v>
                </c:pt>
                <c:pt idx="19">
                  <c:v>73.78</c:v>
                </c:pt>
                <c:pt idx="20">
                  <c:v>153.96</c:v>
                </c:pt>
                <c:pt idx="21">
                  <c:v>66.73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9-7C4B-9C4F-5F94BB596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429493"/>
        <c:axId val="95089928"/>
      </c:lineChart>
      <c:catAx>
        <c:axId val="204294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5089928"/>
        <c:crosses val="autoZero"/>
        <c:auto val="1"/>
        <c:lblAlgn val="ctr"/>
        <c:lblOffset val="100"/>
        <c:noMultiLvlLbl val="0"/>
      </c:catAx>
      <c:valAx>
        <c:axId val="950899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04294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_series_2!$B$40:$Y$40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89.75</c:v>
                </c:pt>
                <c:pt idx="6">
                  <c:v>108.92</c:v>
                </c:pt>
                <c:pt idx="7">
                  <c:v>73.59</c:v>
                </c:pt>
                <c:pt idx="8">
                  <c:v>77.8</c:v>
                </c:pt>
                <c:pt idx="9">
                  <c:v>61.24</c:v>
                </c:pt>
                <c:pt idx="10">
                  <c:v>63.51</c:v>
                </c:pt>
                <c:pt idx="11">
                  <c:v>96.98</c:v>
                </c:pt>
                <c:pt idx="12">
                  <c:v>81.790000000000006</c:v>
                </c:pt>
                <c:pt idx="13">
                  <c:v>88.77</c:v>
                </c:pt>
                <c:pt idx="14">
                  <c:v>74.94</c:v>
                </c:pt>
                <c:pt idx="15">
                  <c:v>73.06</c:v>
                </c:pt>
                <c:pt idx="16">
                  <c:v>77.56</c:v>
                </c:pt>
                <c:pt idx="17">
                  <c:v>93.16</c:v>
                </c:pt>
                <c:pt idx="18">
                  <c:v>91.18</c:v>
                </c:pt>
                <c:pt idx="19">
                  <c:v>67.790000000000006</c:v>
                </c:pt>
                <c:pt idx="20">
                  <c:v>75.66</c:v>
                </c:pt>
                <c:pt idx="21">
                  <c:v>57.57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6-FC4E-BB6C-6B94BFDC3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523495"/>
        <c:axId val="28277107"/>
      </c:lineChart>
      <c:catAx>
        <c:axId val="57523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277107"/>
        <c:crosses val="autoZero"/>
        <c:auto val="1"/>
        <c:lblAlgn val="ctr"/>
        <c:lblOffset val="100"/>
        <c:noMultiLvlLbl val="0"/>
      </c:catAx>
      <c:valAx>
        <c:axId val="282771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75234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_series_2!$B$41:$Y$41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90.02</c:v>
                </c:pt>
                <c:pt idx="6">
                  <c:v>133.35</c:v>
                </c:pt>
                <c:pt idx="7">
                  <c:v>87.14</c:v>
                </c:pt>
                <c:pt idx="8">
                  <c:v>80.25</c:v>
                </c:pt>
                <c:pt idx="9">
                  <c:v>53.25</c:v>
                </c:pt>
                <c:pt idx="10">
                  <c:v>42.98</c:v>
                </c:pt>
                <c:pt idx="11">
                  <c:v>51.71</c:v>
                </c:pt>
                <c:pt idx="12">
                  <c:v>75.05</c:v>
                </c:pt>
                <c:pt idx="13">
                  <c:v>105.46</c:v>
                </c:pt>
                <c:pt idx="14">
                  <c:v>67.14</c:v>
                </c:pt>
                <c:pt idx="15">
                  <c:v>65.41</c:v>
                </c:pt>
                <c:pt idx="16">
                  <c:v>70.95</c:v>
                </c:pt>
                <c:pt idx="17">
                  <c:v>61.44</c:v>
                </c:pt>
                <c:pt idx="18">
                  <c:v>55.79</c:v>
                </c:pt>
                <c:pt idx="19">
                  <c:v>58.96</c:v>
                </c:pt>
                <c:pt idx="20">
                  <c:v>59.58</c:v>
                </c:pt>
                <c:pt idx="21">
                  <c:v>31.76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D-BF4C-983A-79CCEBD84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52855"/>
        <c:axId val="67580800"/>
      </c:lineChart>
      <c:catAx>
        <c:axId val="1652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7580800"/>
        <c:crosses val="autoZero"/>
        <c:auto val="1"/>
        <c:lblAlgn val="ctr"/>
        <c:lblOffset val="100"/>
        <c:noMultiLvlLbl val="0"/>
      </c:catAx>
      <c:valAx>
        <c:axId val="675808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6528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_series_2!$B$42:$Y$42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206.38</c:v>
                </c:pt>
                <c:pt idx="6">
                  <c:v>195.81</c:v>
                </c:pt>
                <c:pt idx="7">
                  <c:v>143.12</c:v>
                </c:pt>
                <c:pt idx="8">
                  <c:v>105.5</c:v>
                </c:pt>
                <c:pt idx="9">
                  <c:v>61.13</c:v>
                </c:pt>
                <c:pt idx="10">
                  <c:v>55.64</c:v>
                </c:pt>
                <c:pt idx="11">
                  <c:v>2296.4</c:v>
                </c:pt>
                <c:pt idx="12">
                  <c:v>68.33</c:v>
                </c:pt>
                <c:pt idx="13">
                  <c:v>73.64</c:v>
                </c:pt>
                <c:pt idx="14">
                  <c:v>67.28</c:v>
                </c:pt>
                <c:pt idx="15">
                  <c:v>71.22</c:v>
                </c:pt>
                <c:pt idx="16">
                  <c:v>115.97</c:v>
                </c:pt>
                <c:pt idx="17">
                  <c:v>141.81</c:v>
                </c:pt>
                <c:pt idx="18">
                  <c:v>189.29</c:v>
                </c:pt>
                <c:pt idx="19">
                  <c:v>147.97999999999999</c:v>
                </c:pt>
                <c:pt idx="20">
                  <c:v>177.84</c:v>
                </c:pt>
                <c:pt idx="21">
                  <c:v>107.11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5-3F45-826A-891012104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988345"/>
        <c:axId val="49915440"/>
      </c:lineChart>
      <c:catAx>
        <c:axId val="139883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9915440"/>
        <c:crosses val="autoZero"/>
        <c:auto val="1"/>
        <c:lblAlgn val="ctr"/>
        <c:lblOffset val="100"/>
        <c:noMultiLvlLbl val="0"/>
      </c:catAx>
      <c:valAx>
        <c:axId val="499154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39883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_series_2!$B$43:$Y$43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40.130000000000003</c:v>
                </c:pt>
                <c:pt idx="6">
                  <c:v>113.72</c:v>
                </c:pt>
                <c:pt idx="7">
                  <c:v>75.180000000000007</c:v>
                </c:pt>
                <c:pt idx="8">
                  <c:v>54.02</c:v>
                </c:pt>
                <c:pt idx="9">
                  <c:v>53.3</c:v>
                </c:pt>
                <c:pt idx="10">
                  <c:v>53.49</c:v>
                </c:pt>
                <c:pt idx="11">
                  <c:v>66.13</c:v>
                </c:pt>
                <c:pt idx="12">
                  <c:v>53.49</c:v>
                </c:pt>
                <c:pt idx="13">
                  <c:v>53.49</c:v>
                </c:pt>
                <c:pt idx="14">
                  <c:v>53.49</c:v>
                </c:pt>
                <c:pt idx="15">
                  <c:v>59.64</c:v>
                </c:pt>
                <c:pt idx="16">
                  <c:v>53.49</c:v>
                </c:pt>
                <c:pt idx="17">
                  <c:v>53.49</c:v>
                </c:pt>
                <c:pt idx="18">
                  <c:v>53.49</c:v>
                </c:pt>
                <c:pt idx="19">
                  <c:v>84.44</c:v>
                </c:pt>
                <c:pt idx="20">
                  <c:v>86.3</c:v>
                </c:pt>
                <c:pt idx="21">
                  <c:v>53.49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05-0D42-88EE-B6BAAC20F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907234"/>
        <c:axId val="41148438"/>
      </c:lineChart>
      <c:catAx>
        <c:axId val="9690723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1148438"/>
        <c:crosses val="autoZero"/>
        <c:auto val="1"/>
        <c:lblAlgn val="ctr"/>
        <c:lblOffset val="100"/>
        <c:noMultiLvlLbl val="0"/>
      </c:catAx>
      <c:valAx>
        <c:axId val="411484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9072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_series_2!$B$44:$Y$44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347.11</c:v>
                </c:pt>
                <c:pt idx="6">
                  <c:v>371.75</c:v>
                </c:pt>
                <c:pt idx="7">
                  <c:v>300.62</c:v>
                </c:pt>
                <c:pt idx="8">
                  <c:v>294.73</c:v>
                </c:pt>
                <c:pt idx="9">
                  <c:v>169.66</c:v>
                </c:pt>
                <c:pt idx="10">
                  <c:v>79.89</c:v>
                </c:pt>
                <c:pt idx="11">
                  <c:v>63.9</c:v>
                </c:pt>
                <c:pt idx="12">
                  <c:v>53.49</c:v>
                </c:pt>
                <c:pt idx="13">
                  <c:v>83.14</c:v>
                </c:pt>
                <c:pt idx="14">
                  <c:v>68.13</c:v>
                </c:pt>
                <c:pt idx="15">
                  <c:v>65.56</c:v>
                </c:pt>
                <c:pt idx="16">
                  <c:v>165.45</c:v>
                </c:pt>
                <c:pt idx="17">
                  <c:v>344.09</c:v>
                </c:pt>
                <c:pt idx="18">
                  <c:v>343.37</c:v>
                </c:pt>
                <c:pt idx="19">
                  <c:v>215.59</c:v>
                </c:pt>
                <c:pt idx="20">
                  <c:v>339.06</c:v>
                </c:pt>
                <c:pt idx="21">
                  <c:v>133.97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8-D545-AC24-5020E6AA0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679951"/>
        <c:axId val="16280720"/>
      </c:lineChart>
      <c:catAx>
        <c:axId val="73679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6280720"/>
        <c:crosses val="autoZero"/>
        <c:auto val="1"/>
        <c:lblAlgn val="ctr"/>
        <c:lblOffset val="100"/>
        <c:noMultiLvlLbl val="0"/>
      </c:catAx>
      <c:valAx>
        <c:axId val="162807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3679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_series_2!$B$45:$Y$45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118.49</c:v>
                </c:pt>
                <c:pt idx="6">
                  <c:v>154.22</c:v>
                </c:pt>
                <c:pt idx="7">
                  <c:v>87.47</c:v>
                </c:pt>
                <c:pt idx="8">
                  <c:v>83.49</c:v>
                </c:pt>
                <c:pt idx="9">
                  <c:v>78.650000000000006</c:v>
                </c:pt>
                <c:pt idx="10">
                  <c:v>78.84</c:v>
                </c:pt>
                <c:pt idx="11">
                  <c:v>121.87</c:v>
                </c:pt>
                <c:pt idx="12">
                  <c:v>124.02</c:v>
                </c:pt>
                <c:pt idx="13">
                  <c:v>93.77</c:v>
                </c:pt>
                <c:pt idx="14">
                  <c:v>93.31</c:v>
                </c:pt>
                <c:pt idx="15">
                  <c:v>94.56</c:v>
                </c:pt>
                <c:pt idx="16">
                  <c:v>93.5</c:v>
                </c:pt>
                <c:pt idx="17">
                  <c:v>165.13</c:v>
                </c:pt>
                <c:pt idx="18">
                  <c:v>175.03</c:v>
                </c:pt>
                <c:pt idx="19">
                  <c:v>121.96</c:v>
                </c:pt>
                <c:pt idx="20">
                  <c:v>78.84</c:v>
                </c:pt>
                <c:pt idx="21">
                  <c:v>78.84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8-7640-8FCA-98A94718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939956"/>
        <c:axId val="88919919"/>
      </c:lineChart>
      <c:catAx>
        <c:axId val="859399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8919919"/>
        <c:crosses val="autoZero"/>
        <c:auto val="1"/>
        <c:lblAlgn val="ctr"/>
        <c:lblOffset val="100"/>
        <c:noMultiLvlLbl val="0"/>
      </c:catAx>
      <c:valAx>
        <c:axId val="889199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59399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_series_2!$B$46:$Y$46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39.85</c:v>
                </c:pt>
                <c:pt idx="6">
                  <c:v>51.78</c:v>
                </c:pt>
                <c:pt idx="7">
                  <c:v>37.33</c:v>
                </c:pt>
                <c:pt idx="8">
                  <c:v>41.41</c:v>
                </c:pt>
                <c:pt idx="9">
                  <c:v>97.03</c:v>
                </c:pt>
                <c:pt idx="10">
                  <c:v>0</c:v>
                </c:pt>
                <c:pt idx="11">
                  <c:v>0</c:v>
                </c:pt>
                <c:pt idx="12">
                  <c:v>42.75</c:v>
                </c:pt>
                <c:pt idx="13">
                  <c:v>31.97</c:v>
                </c:pt>
                <c:pt idx="14">
                  <c:v>0</c:v>
                </c:pt>
                <c:pt idx="15">
                  <c:v>52.56</c:v>
                </c:pt>
                <c:pt idx="16">
                  <c:v>44.32</c:v>
                </c:pt>
                <c:pt idx="17">
                  <c:v>39.840000000000003</c:v>
                </c:pt>
                <c:pt idx="18">
                  <c:v>45.55</c:v>
                </c:pt>
                <c:pt idx="19">
                  <c:v>44.05</c:v>
                </c:pt>
                <c:pt idx="20">
                  <c:v>37.65</c:v>
                </c:pt>
                <c:pt idx="21">
                  <c:v>36.42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6-C443-9FCD-19B38EEFB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547399"/>
        <c:axId val="65133165"/>
      </c:lineChart>
      <c:catAx>
        <c:axId val="76547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5133165"/>
        <c:crosses val="autoZero"/>
        <c:auto val="1"/>
        <c:lblAlgn val="ctr"/>
        <c:lblOffset val="100"/>
        <c:noMultiLvlLbl val="0"/>
      </c:catAx>
      <c:valAx>
        <c:axId val="651331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65473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_series_2!$B$47:$Y$47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24.44</c:v>
                </c:pt>
                <c:pt idx="6">
                  <c:v>103.27</c:v>
                </c:pt>
                <c:pt idx="7">
                  <c:v>38.119999999999997</c:v>
                </c:pt>
                <c:pt idx="8">
                  <c:v>30.84</c:v>
                </c:pt>
                <c:pt idx="9">
                  <c:v>62.64</c:v>
                </c:pt>
                <c:pt idx="10">
                  <c:v>48.65</c:v>
                </c:pt>
                <c:pt idx="11">
                  <c:v>38.22</c:v>
                </c:pt>
                <c:pt idx="12">
                  <c:v>30.61</c:v>
                </c:pt>
                <c:pt idx="13">
                  <c:v>30.61</c:v>
                </c:pt>
                <c:pt idx="14">
                  <c:v>30.61</c:v>
                </c:pt>
                <c:pt idx="15">
                  <c:v>30.61</c:v>
                </c:pt>
                <c:pt idx="16">
                  <c:v>46.48</c:v>
                </c:pt>
                <c:pt idx="17">
                  <c:v>34.29</c:v>
                </c:pt>
                <c:pt idx="18">
                  <c:v>31.16</c:v>
                </c:pt>
                <c:pt idx="19">
                  <c:v>30.6</c:v>
                </c:pt>
                <c:pt idx="20">
                  <c:v>30.61</c:v>
                </c:pt>
                <c:pt idx="21">
                  <c:v>30.61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3-3D46-8BB9-18643D094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177272"/>
        <c:axId val="78004213"/>
      </c:lineChart>
      <c:catAx>
        <c:axId val="57177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004213"/>
        <c:crosses val="autoZero"/>
        <c:auto val="1"/>
        <c:lblAlgn val="ctr"/>
        <c:lblOffset val="100"/>
        <c:noMultiLvlLbl val="0"/>
      </c:catAx>
      <c:valAx>
        <c:axId val="780042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71772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_series_2!$B$48:$Y$48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142.69999999999999</c:v>
                </c:pt>
                <c:pt idx="6">
                  <c:v>158.03</c:v>
                </c:pt>
                <c:pt idx="7">
                  <c:v>104.93</c:v>
                </c:pt>
                <c:pt idx="8">
                  <c:v>109.06</c:v>
                </c:pt>
                <c:pt idx="9">
                  <c:v>62.3</c:v>
                </c:pt>
                <c:pt idx="10">
                  <c:v>62.29</c:v>
                </c:pt>
                <c:pt idx="11">
                  <c:v>157.80000000000001</c:v>
                </c:pt>
                <c:pt idx="12">
                  <c:v>198.54</c:v>
                </c:pt>
                <c:pt idx="13">
                  <c:v>134.88999999999999</c:v>
                </c:pt>
                <c:pt idx="14">
                  <c:v>110.65</c:v>
                </c:pt>
                <c:pt idx="15">
                  <c:v>105.97</c:v>
                </c:pt>
                <c:pt idx="16">
                  <c:v>117.91</c:v>
                </c:pt>
                <c:pt idx="17">
                  <c:v>123.7</c:v>
                </c:pt>
                <c:pt idx="18">
                  <c:v>98.87</c:v>
                </c:pt>
                <c:pt idx="19">
                  <c:v>105.2</c:v>
                </c:pt>
                <c:pt idx="20">
                  <c:v>90.93</c:v>
                </c:pt>
                <c:pt idx="21">
                  <c:v>57.95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E-944E-BF30-DFD4F8B4F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374461"/>
        <c:axId val="2232529"/>
      </c:lineChart>
      <c:catAx>
        <c:axId val="6537446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32529"/>
        <c:crosses val="autoZero"/>
        <c:auto val="1"/>
        <c:lblAlgn val="ctr"/>
        <c:lblOffset val="100"/>
        <c:noMultiLvlLbl val="0"/>
      </c:catAx>
      <c:valAx>
        <c:axId val="22325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53744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_series_2!$B$49:$Y$49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36.64</c:v>
                </c:pt>
                <c:pt idx="6">
                  <c:v>50.58</c:v>
                </c:pt>
                <c:pt idx="7">
                  <c:v>40.659999999999997</c:v>
                </c:pt>
                <c:pt idx="8">
                  <c:v>36.229999999999997</c:v>
                </c:pt>
                <c:pt idx="9">
                  <c:v>56.58</c:v>
                </c:pt>
                <c:pt idx="10">
                  <c:v>36.42</c:v>
                </c:pt>
                <c:pt idx="11">
                  <c:v>73.55</c:v>
                </c:pt>
                <c:pt idx="12">
                  <c:v>129.06</c:v>
                </c:pt>
                <c:pt idx="13">
                  <c:v>123.92</c:v>
                </c:pt>
                <c:pt idx="14">
                  <c:v>91.35</c:v>
                </c:pt>
                <c:pt idx="15">
                  <c:v>61.86</c:v>
                </c:pt>
                <c:pt idx="16">
                  <c:v>36.42</c:v>
                </c:pt>
                <c:pt idx="17">
                  <c:v>36.42</c:v>
                </c:pt>
                <c:pt idx="18">
                  <c:v>36.42</c:v>
                </c:pt>
                <c:pt idx="19">
                  <c:v>36.409999999999997</c:v>
                </c:pt>
                <c:pt idx="20">
                  <c:v>36.42</c:v>
                </c:pt>
                <c:pt idx="21">
                  <c:v>36.42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8-6E47-9DB9-53EE74C0E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767040"/>
        <c:axId val="51226023"/>
      </c:lineChart>
      <c:catAx>
        <c:axId val="6676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1226023"/>
        <c:crosses val="autoZero"/>
        <c:auto val="1"/>
        <c:lblAlgn val="ctr"/>
        <c:lblOffset val="100"/>
        <c:noMultiLvlLbl val="0"/>
      </c:catAx>
      <c:valAx>
        <c:axId val="512260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6767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_series_2!$B$50:$Y$50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4.17</c:v>
                </c:pt>
                <c:pt idx="6">
                  <c:v>38.81</c:v>
                </c:pt>
                <c:pt idx="7">
                  <c:v>29.88</c:v>
                </c:pt>
                <c:pt idx="8">
                  <c:v>29.89</c:v>
                </c:pt>
                <c:pt idx="9">
                  <c:v>29.89</c:v>
                </c:pt>
                <c:pt idx="10">
                  <c:v>30.08</c:v>
                </c:pt>
                <c:pt idx="11">
                  <c:v>30.08</c:v>
                </c:pt>
                <c:pt idx="12">
                  <c:v>30.08</c:v>
                </c:pt>
                <c:pt idx="13">
                  <c:v>41.58</c:v>
                </c:pt>
                <c:pt idx="14">
                  <c:v>32.89</c:v>
                </c:pt>
                <c:pt idx="15">
                  <c:v>35.43</c:v>
                </c:pt>
                <c:pt idx="16">
                  <c:v>30.08</c:v>
                </c:pt>
                <c:pt idx="17">
                  <c:v>59.76</c:v>
                </c:pt>
                <c:pt idx="18">
                  <c:v>45.3</c:v>
                </c:pt>
                <c:pt idx="19">
                  <c:v>30.07</c:v>
                </c:pt>
                <c:pt idx="20">
                  <c:v>30.27</c:v>
                </c:pt>
                <c:pt idx="21">
                  <c:v>30.08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7C-854B-96A3-06C426525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320510"/>
        <c:axId val="56874744"/>
      </c:lineChart>
      <c:catAx>
        <c:axId val="343205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6874744"/>
        <c:crosses val="autoZero"/>
        <c:auto val="1"/>
        <c:lblAlgn val="ctr"/>
        <c:lblOffset val="100"/>
        <c:noMultiLvlLbl val="0"/>
      </c:catAx>
      <c:valAx>
        <c:axId val="568747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43205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_series_2!$B$51:$Y$51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187.37</c:v>
                </c:pt>
                <c:pt idx="6">
                  <c:v>356.58</c:v>
                </c:pt>
                <c:pt idx="7">
                  <c:v>235.43</c:v>
                </c:pt>
                <c:pt idx="8">
                  <c:v>209.2</c:v>
                </c:pt>
                <c:pt idx="9">
                  <c:v>182.14</c:v>
                </c:pt>
                <c:pt idx="10">
                  <c:v>207.52</c:v>
                </c:pt>
                <c:pt idx="11">
                  <c:v>386.58</c:v>
                </c:pt>
                <c:pt idx="12">
                  <c:v>538.58000000000004</c:v>
                </c:pt>
                <c:pt idx="13">
                  <c:v>419.91</c:v>
                </c:pt>
                <c:pt idx="14">
                  <c:v>343.48</c:v>
                </c:pt>
                <c:pt idx="15">
                  <c:v>342.43</c:v>
                </c:pt>
                <c:pt idx="16">
                  <c:v>233.64</c:v>
                </c:pt>
                <c:pt idx="17">
                  <c:v>286.64</c:v>
                </c:pt>
                <c:pt idx="18">
                  <c:v>392.56</c:v>
                </c:pt>
                <c:pt idx="19">
                  <c:v>325.89</c:v>
                </c:pt>
                <c:pt idx="20">
                  <c:v>280.12</c:v>
                </c:pt>
                <c:pt idx="21">
                  <c:v>251.73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F-CC42-B5B7-8BADB73ED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399851"/>
        <c:axId val="95586711"/>
      </c:lineChart>
      <c:catAx>
        <c:axId val="143998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5586711"/>
        <c:crosses val="autoZero"/>
        <c:auto val="1"/>
        <c:lblAlgn val="ctr"/>
        <c:lblOffset val="100"/>
        <c:noMultiLvlLbl val="0"/>
      </c:catAx>
      <c:valAx>
        <c:axId val="955867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43998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_series_2!$B$52:$Y$52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197.21</c:v>
                </c:pt>
                <c:pt idx="6">
                  <c:v>107.96</c:v>
                </c:pt>
                <c:pt idx="7">
                  <c:v>57.75</c:v>
                </c:pt>
                <c:pt idx="8">
                  <c:v>57.76</c:v>
                </c:pt>
                <c:pt idx="9">
                  <c:v>156.47999999999999</c:v>
                </c:pt>
                <c:pt idx="10">
                  <c:v>109.34</c:v>
                </c:pt>
                <c:pt idx="11">
                  <c:v>81.96</c:v>
                </c:pt>
                <c:pt idx="12">
                  <c:v>104.55</c:v>
                </c:pt>
                <c:pt idx="13">
                  <c:v>64.709999999999994</c:v>
                </c:pt>
                <c:pt idx="14">
                  <c:v>144.05000000000001</c:v>
                </c:pt>
                <c:pt idx="15">
                  <c:v>114.68</c:v>
                </c:pt>
                <c:pt idx="16">
                  <c:v>57.95</c:v>
                </c:pt>
                <c:pt idx="17">
                  <c:v>155.66999999999999</c:v>
                </c:pt>
                <c:pt idx="18">
                  <c:v>95.69</c:v>
                </c:pt>
                <c:pt idx="19">
                  <c:v>73.010000000000005</c:v>
                </c:pt>
                <c:pt idx="20">
                  <c:v>131.63999999999999</c:v>
                </c:pt>
                <c:pt idx="21">
                  <c:v>214.16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D-BE43-BDBE-44357745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430404"/>
        <c:axId val="33237868"/>
      </c:lineChart>
      <c:catAx>
        <c:axId val="514304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237868"/>
        <c:crosses val="autoZero"/>
        <c:auto val="1"/>
        <c:lblAlgn val="ctr"/>
        <c:lblOffset val="100"/>
        <c:noMultiLvlLbl val="0"/>
      </c:catAx>
      <c:valAx>
        <c:axId val="332378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14304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_series_2!$B$53:$Y$53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180.47</c:v>
                </c:pt>
                <c:pt idx="6">
                  <c:v>158.91</c:v>
                </c:pt>
                <c:pt idx="7">
                  <c:v>141.13</c:v>
                </c:pt>
                <c:pt idx="8">
                  <c:v>152.97999999999999</c:v>
                </c:pt>
                <c:pt idx="9">
                  <c:v>157.74</c:v>
                </c:pt>
                <c:pt idx="10">
                  <c:v>113.65</c:v>
                </c:pt>
                <c:pt idx="11">
                  <c:v>193.9</c:v>
                </c:pt>
                <c:pt idx="12">
                  <c:v>208.65</c:v>
                </c:pt>
                <c:pt idx="13">
                  <c:v>154.35</c:v>
                </c:pt>
                <c:pt idx="14">
                  <c:v>155.61000000000001</c:v>
                </c:pt>
                <c:pt idx="15">
                  <c:v>97.8</c:v>
                </c:pt>
                <c:pt idx="16">
                  <c:v>151.27000000000001</c:v>
                </c:pt>
                <c:pt idx="17">
                  <c:v>251.03</c:v>
                </c:pt>
                <c:pt idx="18">
                  <c:v>157.49</c:v>
                </c:pt>
                <c:pt idx="19">
                  <c:v>190.46</c:v>
                </c:pt>
                <c:pt idx="20">
                  <c:v>136.69</c:v>
                </c:pt>
                <c:pt idx="21">
                  <c:v>63.08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B-3247-A2C9-1C7D7248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431698"/>
        <c:axId val="82268888"/>
      </c:lineChart>
      <c:catAx>
        <c:axId val="314316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268888"/>
        <c:crosses val="autoZero"/>
        <c:auto val="1"/>
        <c:lblAlgn val="ctr"/>
        <c:lblOffset val="100"/>
        <c:noMultiLvlLbl val="0"/>
      </c:catAx>
      <c:valAx>
        <c:axId val="822688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14316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_series_2!$B$54:$Y$54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69.319999999999993</c:v>
                </c:pt>
                <c:pt idx="6">
                  <c:v>68.180000000000007</c:v>
                </c:pt>
                <c:pt idx="7">
                  <c:v>67.91</c:v>
                </c:pt>
                <c:pt idx="8">
                  <c:v>65.5</c:v>
                </c:pt>
                <c:pt idx="9">
                  <c:v>63</c:v>
                </c:pt>
                <c:pt idx="10">
                  <c:v>66.739999999999995</c:v>
                </c:pt>
                <c:pt idx="11">
                  <c:v>76.22</c:v>
                </c:pt>
                <c:pt idx="12">
                  <c:v>103.09</c:v>
                </c:pt>
                <c:pt idx="13">
                  <c:v>113.81</c:v>
                </c:pt>
                <c:pt idx="14">
                  <c:v>63.43</c:v>
                </c:pt>
                <c:pt idx="15">
                  <c:v>65.430000000000007</c:v>
                </c:pt>
                <c:pt idx="16">
                  <c:v>70.010000000000005</c:v>
                </c:pt>
                <c:pt idx="17">
                  <c:v>68.52</c:v>
                </c:pt>
                <c:pt idx="18">
                  <c:v>70.37</c:v>
                </c:pt>
                <c:pt idx="19">
                  <c:v>71.34</c:v>
                </c:pt>
                <c:pt idx="20">
                  <c:v>69.790000000000006</c:v>
                </c:pt>
                <c:pt idx="21">
                  <c:v>67.31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4-5D4C-AEF8-573D9D738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575783"/>
        <c:axId val="5555448"/>
      </c:lineChart>
      <c:catAx>
        <c:axId val="85575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555448"/>
        <c:crosses val="autoZero"/>
        <c:auto val="1"/>
        <c:lblAlgn val="ctr"/>
        <c:lblOffset val="100"/>
        <c:noMultiLvlLbl val="0"/>
      </c:catAx>
      <c:valAx>
        <c:axId val="55554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5575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_series_2!$B$55:$Y$55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47.83</c:v>
                </c:pt>
                <c:pt idx="6">
                  <c:v>50.78</c:v>
                </c:pt>
                <c:pt idx="7">
                  <c:v>50.77</c:v>
                </c:pt>
                <c:pt idx="8">
                  <c:v>50.78</c:v>
                </c:pt>
                <c:pt idx="9">
                  <c:v>50.78</c:v>
                </c:pt>
                <c:pt idx="10">
                  <c:v>50.97</c:v>
                </c:pt>
                <c:pt idx="11">
                  <c:v>65.400000000000006</c:v>
                </c:pt>
                <c:pt idx="12">
                  <c:v>50.97</c:v>
                </c:pt>
                <c:pt idx="13">
                  <c:v>50.97</c:v>
                </c:pt>
                <c:pt idx="14">
                  <c:v>50.97</c:v>
                </c:pt>
                <c:pt idx="15">
                  <c:v>66.67</c:v>
                </c:pt>
                <c:pt idx="16">
                  <c:v>64.709999999999994</c:v>
                </c:pt>
                <c:pt idx="17">
                  <c:v>50.97</c:v>
                </c:pt>
                <c:pt idx="18">
                  <c:v>50.97</c:v>
                </c:pt>
                <c:pt idx="19">
                  <c:v>50.96</c:v>
                </c:pt>
                <c:pt idx="20">
                  <c:v>50.97</c:v>
                </c:pt>
                <c:pt idx="21">
                  <c:v>50.97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A-4040-A796-3F0B28CD0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091103"/>
        <c:axId val="34333267"/>
      </c:lineChart>
      <c:catAx>
        <c:axId val="15091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4333267"/>
        <c:crosses val="autoZero"/>
        <c:auto val="1"/>
        <c:lblAlgn val="ctr"/>
        <c:lblOffset val="100"/>
        <c:noMultiLvlLbl val="0"/>
      </c:catAx>
      <c:valAx>
        <c:axId val="343332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5091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_series_2!$B$56:$Y$56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30.2</c:v>
                </c:pt>
                <c:pt idx="6">
                  <c:v>34.090000000000003</c:v>
                </c:pt>
                <c:pt idx="7">
                  <c:v>59.75</c:v>
                </c:pt>
                <c:pt idx="8">
                  <c:v>34.51</c:v>
                </c:pt>
                <c:pt idx="9">
                  <c:v>39.85</c:v>
                </c:pt>
                <c:pt idx="10">
                  <c:v>53.43</c:v>
                </c:pt>
                <c:pt idx="11">
                  <c:v>116.93</c:v>
                </c:pt>
                <c:pt idx="12">
                  <c:v>93.33</c:v>
                </c:pt>
                <c:pt idx="13">
                  <c:v>112.19</c:v>
                </c:pt>
                <c:pt idx="14">
                  <c:v>101.59</c:v>
                </c:pt>
                <c:pt idx="15">
                  <c:v>86.7</c:v>
                </c:pt>
                <c:pt idx="16">
                  <c:v>120.39</c:v>
                </c:pt>
                <c:pt idx="17">
                  <c:v>129.97</c:v>
                </c:pt>
                <c:pt idx="18">
                  <c:v>202.95</c:v>
                </c:pt>
                <c:pt idx="19">
                  <c:v>104.89</c:v>
                </c:pt>
                <c:pt idx="20">
                  <c:v>100.84</c:v>
                </c:pt>
                <c:pt idx="21">
                  <c:v>34.700000000000003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AE-8741-9835-04B910496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130968"/>
        <c:axId val="98589013"/>
      </c:lineChart>
      <c:catAx>
        <c:axId val="45130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8589013"/>
        <c:crosses val="autoZero"/>
        <c:auto val="1"/>
        <c:lblAlgn val="ctr"/>
        <c:lblOffset val="100"/>
        <c:noMultiLvlLbl val="0"/>
      </c:catAx>
      <c:valAx>
        <c:axId val="985890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51309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_series_2!$B$57:$Y$57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152.30000000000001</c:v>
                </c:pt>
                <c:pt idx="6">
                  <c:v>155.74</c:v>
                </c:pt>
                <c:pt idx="7">
                  <c:v>135.53</c:v>
                </c:pt>
                <c:pt idx="8">
                  <c:v>151.44999999999999</c:v>
                </c:pt>
                <c:pt idx="9">
                  <c:v>121.1</c:v>
                </c:pt>
                <c:pt idx="10">
                  <c:v>117.22</c:v>
                </c:pt>
                <c:pt idx="11">
                  <c:v>135.4</c:v>
                </c:pt>
                <c:pt idx="12">
                  <c:v>157.11000000000001</c:v>
                </c:pt>
                <c:pt idx="13">
                  <c:v>145.6</c:v>
                </c:pt>
                <c:pt idx="14">
                  <c:v>133.59</c:v>
                </c:pt>
                <c:pt idx="15">
                  <c:v>124.12</c:v>
                </c:pt>
                <c:pt idx="16">
                  <c:v>141.72</c:v>
                </c:pt>
                <c:pt idx="17">
                  <c:v>181.57</c:v>
                </c:pt>
                <c:pt idx="18">
                  <c:v>190.85</c:v>
                </c:pt>
                <c:pt idx="19">
                  <c:v>144.71</c:v>
                </c:pt>
                <c:pt idx="20">
                  <c:v>140.88</c:v>
                </c:pt>
                <c:pt idx="21">
                  <c:v>121.29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C-0D4C-B691-C59143EBD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316917"/>
        <c:axId val="58730303"/>
      </c:lineChart>
      <c:catAx>
        <c:axId val="783169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8730303"/>
        <c:crosses val="autoZero"/>
        <c:auto val="1"/>
        <c:lblAlgn val="ctr"/>
        <c:lblOffset val="100"/>
        <c:noMultiLvlLbl val="0"/>
      </c:catAx>
      <c:valAx>
        <c:axId val="587303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3169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_series_2!$B$58:$Y$58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192.1</c:v>
                </c:pt>
                <c:pt idx="6">
                  <c:v>178.04</c:v>
                </c:pt>
                <c:pt idx="7">
                  <c:v>145.32</c:v>
                </c:pt>
                <c:pt idx="8">
                  <c:v>133.88999999999999</c:v>
                </c:pt>
                <c:pt idx="9">
                  <c:v>81.14</c:v>
                </c:pt>
                <c:pt idx="10">
                  <c:v>70.790000000000006</c:v>
                </c:pt>
                <c:pt idx="11">
                  <c:v>85.31</c:v>
                </c:pt>
                <c:pt idx="12">
                  <c:v>127.02</c:v>
                </c:pt>
                <c:pt idx="13">
                  <c:v>106.87</c:v>
                </c:pt>
                <c:pt idx="14">
                  <c:v>97.92</c:v>
                </c:pt>
                <c:pt idx="15">
                  <c:v>105.82</c:v>
                </c:pt>
                <c:pt idx="16">
                  <c:v>139.47999999999999</c:v>
                </c:pt>
                <c:pt idx="17">
                  <c:v>194.34</c:v>
                </c:pt>
                <c:pt idx="18">
                  <c:v>242.11</c:v>
                </c:pt>
                <c:pt idx="19">
                  <c:v>171.01</c:v>
                </c:pt>
                <c:pt idx="20">
                  <c:v>177.95</c:v>
                </c:pt>
                <c:pt idx="21">
                  <c:v>93.5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3-774C-89D3-6F1EC4119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078889"/>
        <c:axId val="8482101"/>
      </c:lineChart>
      <c:catAx>
        <c:axId val="210788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482101"/>
        <c:crosses val="autoZero"/>
        <c:auto val="1"/>
        <c:lblAlgn val="ctr"/>
        <c:lblOffset val="100"/>
        <c:noMultiLvlLbl val="0"/>
      </c:catAx>
      <c:valAx>
        <c:axId val="84821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078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_series_2!$B$59:$Y$59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488.65</c:v>
                </c:pt>
                <c:pt idx="6">
                  <c:v>537.73</c:v>
                </c:pt>
                <c:pt idx="7">
                  <c:v>494.3</c:v>
                </c:pt>
                <c:pt idx="8">
                  <c:v>528.99</c:v>
                </c:pt>
                <c:pt idx="9">
                  <c:v>544.83000000000004</c:v>
                </c:pt>
                <c:pt idx="10">
                  <c:v>537.04999999999995</c:v>
                </c:pt>
                <c:pt idx="11">
                  <c:v>563.32000000000005</c:v>
                </c:pt>
                <c:pt idx="12">
                  <c:v>575.52</c:v>
                </c:pt>
                <c:pt idx="13">
                  <c:v>644.98</c:v>
                </c:pt>
                <c:pt idx="14">
                  <c:v>529.15</c:v>
                </c:pt>
                <c:pt idx="15">
                  <c:v>488.22</c:v>
                </c:pt>
                <c:pt idx="16">
                  <c:v>454.74</c:v>
                </c:pt>
                <c:pt idx="17">
                  <c:v>450</c:v>
                </c:pt>
                <c:pt idx="18">
                  <c:v>440.38</c:v>
                </c:pt>
                <c:pt idx="19">
                  <c:v>457.36</c:v>
                </c:pt>
                <c:pt idx="20">
                  <c:v>398.64</c:v>
                </c:pt>
                <c:pt idx="21">
                  <c:v>437.08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D-DA49-A4E4-449715DF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468542"/>
        <c:axId val="73069658"/>
      </c:lineChart>
      <c:catAx>
        <c:axId val="1346854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3069658"/>
        <c:crosses val="autoZero"/>
        <c:auto val="1"/>
        <c:lblAlgn val="ctr"/>
        <c:lblOffset val="100"/>
        <c:noMultiLvlLbl val="0"/>
      </c:catAx>
      <c:valAx>
        <c:axId val="730696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34685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_series_2!$B$60:$Y$60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94.92</c:v>
                </c:pt>
                <c:pt idx="6">
                  <c:v>86.01</c:v>
                </c:pt>
                <c:pt idx="7">
                  <c:v>79.349999999999994</c:v>
                </c:pt>
                <c:pt idx="8">
                  <c:v>78.97</c:v>
                </c:pt>
                <c:pt idx="9">
                  <c:v>65.97</c:v>
                </c:pt>
                <c:pt idx="10">
                  <c:v>67.69</c:v>
                </c:pt>
                <c:pt idx="11">
                  <c:v>103.82</c:v>
                </c:pt>
                <c:pt idx="12">
                  <c:v>132.38</c:v>
                </c:pt>
                <c:pt idx="13">
                  <c:v>136.19</c:v>
                </c:pt>
                <c:pt idx="14">
                  <c:v>77.819999999999993</c:v>
                </c:pt>
                <c:pt idx="15">
                  <c:v>64.73</c:v>
                </c:pt>
                <c:pt idx="16">
                  <c:v>71.67</c:v>
                </c:pt>
                <c:pt idx="17">
                  <c:v>82.72</c:v>
                </c:pt>
                <c:pt idx="18">
                  <c:v>96.29</c:v>
                </c:pt>
                <c:pt idx="19">
                  <c:v>71.930000000000007</c:v>
                </c:pt>
                <c:pt idx="20">
                  <c:v>86.07</c:v>
                </c:pt>
                <c:pt idx="21">
                  <c:v>73.45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0-4349-B2E1-8DA6204D4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312705"/>
        <c:axId val="80744100"/>
      </c:lineChart>
      <c:catAx>
        <c:axId val="793127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0744100"/>
        <c:crosses val="autoZero"/>
        <c:auto val="1"/>
        <c:lblAlgn val="ctr"/>
        <c:lblOffset val="100"/>
        <c:noMultiLvlLbl val="0"/>
      </c:catAx>
      <c:valAx>
        <c:axId val="807441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9312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_series_2!$B$61:$Y$61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153.30000000000001</c:v>
                </c:pt>
                <c:pt idx="6">
                  <c:v>235.52</c:v>
                </c:pt>
                <c:pt idx="7">
                  <c:v>144.81</c:v>
                </c:pt>
                <c:pt idx="8">
                  <c:v>170.73</c:v>
                </c:pt>
                <c:pt idx="9">
                  <c:v>107.14</c:v>
                </c:pt>
                <c:pt idx="10">
                  <c:v>64.89</c:v>
                </c:pt>
                <c:pt idx="11">
                  <c:v>74.86</c:v>
                </c:pt>
                <c:pt idx="12">
                  <c:v>64.900000000000006</c:v>
                </c:pt>
                <c:pt idx="13">
                  <c:v>73.650000000000006</c:v>
                </c:pt>
                <c:pt idx="14">
                  <c:v>68.86</c:v>
                </c:pt>
                <c:pt idx="15">
                  <c:v>64.900000000000006</c:v>
                </c:pt>
                <c:pt idx="16">
                  <c:v>98.52</c:v>
                </c:pt>
                <c:pt idx="17">
                  <c:v>222.19</c:v>
                </c:pt>
                <c:pt idx="18">
                  <c:v>204.15</c:v>
                </c:pt>
                <c:pt idx="19">
                  <c:v>117.32</c:v>
                </c:pt>
                <c:pt idx="20">
                  <c:v>122.82</c:v>
                </c:pt>
                <c:pt idx="21">
                  <c:v>64.900000000000006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9-E14E-B864-242D9A029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382819"/>
        <c:axId val="66528399"/>
      </c:lineChart>
      <c:catAx>
        <c:axId val="833828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6528399"/>
        <c:crosses val="autoZero"/>
        <c:auto val="1"/>
        <c:lblAlgn val="ctr"/>
        <c:lblOffset val="100"/>
        <c:noMultiLvlLbl val="0"/>
      </c:catAx>
      <c:valAx>
        <c:axId val="665283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33828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_series_2!$B$62:$Y$62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25.51</c:v>
                </c:pt>
                <c:pt idx="6">
                  <c:v>36.229999999999997</c:v>
                </c:pt>
                <c:pt idx="7">
                  <c:v>36.22</c:v>
                </c:pt>
                <c:pt idx="8">
                  <c:v>36.229999999999997</c:v>
                </c:pt>
                <c:pt idx="9">
                  <c:v>36.229999999999997</c:v>
                </c:pt>
                <c:pt idx="10">
                  <c:v>36.42</c:v>
                </c:pt>
                <c:pt idx="11">
                  <c:v>39.14</c:v>
                </c:pt>
                <c:pt idx="12">
                  <c:v>36.42</c:v>
                </c:pt>
                <c:pt idx="13">
                  <c:v>69.209999999999994</c:v>
                </c:pt>
                <c:pt idx="14">
                  <c:v>36.42</c:v>
                </c:pt>
                <c:pt idx="15">
                  <c:v>36.42</c:v>
                </c:pt>
                <c:pt idx="16">
                  <c:v>36.42</c:v>
                </c:pt>
                <c:pt idx="17">
                  <c:v>36.42</c:v>
                </c:pt>
                <c:pt idx="18">
                  <c:v>36.42</c:v>
                </c:pt>
                <c:pt idx="19">
                  <c:v>36.409999999999997</c:v>
                </c:pt>
                <c:pt idx="20">
                  <c:v>36.42</c:v>
                </c:pt>
                <c:pt idx="21">
                  <c:v>36.42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97-1640-90AC-6C613EB9E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547"/>
        <c:axId val="73159102"/>
      </c:lineChart>
      <c:catAx>
        <c:axId val="185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3159102"/>
        <c:crosses val="autoZero"/>
        <c:auto val="1"/>
        <c:lblAlgn val="ctr"/>
        <c:lblOffset val="100"/>
        <c:noMultiLvlLbl val="0"/>
      </c:catAx>
      <c:valAx>
        <c:axId val="731591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85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_series_2!$B$63:$Y$63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84.84</c:v>
                </c:pt>
                <c:pt idx="6">
                  <c:v>87.6</c:v>
                </c:pt>
                <c:pt idx="7">
                  <c:v>102.13</c:v>
                </c:pt>
                <c:pt idx="8">
                  <c:v>112.73</c:v>
                </c:pt>
                <c:pt idx="9">
                  <c:v>67.239999999999995</c:v>
                </c:pt>
                <c:pt idx="10">
                  <c:v>70.09</c:v>
                </c:pt>
                <c:pt idx="11">
                  <c:v>176.45</c:v>
                </c:pt>
                <c:pt idx="12">
                  <c:v>216.18</c:v>
                </c:pt>
                <c:pt idx="13">
                  <c:v>228.49</c:v>
                </c:pt>
                <c:pt idx="14">
                  <c:v>167.21</c:v>
                </c:pt>
                <c:pt idx="15">
                  <c:v>89.58</c:v>
                </c:pt>
                <c:pt idx="16">
                  <c:v>53.52</c:v>
                </c:pt>
                <c:pt idx="17">
                  <c:v>94.91</c:v>
                </c:pt>
                <c:pt idx="18">
                  <c:v>68.69</c:v>
                </c:pt>
                <c:pt idx="19">
                  <c:v>52.1</c:v>
                </c:pt>
                <c:pt idx="20">
                  <c:v>65.48</c:v>
                </c:pt>
                <c:pt idx="21">
                  <c:v>54.69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5C-904E-A362-90A4CA2D9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032262"/>
        <c:axId val="37923202"/>
      </c:lineChart>
      <c:catAx>
        <c:axId val="550322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7923202"/>
        <c:crosses val="autoZero"/>
        <c:auto val="1"/>
        <c:lblAlgn val="ctr"/>
        <c:lblOffset val="100"/>
        <c:noMultiLvlLbl val="0"/>
      </c:catAx>
      <c:valAx>
        <c:axId val="379232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50322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_series_2!$B$64:$Y$64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210.17</c:v>
                </c:pt>
                <c:pt idx="6">
                  <c:v>158.22999999999999</c:v>
                </c:pt>
                <c:pt idx="7">
                  <c:v>144.91</c:v>
                </c:pt>
                <c:pt idx="8">
                  <c:v>177.92</c:v>
                </c:pt>
                <c:pt idx="9">
                  <c:v>203.1</c:v>
                </c:pt>
                <c:pt idx="10">
                  <c:v>248.87</c:v>
                </c:pt>
                <c:pt idx="11">
                  <c:v>311.27999999999997</c:v>
                </c:pt>
                <c:pt idx="12">
                  <c:v>316.33999999999997</c:v>
                </c:pt>
                <c:pt idx="13">
                  <c:v>459.23</c:v>
                </c:pt>
                <c:pt idx="14">
                  <c:v>343.62</c:v>
                </c:pt>
                <c:pt idx="15">
                  <c:v>268.93</c:v>
                </c:pt>
                <c:pt idx="16">
                  <c:v>208.6</c:v>
                </c:pt>
                <c:pt idx="17">
                  <c:v>225.91</c:v>
                </c:pt>
                <c:pt idx="18">
                  <c:v>206.38</c:v>
                </c:pt>
                <c:pt idx="19">
                  <c:v>249.36</c:v>
                </c:pt>
                <c:pt idx="20">
                  <c:v>234.85</c:v>
                </c:pt>
                <c:pt idx="21">
                  <c:v>245.83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F-A343-AB89-D163B5406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690954"/>
        <c:axId val="335433"/>
      </c:lineChart>
      <c:catAx>
        <c:axId val="646909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5433"/>
        <c:crosses val="autoZero"/>
        <c:auto val="1"/>
        <c:lblAlgn val="ctr"/>
        <c:lblOffset val="100"/>
        <c:noMultiLvlLbl val="0"/>
      </c:catAx>
      <c:valAx>
        <c:axId val="3354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4690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_series_2!$B$65:$Y$65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102.46</c:v>
                </c:pt>
                <c:pt idx="6">
                  <c:v>89.21</c:v>
                </c:pt>
                <c:pt idx="7">
                  <c:v>83.15</c:v>
                </c:pt>
                <c:pt idx="8">
                  <c:v>72.06</c:v>
                </c:pt>
                <c:pt idx="9">
                  <c:v>80.989999999999995</c:v>
                </c:pt>
                <c:pt idx="10">
                  <c:v>82.21</c:v>
                </c:pt>
                <c:pt idx="11">
                  <c:v>98.36</c:v>
                </c:pt>
                <c:pt idx="12">
                  <c:v>101.02</c:v>
                </c:pt>
                <c:pt idx="13">
                  <c:v>102.55</c:v>
                </c:pt>
                <c:pt idx="14">
                  <c:v>85.84</c:v>
                </c:pt>
                <c:pt idx="15">
                  <c:v>73.62</c:v>
                </c:pt>
                <c:pt idx="16">
                  <c:v>75.209999999999994</c:v>
                </c:pt>
                <c:pt idx="17">
                  <c:v>82.48</c:v>
                </c:pt>
                <c:pt idx="18">
                  <c:v>82.8</c:v>
                </c:pt>
                <c:pt idx="19">
                  <c:v>76.5</c:v>
                </c:pt>
                <c:pt idx="20">
                  <c:v>89.98</c:v>
                </c:pt>
                <c:pt idx="21">
                  <c:v>96.87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C-B049-9FE1-44B636373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321941"/>
        <c:axId val="59388532"/>
      </c:lineChart>
      <c:catAx>
        <c:axId val="333219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388532"/>
        <c:crosses val="autoZero"/>
        <c:auto val="1"/>
        <c:lblAlgn val="ctr"/>
        <c:lblOffset val="100"/>
        <c:noMultiLvlLbl val="0"/>
      </c:catAx>
      <c:valAx>
        <c:axId val="593885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3219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_series_2!$B$66:$Y$66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449.11</c:v>
                </c:pt>
                <c:pt idx="5">
                  <c:v>662.18</c:v>
                </c:pt>
                <c:pt idx="6">
                  <c:v>474.49</c:v>
                </c:pt>
                <c:pt idx="7">
                  <c:v>515.45000000000005</c:v>
                </c:pt>
                <c:pt idx="8">
                  <c:v>71.209999999999994</c:v>
                </c:pt>
                <c:pt idx="9">
                  <c:v>492.58</c:v>
                </c:pt>
                <c:pt idx="10">
                  <c:v>493.06</c:v>
                </c:pt>
                <c:pt idx="11">
                  <c:v>616.1</c:v>
                </c:pt>
                <c:pt idx="12">
                  <c:v>1183.1099999999999</c:v>
                </c:pt>
                <c:pt idx="13">
                  <c:v>1678.46</c:v>
                </c:pt>
                <c:pt idx="14">
                  <c:v>0</c:v>
                </c:pt>
                <c:pt idx="15">
                  <c:v>417.31</c:v>
                </c:pt>
                <c:pt idx="16">
                  <c:v>248.18</c:v>
                </c:pt>
                <c:pt idx="17">
                  <c:v>405.59</c:v>
                </c:pt>
                <c:pt idx="18">
                  <c:v>379.31</c:v>
                </c:pt>
                <c:pt idx="19">
                  <c:v>351.58</c:v>
                </c:pt>
                <c:pt idx="20">
                  <c:v>359.92</c:v>
                </c:pt>
                <c:pt idx="21">
                  <c:v>452.06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B-6249-9BBC-436A8BBD8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468321"/>
        <c:axId val="30025662"/>
      </c:lineChart>
      <c:catAx>
        <c:axId val="484683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0025662"/>
        <c:crosses val="autoZero"/>
        <c:auto val="1"/>
        <c:lblAlgn val="ctr"/>
        <c:lblOffset val="100"/>
        <c:noMultiLvlLbl val="0"/>
      </c:catAx>
      <c:valAx>
        <c:axId val="300256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84683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_series_2!$B$67:$Y$67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85.15</c:v>
                </c:pt>
                <c:pt idx="6">
                  <c:v>120.77</c:v>
                </c:pt>
                <c:pt idx="7">
                  <c:v>92.2</c:v>
                </c:pt>
                <c:pt idx="8">
                  <c:v>68.44</c:v>
                </c:pt>
                <c:pt idx="9">
                  <c:v>57.76</c:v>
                </c:pt>
                <c:pt idx="10">
                  <c:v>57.95</c:v>
                </c:pt>
                <c:pt idx="11">
                  <c:v>84.98</c:v>
                </c:pt>
                <c:pt idx="12">
                  <c:v>61.44</c:v>
                </c:pt>
                <c:pt idx="13">
                  <c:v>101.42</c:v>
                </c:pt>
                <c:pt idx="14">
                  <c:v>70.84</c:v>
                </c:pt>
                <c:pt idx="15">
                  <c:v>84.57</c:v>
                </c:pt>
                <c:pt idx="16">
                  <c:v>67.08</c:v>
                </c:pt>
                <c:pt idx="17">
                  <c:v>70.83</c:v>
                </c:pt>
                <c:pt idx="18">
                  <c:v>70.11</c:v>
                </c:pt>
                <c:pt idx="19">
                  <c:v>132.36000000000001</c:v>
                </c:pt>
                <c:pt idx="20">
                  <c:v>104.69</c:v>
                </c:pt>
                <c:pt idx="21">
                  <c:v>57.95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B-3D44-B3BD-1CF7355C6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7418283"/>
        <c:axId val="2220024"/>
      </c:lineChart>
      <c:catAx>
        <c:axId val="174182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20024"/>
        <c:crosses val="autoZero"/>
        <c:auto val="1"/>
        <c:lblAlgn val="ctr"/>
        <c:lblOffset val="100"/>
        <c:noMultiLvlLbl val="0"/>
      </c:catAx>
      <c:valAx>
        <c:axId val="22200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74182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_series_2!$B$68:$Y$68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41.66</c:v>
                </c:pt>
                <c:pt idx="6">
                  <c:v>35.049999999999997</c:v>
                </c:pt>
                <c:pt idx="7">
                  <c:v>34.81</c:v>
                </c:pt>
                <c:pt idx="8">
                  <c:v>35.950000000000003</c:v>
                </c:pt>
                <c:pt idx="9">
                  <c:v>31.75</c:v>
                </c:pt>
                <c:pt idx="10">
                  <c:v>29.2</c:v>
                </c:pt>
                <c:pt idx="11">
                  <c:v>31.73</c:v>
                </c:pt>
                <c:pt idx="12">
                  <c:v>33.85</c:v>
                </c:pt>
                <c:pt idx="13">
                  <c:v>33.049999999999997</c:v>
                </c:pt>
                <c:pt idx="14">
                  <c:v>31.61</c:v>
                </c:pt>
                <c:pt idx="15">
                  <c:v>29.11</c:v>
                </c:pt>
                <c:pt idx="16">
                  <c:v>28.47</c:v>
                </c:pt>
                <c:pt idx="17">
                  <c:v>31.87</c:v>
                </c:pt>
                <c:pt idx="18">
                  <c:v>30.7</c:v>
                </c:pt>
                <c:pt idx="19">
                  <c:v>29.69</c:v>
                </c:pt>
                <c:pt idx="20">
                  <c:v>30.16</c:v>
                </c:pt>
                <c:pt idx="21">
                  <c:v>29.88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4-F047-AD42-EFC18C929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373057"/>
        <c:axId val="72088905"/>
      </c:lineChart>
      <c:catAx>
        <c:axId val="453730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2088905"/>
        <c:crosses val="autoZero"/>
        <c:auto val="1"/>
        <c:lblAlgn val="ctr"/>
        <c:lblOffset val="100"/>
        <c:noMultiLvlLbl val="0"/>
      </c:catAx>
      <c:valAx>
        <c:axId val="720889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5373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_series_2!$B$69:$Y$69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358.67</c:v>
                </c:pt>
                <c:pt idx="6">
                  <c:v>350.43</c:v>
                </c:pt>
                <c:pt idx="7">
                  <c:v>337.5</c:v>
                </c:pt>
                <c:pt idx="8">
                  <c:v>277.58</c:v>
                </c:pt>
                <c:pt idx="9">
                  <c:v>256.26</c:v>
                </c:pt>
                <c:pt idx="10">
                  <c:v>193.71</c:v>
                </c:pt>
                <c:pt idx="11">
                  <c:v>181.85</c:v>
                </c:pt>
                <c:pt idx="12">
                  <c:v>363.21</c:v>
                </c:pt>
                <c:pt idx="13">
                  <c:v>369.07</c:v>
                </c:pt>
                <c:pt idx="14">
                  <c:v>254.21</c:v>
                </c:pt>
                <c:pt idx="15">
                  <c:v>189.36</c:v>
                </c:pt>
                <c:pt idx="16">
                  <c:v>231.97</c:v>
                </c:pt>
                <c:pt idx="17">
                  <c:v>305.24</c:v>
                </c:pt>
                <c:pt idx="18">
                  <c:v>452.36</c:v>
                </c:pt>
                <c:pt idx="19">
                  <c:v>293.37</c:v>
                </c:pt>
                <c:pt idx="20">
                  <c:v>376.52</c:v>
                </c:pt>
                <c:pt idx="21">
                  <c:v>246.41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7-4242-A89E-A98C94AE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600746"/>
        <c:axId val="77879122"/>
      </c:lineChart>
      <c:catAx>
        <c:axId val="326007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7879122"/>
        <c:crosses val="autoZero"/>
        <c:auto val="1"/>
        <c:lblAlgn val="ctr"/>
        <c:lblOffset val="100"/>
        <c:noMultiLvlLbl val="0"/>
      </c:catAx>
      <c:valAx>
        <c:axId val="778791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26007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_series_2!$B$70:$Y$70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118.32</c:v>
                </c:pt>
                <c:pt idx="6">
                  <c:v>113.69</c:v>
                </c:pt>
                <c:pt idx="7">
                  <c:v>92.56</c:v>
                </c:pt>
                <c:pt idx="8">
                  <c:v>84.84</c:v>
                </c:pt>
                <c:pt idx="9">
                  <c:v>76.2</c:v>
                </c:pt>
                <c:pt idx="10">
                  <c:v>56.22</c:v>
                </c:pt>
                <c:pt idx="11">
                  <c:v>54.26</c:v>
                </c:pt>
                <c:pt idx="12">
                  <c:v>61.97</c:v>
                </c:pt>
                <c:pt idx="13">
                  <c:v>68.040000000000006</c:v>
                </c:pt>
                <c:pt idx="14">
                  <c:v>57.03</c:v>
                </c:pt>
                <c:pt idx="15">
                  <c:v>67.69</c:v>
                </c:pt>
                <c:pt idx="16">
                  <c:v>86.22</c:v>
                </c:pt>
                <c:pt idx="17">
                  <c:v>126.77</c:v>
                </c:pt>
                <c:pt idx="18">
                  <c:v>120.39</c:v>
                </c:pt>
                <c:pt idx="19">
                  <c:v>76.790000000000006</c:v>
                </c:pt>
                <c:pt idx="20">
                  <c:v>111.2</c:v>
                </c:pt>
                <c:pt idx="21">
                  <c:v>66.77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31-794A-B9A6-138B646A0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396338"/>
        <c:axId val="68733886"/>
      </c:lineChart>
      <c:catAx>
        <c:axId val="983963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8733886"/>
        <c:crosses val="autoZero"/>
        <c:auto val="1"/>
        <c:lblAlgn val="ctr"/>
        <c:lblOffset val="100"/>
        <c:noMultiLvlLbl val="0"/>
      </c:catAx>
      <c:valAx>
        <c:axId val="687338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83963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_series_2!$B$71:$Y$71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36.630000000000003</c:v>
                </c:pt>
                <c:pt idx="6">
                  <c:v>65.34</c:v>
                </c:pt>
                <c:pt idx="7">
                  <c:v>88.68</c:v>
                </c:pt>
                <c:pt idx="8">
                  <c:v>93.12</c:v>
                </c:pt>
                <c:pt idx="9">
                  <c:v>84.43</c:v>
                </c:pt>
                <c:pt idx="10">
                  <c:v>101.18</c:v>
                </c:pt>
                <c:pt idx="11">
                  <c:v>101.75</c:v>
                </c:pt>
                <c:pt idx="12">
                  <c:v>102.95</c:v>
                </c:pt>
                <c:pt idx="13">
                  <c:v>100.4</c:v>
                </c:pt>
                <c:pt idx="14">
                  <c:v>97.61</c:v>
                </c:pt>
                <c:pt idx="15">
                  <c:v>97.97</c:v>
                </c:pt>
                <c:pt idx="16">
                  <c:v>102.17</c:v>
                </c:pt>
                <c:pt idx="17">
                  <c:v>84.78</c:v>
                </c:pt>
                <c:pt idx="18">
                  <c:v>86.04</c:v>
                </c:pt>
                <c:pt idx="19">
                  <c:v>90.5</c:v>
                </c:pt>
                <c:pt idx="20">
                  <c:v>92.13</c:v>
                </c:pt>
                <c:pt idx="21">
                  <c:v>105.09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A-B945-8B6F-25C827724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477690"/>
        <c:axId val="49296561"/>
      </c:lineChart>
      <c:catAx>
        <c:axId val="524776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9296561"/>
        <c:crosses val="autoZero"/>
        <c:auto val="1"/>
        <c:lblAlgn val="ctr"/>
        <c:lblOffset val="100"/>
        <c:noMultiLvlLbl val="0"/>
      </c:catAx>
      <c:valAx>
        <c:axId val="492965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24776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_series_2!$B$72:$Y$72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47.1</c:v>
                </c:pt>
                <c:pt idx="6">
                  <c:v>102.36</c:v>
                </c:pt>
                <c:pt idx="7">
                  <c:v>78.98</c:v>
                </c:pt>
                <c:pt idx="8">
                  <c:v>99.58</c:v>
                </c:pt>
                <c:pt idx="9">
                  <c:v>74.5</c:v>
                </c:pt>
                <c:pt idx="10">
                  <c:v>68.430000000000007</c:v>
                </c:pt>
                <c:pt idx="11">
                  <c:v>74.5</c:v>
                </c:pt>
                <c:pt idx="12">
                  <c:v>105.08</c:v>
                </c:pt>
                <c:pt idx="13">
                  <c:v>138.22</c:v>
                </c:pt>
                <c:pt idx="14">
                  <c:v>106.65</c:v>
                </c:pt>
                <c:pt idx="15">
                  <c:v>83.05</c:v>
                </c:pt>
                <c:pt idx="16">
                  <c:v>64.55</c:v>
                </c:pt>
                <c:pt idx="17">
                  <c:v>76.489999999999995</c:v>
                </c:pt>
                <c:pt idx="18">
                  <c:v>91.62</c:v>
                </c:pt>
                <c:pt idx="19">
                  <c:v>58.77</c:v>
                </c:pt>
                <c:pt idx="20">
                  <c:v>58.18</c:v>
                </c:pt>
                <c:pt idx="21">
                  <c:v>55.48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9E-D149-A7D1-2C2420010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660308"/>
        <c:axId val="47978864"/>
      </c:lineChart>
      <c:catAx>
        <c:axId val="546603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7978864"/>
        <c:crosses val="autoZero"/>
        <c:auto val="1"/>
        <c:lblAlgn val="ctr"/>
        <c:lblOffset val="100"/>
        <c:noMultiLvlLbl val="0"/>
      </c:catAx>
      <c:valAx>
        <c:axId val="479788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46603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_series_2!$B$73:$Y$73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179.27</c:v>
                </c:pt>
                <c:pt idx="6">
                  <c:v>171.75</c:v>
                </c:pt>
                <c:pt idx="7">
                  <c:v>160.16</c:v>
                </c:pt>
                <c:pt idx="8">
                  <c:v>129.91999999999999</c:v>
                </c:pt>
                <c:pt idx="9">
                  <c:v>139.63</c:v>
                </c:pt>
                <c:pt idx="10">
                  <c:v>145.33000000000001</c:v>
                </c:pt>
                <c:pt idx="11">
                  <c:v>125.55</c:v>
                </c:pt>
                <c:pt idx="12">
                  <c:v>124.24</c:v>
                </c:pt>
                <c:pt idx="13">
                  <c:v>120.84</c:v>
                </c:pt>
                <c:pt idx="14">
                  <c:v>128.59</c:v>
                </c:pt>
                <c:pt idx="15">
                  <c:v>127.75</c:v>
                </c:pt>
                <c:pt idx="16">
                  <c:v>133.81</c:v>
                </c:pt>
                <c:pt idx="17">
                  <c:v>141.93</c:v>
                </c:pt>
                <c:pt idx="18">
                  <c:v>138.58000000000001</c:v>
                </c:pt>
                <c:pt idx="19">
                  <c:v>129.93</c:v>
                </c:pt>
                <c:pt idx="20">
                  <c:v>125.39</c:v>
                </c:pt>
                <c:pt idx="21">
                  <c:v>116.23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3-7844-9CBB-F5D16695E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417891"/>
        <c:axId val="3867646"/>
      </c:lineChart>
      <c:catAx>
        <c:axId val="684178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867646"/>
        <c:crosses val="autoZero"/>
        <c:auto val="1"/>
        <c:lblAlgn val="ctr"/>
        <c:lblOffset val="100"/>
        <c:noMultiLvlLbl val="0"/>
      </c:catAx>
      <c:valAx>
        <c:axId val="38676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8417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_series_2!$B$74:$Y$74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60.01</c:v>
                </c:pt>
                <c:pt idx="6">
                  <c:v>68.16</c:v>
                </c:pt>
                <c:pt idx="7">
                  <c:v>67.64</c:v>
                </c:pt>
                <c:pt idx="8">
                  <c:v>73.349999999999994</c:v>
                </c:pt>
                <c:pt idx="9">
                  <c:v>53.01</c:v>
                </c:pt>
                <c:pt idx="10">
                  <c:v>58.62</c:v>
                </c:pt>
                <c:pt idx="11">
                  <c:v>72.58</c:v>
                </c:pt>
                <c:pt idx="12">
                  <c:v>79.489999999999995</c:v>
                </c:pt>
                <c:pt idx="13">
                  <c:v>70.45</c:v>
                </c:pt>
                <c:pt idx="14">
                  <c:v>70.069999999999993</c:v>
                </c:pt>
                <c:pt idx="15">
                  <c:v>52.96</c:v>
                </c:pt>
                <c:pt idx="16">
                  <c:v>59.33</c:v>
                </c:pt>
                <c:pt idx="17">
                  <c:v>75.91</c:v>
                </c:pt>
                <c:pt idx="18">
                  <c:v>71.540000000000006</c:v>
                </c:pt>
                <c:pt idx="19">
                  <c:v>63.92</c:v>
                </c:pt>
                <c:pt idx="20">
                  <c:v>69.459999999999994</c:v>
                </c:pt>
                <c:pt idx="21">
                  <c:v>54.68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D-AA4A-9B8B-7136F2F2A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374459"/>
        <c:axId val="64633325"/>
      </c:lineChart>
      <c:catAx>
        <c:axId val="183744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4633325"/>
        <c:crosses val="autoZero"/>
        <c:auto val="1"/>
        <c:lblAlgn val="ctr"/>
        <c:lblOffset val="100"/>
        <c:noMultiLvlLbl val="0"/>
      </c:catAx>
      <c:valAx>
        <c:axId val="64633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83744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_series_2!$B$75:$Y$75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24.29</c:v>
                </c:pt>
                <c:pt idx="6">
                  <c:v>30.33</c:v>
                </c:pt>
                <c:pt idx="7">
                  <c:v>30.41</c:v>
                </c:pt>
                <c:pt idx="8">
                  <c:v>30.7</c:v>
                </c:pt>
                <c:pt idx="9">
                  <c:v>30.44</c:v>
                </c:pt>
                <c:pt idx="10">
                  <c:v>31.33</c:v>
                </c:pt>
                <c:pt idx="11">
                  <c:v>30.63</c:v>
                </c:pt>
                <c:pt idx="12">
                  <c:v>50.95</c:v>
                </c:pt>
                <c:pt idx="13">
                  <c:v>143.88</c:v>
                </c:pt>
                <c:pt idx="14">
                  <c:v>75.89</c:v>
                </c:pt>
                <c:pt idx="15">
                  <c:v>97.48</c:v>
                </c:pt>
                <c:pt idx="16">
                  <c:v>138.15</c:v>
                </c:pt>
                <c:pt idx="17">
                  <c:v>225.91</c:v>
                </c:pt>
                <c:pt idx="18">
                  <c:v>280.97000000000003</c:v>
                </c:pt>
                <c:pt idx="19">
                  <c:v>162.30000000000001</c:v>
                </c:pt>
                <c:pt idx="20">
                  <c:v>213.17</c:v>
                </c:pt>
                <c:pt idx="21">
                  <c:v>130.56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2-A543-A69B-3CF599494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451091"/>
        <c:axId val="43961677"/>
      </c:lineChart>
      <c:catAx>
        <c:axId val="804510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3961677"/>
        <c:crosses val="autoZero"/>
        <c:auto val="1"/>
        <c:lblAlgn val="ctr"/>
        <c:lblOffset val="100"/>
        <c:noMultiLvlLbl val="0"/>
      </c:catAx>
      <c:valAx>
        <c:axId val="439616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04510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_series_2!$B$76:$Y$76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139.72</c:v>
                </c:pt>
                <c:pt idx="6">
                  <c:v>238.81</c:v>
                </c:pt>
                <c:pt idx="7">
                  <c:v>213.22</c:v>
                </c:pt>
                <c:pt idx="8">
                  <c:v>225.12</c:v>
                </c:pt>
                <c:pt idx="9">
                  <c:v>105.27</c:v>
                </c:pt>
                <c:pt idx="10">
                  <c:v>108.45</c:v>
                </c:pt>
                <c:pt idx="11">
                  <c:v>111.84</c:v>
                </c:pt>
                <c:pt idx="12">
                  <c:v>118.73</c:v>
                </c:pt>
                <c:pt idx="13">
                  <c:v>117.75</c:v>
                </c:pt>
                <c:pt idx="14">
                  <c:v>115.82</c:v>
                </c:pt>
                <c:pt idx="15">
                  <c:v>109.08</c:v>
                </c:pt>
                <c:pt idx="16">
                  <c:v>115.93</c:v>
                </c:pt>
                <c:pt idx="17">
                  <c:v>128.57</c:v>
                </c:pt>
                <c:pt idx="18">
                  <c:v>124.52</c:v>
                </c:pt>
                <c:pt idx="19">
                  <c:v>115.58</c:v>
                </c:pt>
                <c:pt idx="20">
                  <c:v>122.89</c:v>
                </c:pt>
                <c:pt idx="21">
                  <c:v>106.18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6-C04F-AF2C-86C3FAE0D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210479"/>
        <c:axId val="50754175"/>
      </c:lineChart>
      <c:catAx>
        <c:axId val="84210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0754175"/>
        <c:crosses val="autoZero"/>
        <c:auto val="1"/>
        <c:lblAlgn val="ctr"/>
        <c:lblOffset val="100"/>
        <c:noMultiLvlLbl val="0"/>
      </c:catAx>
      <c:valAx>
        <c:axId val="507541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42104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_series_2!$B$77:$Y$77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393.41</c:v>
                </c:pt>
                <c:pt idx="6">
                  <c:v>419.51</c:v>
                </c:pt>
                <c:pt idx="7">
                  <c:v>389.06</c:v>
                </c:pt>
                <c:pt idx="8">
                  <c:v>401.02</c:v>
                </c:pt>
                <c:pt idx="9">
                  <c:v>407.94</c:v>
                </c:pt>
                <c:pt idx="10">
                  <c:v>493.27</c:v>
                </c:pt>
                <c:pt idx="11">
                  <c:v>521.53</c:v>
                </c:pt>
                <c:pt idx="12">
                  <c:v>704.76</c:v>
                </c:pt>
                <c:pt idx="13">
                  <c:v>749.93</c:v>
                </c:pt>
                <c:pt idx="14">
                  <c:v>566.89</c:v>
                </c:pt>
                <c:pt idx="15">
                  <c:v>529.1</c:v>
                </c:pt>
                <c:pt idx="16">
                  <c:v>324.93</c:v>
                </c:pt>
                <c:pt idx="17">
                  <c:v>478.51</c:v>
                </c:pt>
                <c:pt idx="18">
                  <c:v>445.62</c:v>
                </c:pt>
                <c:pt idx="19">
                  <c:v>481.49</c:v>
                </c:pt>
                <c:pt idx="20">
                  <c:v>416.01</c:v>
                </c:pt>
                <c:pt idx="21">
                  <c:v>494.21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6-7D43-8B53-A51C810B4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841497"/>
        <c:axId val="74399155"/>
      </c:lineChart>
      <c:catAx>
        <c:axId val="358414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4399155"/>
        <c:crosses val="autoZero"/>
        <c:auto val="1"/>
        <c:lblAlgn val="ctr"/>
        <c:lblOffset val="100"/>
        <c:noMultiLvlLbl val="0"/>
      </c:catAx>
      <c:valAx>
        <c:axId val="743991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8414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_series_2!$B$78:$Y$78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172.66</c:v>
                </c:pt>
                <c:pt idx="6">
                  <c:v>140.6</c:v>
                </c:pt>
                <c:pt idx="7">
                  <c:v>158.47</c:v>
                </c:pt>
                <c:pt idx="8">
                  <c:v>184.51</c:v>
                </c:pt>
                <c:pt idx="9">
                  <c:v>194.33</c:v>
                </c:pt>
                <c:pt idx="10">
                  <c:v>221.07</c:v>
                </c:pt>
                <c:pt idx="11">
                  <c:v>286.14</c:v>
                </c:pt>
                <c:pt idx="12">
                  <c:v>327.74</c:v>
                </c:pt>
                <c:pt idx="13">
                  <c:v>322.68</c:v>
                </c:pt>
                <c:pt idx="14">
                  <c:v>298.58999999999997</c:v>
                </c:pt>
                <c:pt idx="15">
                  <c:v>127.27</c:v>
                </c:pt>
                <c:pt idx="16">
                  <c:v>86.75</c:v>
                </c:pt>
                <c:pt idx="17">
                  <c:v>125.6</c:v>
                </c:pt>
                <c:pt idx="18">
                  <c:v>117.49</c:v>
                </c:pt>
                <c:pt idx="19">
                  <c:v>107.32</c:v>
                </c:pt>
                <c:pt idx="20">
                  <c:v>98.2</c:v>
                </c:pt>
                <c:pt idx="21">
                  <c:v>110.02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4-6A48-AFB4-1C9E338EF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003494"/>
        <c:axId val="27703047"/>
      </c:lineChart>
      <c:catAx>
        <c:axId val="780034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7703047"/>
        <c:crosses val="autoZero"/>
        <c:auto val="1"/>
        <c:lblAlgn val="ctr"/>
        <c:lblOffset val="100"/>
        <c:noMultiLvlLbl val="0"/>
      </c:catAx>
      <c:valAx>
        <c:axId val="277030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0034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_series_2!$B$79:$Y$79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75.72</c:v>
                </c:pt>
                <c:pt idx="6">
                  <c:v>65.52</c:v>
                </c:pt>
                <c:pt idx="7">
                  <c:v>59.6</c:v>
                </c:pt>
                <c:pt idx="8">
                  <c:v>64.86</c:v>
                </c:pt>
                <c:pt idx="9">
                  <c:v>58.86</c:v>
                </c:pt>
                <c:pt idx="10">
                  <c:v>62.08</c:v>
                </c:pt>
                <c:pt idx="11">
                  <c:v>68.69</c:v>
                </c:pt>
                <c:pt idx="12">
                  <c:v>93.19</c:v>
                </c:pt>
                <c:pt idx="13">
                  <c:v>44.32</c:v>
                </c:pt>
                <c:pt idx="14">
                  <c:v>71.61</c:v>
                </c:pt>
                <c:pt idx="15">
                  <c:v>75.680000000000007</c:v>
                </c:pt>
                <c:pt idx="16">
                  <c:v>82.53</c:v>
                </c:pt>
                <c:pt idx="17">
                  <c:v>123.37</c:v>
                </c:pt>
                <c:pt idx="18">
                  <c:v>111.46</c:v>
                </c:pt>
                <c:pt idx="19">
                  <c:v>98.21</c:v>
                </c:pt>
                <c:pt idx="20">
                  <c:v>102.11</c:v>
                </c:pt>
                <c:pt idx="21">
                  <c:v>93.47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1-4144-8478-092FB033D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38200"/>
        <c:axId val="57185546"/>
      </c:lineChart>
      <c:catAx>
        <c:axId val="6338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7185546"/>
        <c:crosses val="autoZero"/>
        <c:auto val="1"/>
        <c:lblAlgn val="ctr"/>
        <c:lblOffset val="100"/>
        <c:noMultiLvlLbl val="0"/>
      </c:catAx>
      <c:valAx>
        <c:axId val="571855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3382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_series_2!$B$80:$Y$80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194.59</c:v>
                </c:pt>
                <c:pt idx="6">
                  <c:v>200.53</c:v>
                </c:pt>
                <c:pt idx="7">
                  <c:v>189.95</c:v>
                </c:pt>
                <c:pt idx="8">
                  <c:v>191.45</c:v>
                </c:pt>
                <c:pt idx="9">
                  <c:v>170.59</c:v>
                </c:pt>
                <c:pt idx="10">
                  <c:v>187.58</c:v>
                </c:pt>
                <c:pt idx="11">
                  <c:v>243.75</c:v>
                </c:pt>
                <c:pt idx="12">
                  <c:v>225.29</c:v>
                </c:pt>
                <c:pt idx="13">
                  <c:v>265.10000000000002</c:v>
                </c:pt>
                <c:pt idx="14">
                  <c:v>177.17</c:v>
                </c:pt>
                <c:pt idx="15">
                  <c:v>163.95</c:v>
                </c:pt>
                <c:pt idx="16">
                  <c:v>163.55000000000001</c:v>
                </c:pt>
                <c:pt idx="17">
                  <c:v>169.55</c:v>
                </c:pt>
                <c:pt idx="18">
                  <c:v>163.22</c:v>
                </c:pt>
                <c:pt idx="19">
                  <c:v>171.38</c:v>
                </c:pt>
                <c:pt idx="20">
                  <c:v>159.33000000000001</c:v>
                </c:pt>
                <c:pt idx="21">
                  <c:v>114.01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8-FF40-9823-006FFFE85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17706"/>
        <c:axId val="65337828"/>
      </c:lineChart>
      <c:catAx>
        <c:axId val="69177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5337828"/>
        <c:crosses val="autoZero"/>
        <c:auto val="1"/>
        <c:lblAlgn val="ctr"/>
        <c:lblOffset val="100"/>
        <c:noMultiLvlLbl val="0"/>
      </c:catAx>
      <c:valAx>
        <c:axId val="653378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917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_series_2!$B$81:$Y$81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133.65</c:v>
                </c:pt>
                <c:pt idx="6">
                  <c:v>145.22</c:v>
                </c:pt>
                <c:pt idx="7">
                  <c:v>137.24</c:v>
                </c:pt>
                <c:pt idx="8">
                  <c:v>134.79</c:v>
                </c:pt>
                <c:pt idx="9">
                  <c:v>106.91</c:v>
                </c:pt>
                <c:pt idx="10">
                  <c:v>99.99</c:v>
                </c:pt>
                <c:pt idx="11">
                  <c:v>105.79</c:v>
                </c:pt>
                <c:pt idx="12">
                  <c:v>111.83</c:v>
                </c:pt>
                <c:pt idx="13">
                  <c:v>115.89</c:v>
                </c:pt>
                <c:pt idx="14">
                  <c:v>113.78</c:v>
                </c:pt>
                <c:pt idx="15">
                  <c:v>108.16</c:v>
                </c:pt>
                <c:pt idx="16">
                  <c:v>116.05</c:v>
                </c:pt>
                <c:pt idx="17">
                  <c:v>136.53</c:v>
                </c:pt>
                <c:pt idx="18">
                  <c:v>161.18</c:v>
                </c:pt>
                <c:pt idx="19">
                  <c:v>142.85</c:v>
                </c:pt>
                <c:pt idx="20">
                  <c:v>135.28</c:v>
                </c:pt>
                <c:pt idx="21">
                  <c:v>103.79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8-7340-82FE-E5F64FDE1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036640"/>
        <c:axId val="99575250"/>
      </c:lineChart>
      <c:catAx>
        <c:axId val="91036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9575250"/>
        <c:crosses val="autoZero"/>
        <c:auto val="1"/>
        <c:lblAlgn val="ctr"/>
        <c:lblOffset val="100"/>
        <c:noMultiLvlLbl val="0"/>
      </c:catAx>
      <c:valAx>
        <c:axId val="995752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10366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_series_2!$B$82:$Y$82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88.32</c:v>
                </c:pt>
                <c:pt idx="6">
                  <c:v>83.4</c:v>
                </c:pt>
                <c:pt idx="7">
                  <c:v>82.42</c:v>
                </c:pt>
                <c:pt idx="8">
                  <c:v>82.92</c:v>
                </c:pt>
                <c:pt idx="9">
                  <c:v>82.87</c:v>
                </c:pt>
                <c:pt idx="10">
                  <c:v>87.13</c:v>
                </c:pt>
                <c:pt idx="11">
                  <c:v>84.8</c:v>
                </c:pt>
                <c:pt idx="12">
                  <c:v>86.52</c:v>
                </c:pt>
                <c:pt idx="13">
                  <c:v>83.41</c:v>
                </c:pt>
                <c:pt idx="14">
                  <c:v>87.34</c:v>
                </c:pt>
                <c:pt idx="15">
                  <c:v>89.19</c:v>
                </c:pt>
                <c:pt idx="16">
                  <c:v>86.85</c:v>
                </c:pt>
                <c:pt idx="17">
                  <c:v>82.81</c:v>
                </c:pt>
                <c:pt idx="18">
                  <c:v>59.72</c:v>
                </c:pt>
                <c:pt idx="19">
                  <c:v>82.24</c:v>
                </c:pt>
                <c:pt idx="20">
                  <c:v>84.62</c:v>
                </c:pt>
                <c:pt idx="21">
                  <c:v>83.26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3-9146-A1C9-2D3ECE633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939074"/>
        <c:axId val="66796133"/>
      </c:lineChart>
      <c:catAx>
        <c:axId val="979390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6796133"/>
        <c:crosses val="autoZero"/>
        <c:auto val="1"/>
        <c:lblAlgn val="ctr"/>
        <c:lblOffset val="100"/>
        <c:noMultiLvlLbl val="0"/>
      </c:catAx>
      <c:valAx>
        <c:axId val="667961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79390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_series_2!$B$83:$Y$83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66.430000000000007</c:v>
                </c:pt>
                <c:pt idx="6">
                  <c:v>73.23</c:v>
                </c:pt>
                <c:pt idx="7">
                  <c:v>88.95</c:v>
                </c:pt>
                <c:pt idx="8">
                  <c:v>92.01</c:v>
                </c:pt>
                <c:pt idx="9">
                  <c:v>89.3</c:v>
                </c:pt>
                <c:pt idx="10">
                  <c:v>90.55</c:v>
                </c:pt>
                <c:pt idx="11">
                  <c:v>96.07</c:v>
                </c:pt>
                <c:pt idx="12">
                  <c:v>104.36</c:v>
                </c:pt>
                <c:pt idx="13">
                  <c:v>101.37</c:v>
                </c:pt>
                <c:pt idx="14">
                  <c:v>96.2</c:v>
                </c:pt>
                <c:pt idx="15">
                  <c:v>95.27</c:v>
                </c:pt>
                <c:pt idx="16">
                  <c:v>94.89</c:v>
                </c:pt>
                <c:pt idx="17">
                  <c:v>95.73</c:v>
                </c:pt>
                <c:pt idx="18">
                  <c:v>94.77</c:v>
                </c:pt>
                <c:pt idx="19">
                  <c:v>92.26</c:v>
                </c:pt>
                <c:pt idx="20">
                  <c:v>97.02</c:v>
                </c:pt>
                <c:pt idx="21">
                  <c:v>94.05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E-5B40-8BD7-D801495D0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420451"/>
        <c:axId val="26252638"/>
      </c:lineChart>
      <c:catAx>
        <c:axId val="664204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6252638"/>
        <c:crosses val="autoZero"/>
        <c:auto val="1"/>
        <c:lblAlgn val="ctr"/>
        <c:lblOffset val="100"/>
        <c:noMultiLvlLbl val="0"/>
      </c:catAx>
      <c:valAx>
        <c:axId val="262526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64204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_series_2!$B$84:$Y$84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67.16</c:v>
                </c:pt>
                <c:pt idx="6">
                  <c:v>58.6</c:v>
                </c:pt>
                <c:pt idx="7">
                  <c:v>56.07</c:v>
                </c:pt>
                <c:pt idx="8">
                  <c:v>52.58</c:v>
                </c:pt>
                <c:pt idx="9">
                  <c:v>50.55</c:v>
                </c:pt>
                <c:pt idx="10">
                  <c:v>53.01</c:v>
                </c:pt>
                <c:pt idx="11">
                  <c:v>43.93</c:v>
                </c:pt>
                <c:pt idx="12">
                  <c:v>42.04</c:v>
                </c:pt>
                <c:pt idx="13">
                  <c:v>43.36</c:v>
                </c:pt>
                <c:pt idx="14">
                  <c:v>56.91</c:v>
                </c:pt>
                <c:pt idx="15">
                  <c:v>55.94</c:v>
                </c:pt>
                <c:pt idx="16">
                  <c:v>57.3</c:v>
                </c:pt>
                <c:pt idx="17">
                  <c:v>59</c:v>
                </c:pt>
                <c:pt idx="18">
                  <c:v>61.26</c:v>
                </c:pt>
                <c:pt idx="19">
                  <c:v>51.7</c:v>
                </c:pt>
                <c:pt idx="20">
                  <c:v>60.92</c:v>
                </c:pt>
                <c:pt idx="21">
                  <c:v>51.83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3-8144-BD3B-AFB306B70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131954"/>
        <c:axId val="93100099"/>
      </c:lineChart>
      <c:catAx>
        <c:axId val="461319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3100099"/>
        <c:crosses val="autoZero"/>
        <c:auto val="1"/>
        <c:lblAlgn val="ctr"/>
        <c:lblOffset val="100"/>
        <c:noMultiLvlLbl val="0"/>
      </c:catAx>
      <c:valAx>
        <c:axId val="931000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6131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_series_2!$B$85:$Y$85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242.74</c:v>
                </c:pt>
                <c:pt idx="6">
                  <c:v>219.19</c:v>
                </c:pt>
                <c:pt idx="7">
                  <c:v>209.34</c:v>
                </c:pt>
                <c:pt idx="8">
                  <c:v>210.33</c:v>
                </c:pt>
                <c:pt idx="9">
                  <c:v>189.9</c:v>
                </c:pt>
                <c:pt idx="10">
                  <c:v>190.38</c:v>
                </c:pt>
                <c:pt idx="11">
                  <c:v>193.93</c:v>
                </c:pt>
                <c:pt idx="12">
                  <c:v>203.58</c:v>
                </c:pt>
                <c:pt idx="13">
                  <c:v>205.73</c:v>
                </c:pt>
                <c:pt idx="14">
                  <c:v>206.28</c:v>
                </c:pt>
                <c:pt idx="15">
                  <c:v>209.82</c:v>
                </c:pt>
                <c:pt idx="16">
                  <c:v>233.02</c:v>
                </c:pt>
                <c:pt idx="17">
                  <c:v>237.28</c:v>
                </c:pt>
                <c:pt idx="18">
                  <c:v>266.33</c:v>
                </c:pt>
                <c:pt idx="19">
                  <c:v>225.34</c:v>
                </c:pt>
                <c:pt idx="20">
                  <c:v>236</c:v>
                </c:pt>
                <c:pt idx="21">
                  <c:v>204.34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C-1D48-8ED0-CFB16324E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024217"/>
        <c:axId val="2328168"/>
      </c:lineChart>
      <c:catAx>
        <c:axId val="410242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328168"/>
        <c:crosses val="autoZero"/>
        <c:auto val="1"/>
        <c:lblAlgn val="ctr"/>
        <c:lblOffset val="100"/>
        <c:noMultiLvlLbl val="0"/>
      </c:catAx>
      <c:valAx>
        <c:axId val="23281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1024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_series_2!$B$86:$Y$86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271.49</c:v>
                </c:pt>
                <c:pt idx="6">
                  <c:v>223.27</c:v>
                </c:pt>
                <c:pt idx="7">
                  <c:v>165.31</c:v>
                </c:pt>
                <c:pt idx="8">
                  <c:v>212.39</c:v>
                </c:pt>
                <c:pt idx="9">
                  <c:v>192.81</c:v>
                </c:pt>
                <c:pt idx="10">
                  <c:v>199.72</c:v>
                </c:pt>
                <c:pt idx="11">
                  <c:v>242.68</c:v>
                </c:pt>
                <c:pt idx="12">
                  <c:v>304.14999999999998</c:v>
                </c:pt>
                <c:pt idx="13">
                  <c:v>226.56</c:v>
                </c:pt>
                <c:pt idx="14">
                  <c:v>226.4</c:v>
                </c:pt>
                <c:pt idx="15">
                  <c:v>216.69</c:v>
                </c:pt>
                <c:pt idx="16">
                  <c:v>185.6</c:v>
                </c:pt>
                <c:pt idx="17">
                  <c:v>167.69</c:v>
                </c:pt>
                <c:pt idx="18">
                  <c:v>176.58</c:v>
                </c:pt>
                <c:pt idx="19">
                  <c:v>191.31</c:v>
                </c:pt>
                <c:pt idx="20">
                  <c:v>206.85</c:v>
                </c:pt>
                <c:pt idx="21">
                  <c:v>196.66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B-D44C-9253-A7345526C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570755"/>
        <c:axId val="42608249"/>
      </c:lineChart>
      <c:catAx>
        <c:axId val="675707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2608249"/>
        <c:crosses val="autoZero"/>
        <c:auto val="1"/>
        <c:lblAlgn val="ctr"/>
        <c:lblOffset val="100"/>
        <c:noMultiLvlLbl val="0"/>
      </c:catAx>
      <c:valAx>
        <c:axId val="426082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7570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_series_2!$B$87:$Y$87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59.65</c:v>
                </c:pt>
                <c:pt idx="6">
                  <c:v>58.03</c:v>
                </c:pt>
                <c:pt idx="7">
                  <c:v>88.58</c:v>
                </c:pt>
                <c:pt idx="8">
                  <c:v>110.11</c:v>
                </c:pt>
                <c:pt idx="9">
                  <c:v>86.86</c:v>
                </c:pt>
                <c:pt idx="10">
                  <c:v>94.08</c:v>
                </c:pt>
                <c:pt idx="11">
                  <c:v>60.44</c:v>
                </c:pt>
                <c:pt idx="12">
                  <c:v>164.62</c:v>
                </c:pt>
                <c:pt idx="13">
                  <c:v>102.38</c:v>
                </c:pt>
                <c:pt idx="14">
                  <c:v>95.01</c:v>
                </c:pt>
                <c:pt idx="15">
                  <c:v>128.22999999999999</c:v>
                </c:pt>
                <c:pt idx="16">
                  <c:v>157.68</c:v>
                </c:pt>
                <c:pt idx="17">
                  <c:v>163.88</c:v>
                </c:pt>
                <c:pt idx="18">
                  <c:v>215.59</c:v>
                </c:pt>
                <c:pt idx="19">
                  <c:v>255.58</c:v>
                </c:pt>
                <c:pt idx="20">
                  <c:v>212.36</c:v>
                </c:pt>
                <c:pt idx="21">
                  <c:v>149.56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6-C04E-ADC0-EE95291EB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790984"/>
        <c:axId val="75197571"/>
      </c:lineChart>
      <c:catAx>
        <c:axId val="52790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5197571"/>
        <c:crosses val="autoZero"/>
        <c:auto val="1"/>
        <c:lblAlgn val="ctr"/>
        <c:lblOffset val="100"/>
        <c:noMultiLvlLbl val="0"/>
      </c:catAx>
      <c:valAx>
        <c:axId val="751975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2790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_series_2!$B$88:$Y$88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71.290000000000006</c:v>
                </c:pt>
                <c:pt idx="7">
                  <c:v>81.17</c:v>
                </c:pt>
                <c:pt idx="8">
                  <c:v>67.38</c:v>
                </c:pt>
                <c:pt idx="9">
                  <c:v>86.28</c:v>
                </c:pt>
                <c:pt idx="10">
                  <c:v>82.2</c:v>
                </c:pt>
                <c:pt idx="11">
                  <c:v>101.38</c:v>
                </c:pt>
                <c:pt idx="12">
                  <c:v>107.26</c:v>
                </c:pt>
                <c:pt idx="13">
                  <c:v>107.01</c:v>
                </c:pt>
                <c:pt idx="14">
                  <c:v>97.17</c:v>
                </c:pt>
                <c:pt idx="15">
                  <c:v>98.27</c:v>
                </c:pt>
                <c:pt idx="16">
                  <c:v>76.38</c:v>
                </c:pt>
                <c:pt idx="17">
                  <c:v>108.71</c:v>
                </c:pt>
                <c:pt idx="18">
                  <c:v>56.84</c:v>
                </c:pt>
                <c:pt idx="19">
                  <c:v>83.29</c:v>
                </c:pt>
                <c:pt idx="20">
                  <c:v>110.19</c:v>
                </c:pt>
                <c:pt idx="21">
                  <c:v>105.17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2C-7446-B5B6-9344F0146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148884"/>
        <c:axId val="97881353"/>
      </c:lineChart>
      <c:catAx>
        <c:axId val="791488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7881353"/>
        <c:crosses val="autoZero"/>
        <c:auto val="1"/>
        <c:lblAlgn val="ctr"/>
        <c:lblOffset val="100"/>
        <c:noMultiLvlLbl val="0"/>
      </c:catAx>
      <c:valAx>
        <c:axId val="978813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9148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_series_2!$B$89:$Y$89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237.82</c:v>
                </c:pt>
                <c:pt idx="8">
                  <c:v>194.8</c:v>
                </c:pt>
                <c:pt idx="9">
                  <c:v>152.69999999999999</c:v>
                </c:pt>
                <c:pt idx="10">
                  <c:v>84.08</c:v>
                </c:pt>
                <c:pt idx="11">
                  <c:v>156.38</c:v>
                </c:pt>
                <c:pt idx="12">
                  <c:v>191.84</c:v>
                </c:pt>
                <c:pt idx="13">
                  <c:v>247.16</c:v>
                </c:pt>
                <c:pt idx="14">
                  <c:v>137.84</c:v>
                </c:pt>
                <c:pt idx="15">
                  <c:v>112.15</c:v>
                </c:pt>
                <c:pt idx="16">
                  <c:v>186.88</c:v>
                </c:pt>
                <c:pt idx="17">
                  <c:v>247.21</c:v>
                </c:pt>
                <c:pt idx="18">
                  <c:v>287.01</c:v>
                </c:pt>
                <c:pt idx="19">
                  <c:v>230.81</c:v>
                </c:pt>
                <c:pt idx="20">
                  <c:v>276.44</c:v>
                </c:pt>
                <c:pt idx="21">
                  <c:v>139.84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B8-6B4C-9981-4C5D5673A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254094"/>
        <c:axId val="29638423"/>
      </c:lineChart>
      <c:catAx>
        <c:axId val="9025409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9638423"/>
        <c:crosses val="autoZero"/>
        <c:auto val="1"/>
        <c:lblAlgn val="ctr"/>
        <c:lblOffset val="100"/>
        <c:noMultiLvlLbl val="0"/>
      </c:catAx>
      <c:valAx>
        <c:axId val="296384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02540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_series_2!$B$90:$Y$90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371.95</c:v>
                </c:pt>
                <c:pt idx="8">
                  <c:v>624.44000000000005</c:v>
                </c:pt>
                <c:pt idx="9">
                  <c:v>608.5</c:v>
                </c:pt>
                <c:pt idx="10">
                  <c:v>558.97</c:v>
                </c:pt>
                <c:pt idx="11">
                  <c:v>531.97</c:v>
                </c:pt>
                <c:pt idx="12">
                  <c:v>602.51</c:v>
                </c:pt>
                <c:pt idx="13">
                  <c:v>614.23</c:v>
                </c:pt>
                <c:pt idx="14">
                  <c:v>527.74</c:v>
                </c:pt>
                <c:pt idx="15">
                  <c:v>518.28</c:v>
                </c:pt>
                <c:pt idx="16">
                  <c:v>526.58000000000004</c:v>
                </c:pt>
                <c:pt idx="17">
                  <c:v>689.52</c:v>
                </c:pt>
                <c:pt idx="18">
                  <c:v>670.6</c:v>
                </c:pt>
                <c:pt idx="19">
                  <c:v>530.95000000000005</c:v>
                </c:pt>
                <c:pt idx="20">
                  <c:v>522.32000000000005</c:v>
                </c:pt>
                <c:pt idx="21">
                  <c:v>506.43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42-7A47-8581-5A8D7EBF2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356890"/>
        <c:axId val="78182248"/>
      </c:lineChart>
      <c:catAx>
        <c:axId val="423568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182248"/>
        <c:crosses val="autoZero"/>
        <c:auto val="1"/>
        <c:lblAlgn val="ctr"/>
        <c:lblOffset val="100"/>
        <c:noMultiLvlLbl val="0"/>
      </c:catAx>
      <c:valAx>
        <c:axId val="781822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23568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_series_2!$B$91:$Y$91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130.28</c:v>
                </c:pt>
                <c:pt idx="9">
                  <c:v>86.89</c:v>
                </c:pt>
                <c:pt idx="10">
                  <c:v>123.44</c:v>
                </c:pt>
                <c:pt idx="11">
                  <c:v>100.73</c:v>
                </c:pt>
                <c:pt idx="12">
                  <c:v>168.47</c:v>
                </c:pt>
                <c:pt idx="13">
                  <c:v>174.45</c:v>
                </c:pt>
                <c:pt idx="14">
                  <c:v>139.44</c:v>
                </c:pt>
                <c:pt idx="15">
                  <c:v>129.46</c:v>
                </c:pt>
                <c:pt idx="16">
                  <c:v>108.57</c:v>
                </c:pt>
                <c:pt idx="17">
                  <c:v>121.96</c:v>
                </c:pt>
                <c:pt idx="18">
                  <c:v>139.72</c:v>
                </c:pt>
                <c:pt idx="19">
                  <c:v>108.09</c:v>
                </c:pt>
                <c:pt idx="20">
                  <c:v>113.96</c:v>
                </c:pt>
                <c:pt idx="21">
                  <c:v>110.63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2-8443-9495-BFCA8214C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679281"/>
        <c:axId val="79372598"/>
      </c:lineChart>
      <c:catAx>
        <c:axId val="3267928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9372598"/>
        <c:crosses val="autoZero"/>
        <c:auto val="1"/>
        <c:lblAlgn val="ctr"/>
        <c:lblOffset val="100"/>
        <c:noMultiLvlLbl val="0"/>
      </c:catAx>
      <c:valAx>
        <c:axId val="793725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26792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_series_2!$B$92:$Y$92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156.99</c:v>
                </c:pt>
                <c:pt idx="9">
                  <c:v>159.88</c:v>
                </c:pt>
                <c:pt idx="10">
                  <c:v>155.71</c:v>
                </c:pt>
                <c:pt idx="11">
                  <c:v>179.05</c:v>
                </c:pt>
                <c:pt idx="12">
                  <c:v>158.94999999999999</c:v>
                </c:pt>
                <c:pt idx="13">
                  <c:v>171.66</c:v>
                </c:pt>
                <c:pt idx="14">
                  <c:v>160.19</c:v>
                </c:pt>
                <c:pt idx="15">
                  <c:v>168.94</c:v>
                </c:pt>
                <c:pt idx="16">
                  <c:v>155.65</c:v>
                </c:pt>
                <c:pt idx="17">
                  <c:v>129.09</c:v>
                </c:pt>
                <c:pt idx="18">
                  <c:v>128.09</c:v>
                </c:pt>
                <c:pt idx="19">
                  <c:v>127.88</c:v>
                </c:pt>
                <c:pt idx="20">
                  <c:v>132.18</c:v>
                </c:pt>
                <c:pt idx="21">
                  <c:v>145.46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66-8B4F-A12E-D604F36AF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617891"/>
        <c:axId val="35168944"/>
      </c:lineChart>
      <c:catAx>
        <c:axId val="646178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168944"/>
        <c:crosses val="autoZero"/>
        <c:auto val="1"/>
        <c:lblAlgn val="ctr"/>
        <c:lblOffset val="100"/>
        <c:noMultiLvlLbl val="0"/>
      </c:catAx>
      <c:valAx>
        <c:axId val="351689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4617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_series_2!$B$93:$Y$93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55.51</c:v>
                </c:pt>
                <c:pt idx="9">
                  <c:v>54.59</c:v>
                </c:pt>
                <c:pt idx="10">
                  <c:v>55.04</c:v>
                </c:pt>
                <c:pt idx="11">
                  <c:v>57.65</c:v>
                </c:pt>
                <c:pt idx="12">
                  <c:v>61.04</c:v>
                </c:pt>
                <c:pt idx="13">
                  <c:v>63.23</c:v>
                </c:pt>
                <c:pt idx="14">
                  <c:v>58.99</c:v>
                </c:pt>
                <c:pt idx="15">
                  <c:v>53.54</c:v>
                </c:pt>
                <c:pt idx="16">
                  <c:v>53.16</c:v>
                </c:pt>
                <c:pt idx="17">
                  <c:v>50.92</c:v>
                </c:pt>
                <c:pt idx="18">
                  <c:v>52.69</c:v>
                </c:pt>
                <c:pt idx="19">
                  <c:v>51.88</c:v>
                </c:pt>
                <c:pt idx="20">
                  <c:v>51.56</c:v>
                </c:pt>
                <c:pt idx="21">
                  <c:v>50.65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D-5644-8050-AE5AA80C4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197130"/>
        <c:axId val="50201839"/>
      </c:lineChart>
      <c:catAx>
        <c:axId val="271971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0201839"/>
        <c:crosses val="autoZero"/>
        <c:auto val="1"/>
        <c:lblAlgn val="ctr"/>
        <c:lblOffset val="100"/>
        <c:noMultiLvlLbl val="0"/>
      </c:catAx>
      <c:valAx>
        <c:axId val="502018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71971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_series_2!$B$94:$Y$94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112.02</c:v>
                </c:pt>
                <c:pt idx="9">
                  <c:v>144.01</c:v>
                </c:pt>
                <c:pt idx="10">
                  <c:v>145.69</c:v>
                </c:pt>
                <c:pt idx="11">
                  <c:v>154.99</c:v>
                </c:pt>
                <c:pt idx="12">
                  <c:v>145.88999999999999</c:v>
                </c:pt>
                <c:pt idx="13">
                  <c:v>151.85</c:v>
                </c:pt>
                <c:pt idx="14">
                  <c:v>136.86000000000001</c:v>
                </c:pt>
                <c:pt idx="15">
                  <c:v>134.53</c:v>
                </c:pt>
                <c:pt idx="16">
                  <c:v>144.57</c:v>
                </c:pt>
                <c:pt idx="17">
                  <c:v>150.52000000000001</c:v>
                </c:pt>
                <c:pt idx="18">
                  <c:v>181.28</c:v>
                </c:pt>
                <c:pt idx="19">
                  <c:v>153.51</c:v>
                </c:pt>
                <c:pt idx="20">
                  <c:v>166.78</c:v>
                </c:pt>
                <c:pt idx="21">
                  <c:v>143.63999999999999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4-3748-BD76-758A042AD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5417671"/>
        <c:axId val="76202632"/>
      </c:lineChart>
      <c:catAx>
        <c:axId val="95417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6202632"/>
        <c:crosses val="autoZero"/>
        <c:auto val="1"/>
        <c:lblAlgn val="ctr"/>
        <c:lblOffset val="100"/>
        <c:noMultiLvlLbl val="0"/>
      </c:catAx>
      <c:valAx>
        <c:axId val="762026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54176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_series_2!$B$95:$Y$95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114.03</c:v>
                </c:pt>
                <c:pt idx="9">
                  <c:v>0</c:v>
                </c:pt>
                <c:pt idx="10">
                  <c:v>87.24</c:v>
                </c:pt>
                <c:pt idx="11">
                  <c:v>101.39</c:v>
                </c:pt>
                <c:pt idx="12">
                  <c:v>120.89</c:v>
                </c:pt>
                <c:pt idx="13">
                  <c:v>93.58</c:v>
                </c:pt>
                <c:pt idx="14">
                  <c:v>0</c:v>
                </c:pt>
                <c:pt idx="15">
                  <c:v>89.5</c:v>
                </c:pt>
                <c:pt idx="16">
                  <c:v>107.26</c:v>
                </c:pt>
                <c:pt idx="17">
                  <c:v>158.65</c:v>
                </c:pt>
                <c:pt idx="18">
                  <c:v>169.19</c:v>
                </c:pt>
                <c:pt idx="19">
                  <c:v>125.64</c:v>
                </c:pt>
                <c:pt idx="20">
                  <c:v>130.05000000000001</c:v>
                </c:pt>
                <c:pt idx="21">
                  <c:v>95.55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1-C048-BE7F-7EC6CC139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458812"/>
        <c:axId val="91814715"/>
      </c:lineChart>
      <c:catAx>
        <c:axId val="344588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1814715"/>
        <c:crosses val="autoZero"/>
        <c:auto val="1"/>
        <c:lblAlgn val="ctr"/>
        <c:lblOffset val="100"/>
        <c:noMultiLvlLbl val="0"/>
      </c:catAx>
      <c:valAx>
        <c:axId val="918147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44588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_series_2!$B$96:$Y$96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60.82</c:v>
                </c:pt>
                <c:pt idx="8">
                  <c:v>108.09</c:v>
                </c:pt>
                <c:pt idx="9">
                  <c:v>85.8</c:v>
                </c:pt>
                <c:pt idx="10">
                  <c:v>81.150000000000006</c:v>
                </c:pt>
                <c:pt idx="11">
                  <c:v>80.819999999999993</c:v>
                </c:pt>
                <c:pt idx="12">
                  <c:v>80.069999999999993</c:v>
                </c:pt>
                <c:pt idx="13">
                  <c:v>80.14</c:v>
                </c:pt>
                <c:pt idx="14">
                  <c:v>80.849999999999994</c:v>
                </c:pt>
                <c:pt idx="15">
                  <c:v>80.09</c:v>
                </c:pt>
                <c:pt idx="16">
                  <c:v>90.46</c:v>
                </c:pt>
                <c:pt idx="17">
                  <c:v>112.04</c:v>
                </c:pt>
                <c:pt idx="18">
                  <c:v>121.6</c:v>
                </c:pt>
                <c:pt idx="19">
                  <c:v>104.6</c:v>
                </c:pt>
                <c:pt idx="20">
                  <c:v>109.16</c:v>
                </c:pt>
                <c:pt idx="21">
                  <c:v>88.23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A6-9A40-B925-751702C0B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562349"/>
        <c:axId val="43937291"/>
      </c:lineChart>
      <c:catAx>
        <c:axId val="835623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3937291"/>
        <c:crosses val="autoZero"/>
        <c:auto val="1"/>
        <c:lblAlgn val="ctr"/>
        <c:lblOffset val="100"/>
        <c:noMultiLvlLbl val="0"/>
      </c:catAx>
      <c:valAx>
        <c:axId val="439372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35623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_series_2!$B$97:$Y$97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71.25</c:v>
                </c:pt>
                <c:pt idx="8">
                  <c:v>119.33</c:v>
                </c:pt>
                <c:pt idx="9">
                  <c:v>141.22</c:v>
                </c:pt>
                <c:pt idx="10">
                  <c:v>141.85</c:v>
                </c:pt>
                <c:pt idx="11">
                  <c:v>148.12</c:v>
                </c:pt>
                <c:pt idx="12">
                  <c:v>205.23</c:v>
                </c:pt>
                <c:pt idx="13">
                  <c:v>219.62</c:v>
                </c:pt>
                <c:pt idx="14">
                  <c:v>133.77000000000001</c:v>
                </c:pt>
                <c:pt idx="15">
                  <c:v>144.41999999999999</c:v>
                </c:pt>
                <c:pt idx="16">
                  <c:v>102.84</c:v>
                </c:pt>
                <c:pt idx="17">
                  <c:v>127.74</c:v>
                </c:pt>
                <c:pt idx="18">
                  <c:v>119.1</c:v>
                </c:pt>
                <c:pt idx="19">
                  <c:v>115.51</c:v>
                </c:pt>
                <c:pt idx="20">
                  <c:v>113.22</c:v>
                </c:pt>
                <c:pt idx="21">
                  <c:v>115.73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5-B54D-BF77-A2782D802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037221"/>
        <c:axId val="56148765"/>
      </c:lineChart>
      <c:catAx>
        <c:axId val="1003722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6148765"/>
        <c:crosses val="autoZero"/>
        <c:auto val="1"/>
        <c:lblAlgn val="ctr"/>
        <c:lblOffset val="100"/>
        <c:noMultiLvlLbl val="0"/>
      </c:catAx>
      <c:valAx>
        <c:axId val="561487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00372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_series_2!$B$98:$Y$98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91.49</c:v>
                </c:pt>
                <c:pt idx="9">
                  <c:v>0</c:v>
                </c:pt>
                <c:pt idx="10">
                  <c:v>100.61</c:v>
                </c:pt>
                <c:pt idx="11">
                  <c:v>69.69</c:v>
                </c:pt>
                <c:pt idx="12">
                  <c:v>101.34</c:v>
                </c:pt>
                <c:pt idx="13">
                  <c:v>96.5</c:v>
                </c:pt>
                <c:pt idx="14">
                  <c:v>109.71</c:v>
                </c:pt>
                <c:pt idx="15">
                  <c:v>99.05</c:v>
                </c:pt>
                <c:pt idx="16">
                  <c:v>104.36</c:v>
                </c:pt>
                <c:pt idx="17">
                  <c:v>112.78</c:v>
                </c:pt>
                <c:pt idx="18">
                  <c:v>137.88999999999999</c:v>
                </c:pt>
                <c:pt idx="19">
                  <c:v>93.58</c:v>
                </c:pt>
                <c:pt idx="20">
                  <c:v>89.09</c:v>
                </c:pt>
                <c:pt idx="21">
                  <c:v>85.99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B-994C-A0D9-3119E043B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275718"/>
        <c:axId val="30330091"/>
      </c:lineChart>
      <c:catAx>
        <c:axId val="982757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0330091"/>
        <c:crosses val="autoZero"/>
        <c:auto val="1"/>
        <c:lblAlgn val="ctr"/>
        <c:lblOffset val="100"/>
        <c:noMultiLvlLbl val="0"/>
      </c:catAx>
      <c:valAx>
        <c:axId val="303300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82757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_series_2!$B$99:$Y$99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85.37</c:v>
                </c:pt>
                <c:pt idx="11">
                  <c:v>85.27</c:v>
                </c:pt>
                <c:pt idx="12">
                  <c:v>128.1</c:v>
                </c:pt>
                <c:pt idx="13">
                  <c:v>138.43</c:v>
                </c:pt>
                <c:pt idx="14">
                  <c:v>93.14</c:v>
                </c:pt>
                <c:pt idx="15">
                  <c:v>98.52</c:v>
                </c:pt>
                <c:pt idx="16">
                  <c:v>114.92</c:v>
                </c:pt>
                <c:pt idx="17">
                  <c:v>236.9</c:v>
                </c:pt>
                <c:pt idx="18">
                  <c:v>220.23</c:v>
                </c:pt>
                <c:pt idx="19">
                  <c:v>156.77000000000001</c:v>
                </c:pt>
                <c:pt idx="20">
                  <c:v>189.43</c:v>
                </c:pt>
                <c:pt idx="21">
                  <c:v>92.52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69-9A48-A0F8-006547EB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039411"/>
        <c:axId val="72692179"/>
      </c:lineChart>
      <c:catAx>
        <c:axId val="340394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2692179"/>
        <c:crosses val="autoZero"/>
        <c:auto val="1"/>
        <c:lblAlgn val="ctr"/>
        <c:lblOffset val="100"/>
        <c:noMultiLvlLbl val="0"/>
      </c:catAx>
      <c:valAx>
        <c:axId val="726921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40394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_series_2!$B$100:$Y$100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29.23</c:v>
                </c:pt>
                <c:pt idx="11">
                  <c:v>44.55</c:v>
                </c:pt>
                <c:pt idx="12">
                  <c:v>26.01</c:v>
                </c:pt>
                <c:pt idx="13">
                  <c:v>53.09</c:v>
                </c:pt>
                <c:pt idx="14">
                  <c:v>48.21</c:v>
                </c:pt>
                <c:pt idx="15">
                  <c:v>52.08</c:v>
                </c:pt>
                <c:pt idx="16">
                  <c:v>42.39</c:v>
                </c:pt>
                <c:pt idx="17">
                  <c:v>63.74</c:v>
                </c:pt>
                <c:pt idx="18">
                  <c:v>29.62</c:v>
                </c:pt>
                <c:pt idx="19">
                  <c:v>52.02</c:v>
                </c:pt>
                <c:pt idx="20">
                  <c:v>45.72</c:v>
                </c:pt>
                <c:pt idx="21">
                  <c:v>51.48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D-5342-B292-799AE21A1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503995"/>
        <c:axId val="35977341"/>
      </c:lineChart>
      <c:catAx>
        <c:axId val="515039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977341"/>
        <c:crosses val="autoZero"/>
        <c:auto val="1"/>
        <c:lblAlgn val="ctr"/>
        <c:lblOffset val="100"/>
        <c:noMultiLvlLbl val="0"/>
      </c:catAx>
      <c:valAx>
        <c:axId val="359773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15039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_series_2!$B$101:$Y$101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42.6</c:v>
                </c:pt>
                <c:pt idx="11">
                  <c:v>0</c:v>
                </c:pt>
                <c:pt idx="12">
                  <c:v>35.75</c:v>
                </c:pt>
                <c:pt idx="13">
                  <c:v>36.090000000000003</c:v>
                </c:pt>
                <c:pt idx="14">
                  <c:v>32.82</c:v>
                </c:pt>
                <c:pt idx="15">
                  <c:v>31.05</c:v>
                </c:pt>
                <c:pt idx="16">
                  <c:v>30.64</c:v>
                </c:pt>
                <c:pt idx="17">
                  <c:v>31.9</c:v>
                </c:pt>
                <c:pt idx="18">
                  <c:v>33.880000000000003</c:v>
                </c:pt>
                <c:pt idx="19">
                  <c:v>28.96</c:v>
                </c:pt>
                <c:pt idx="20">
                  <c:v>29.65</c:v>
                </c:pt>
                <c:pt idx="21">
                  <c:v>28.71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C7-F742-933E-414B0A3AE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383817"/>
        <c:axId val="92885748"/>
      </c:lineChart>
      <c:catAx>
        <c:axId val="273838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885748"/>
        <c:crosses val="autoZero"/>
        <c:auto val="1"/>
        <c:lblAlgn val="ctr"/>
        <c:lblOffset val="100"/>
        <c:noMultiLvlLbl val="0"/>
      </c:catAx>
      <c:valAx>
        <c:axId val="928857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73838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_series_2!$B$102:$Y$102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119.86</c:v>
                </c:pt>
                <c:pt idx="13">
                  <c:v>120.44</c:v>
                </c:pt>
                <c:pt idx="14">
                  <c:v>133.01</c:v>
                </c:pt>
                <c:pt idx="15">
                  <c:v>119.55</c:v>
                </c:pt>
                <c:pt idx="16">
                  <c:v>112.61</c:v>
                </c:pt>
                <c:pt idx="17">
                  <c:v>80.83</c:v>
                </c:pt>
                <c:pt idx="18">
                  <c:v>86.53</c:v>
                </c:pt>
                <c:pt idx="19">
                  <c:v>41.27</c:v>
                </c:pt>
                <c:pt idx="20">
                  <c:v>49.23</c:v>
                </c:pt>
                <c:pt idx="21">
                  <c:v>34.700000000000003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3E-704C-9857-E458DD63D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107440"/>
        <c:axId val="91250051"/>
      </c:lineChart>
      <c:catAx>
        <c:axId val="4610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1250051"/>
        <c:crosses val="autoZero"/>
        <c:auto val="1"/>
        <c:lblAlgn val="ctr"/>
        <c:lblOffset val="100"/>
        <c:noMultiLvlLbl val="0"/>
      </c:catAx>
      <c:valAx>
        <c:axId val="912500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61074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_series_2!$B$103:$Y$103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232.86</c:v>
                </c:pt>
                <c:pt idx="13">
                  <c:v>319.29000000000002</c:v>
                </c:pt>
                <c:pt idx="14">
                  <c:v>331.38</c:v>
                </c:pt>
                <c:pt idx="15">
                  <c:v>319.24</c:v>
                </c:pt>
                <c:pt idx="16">
                  <c:v>236.66</c:v>
                </c:pt>
                <c:pt idx="17">
                  <c:v>238.63</c:v>
                </c:pt>
                <c:pt idx="18">
                  <c:v>231.31</c:v>
                </c:pt>
                <c:pt idx="19">
                  <c:v>138.31</c:v>
                </c:pt>
                <c:pt idx="20">
                  <c:v>250.68</c:v>
                </c:pt>
                <c:pt idx="21">
                  <c:v>314.85000000000002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3-384A-BBDD-B46CD3A13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143931"/>
        <c:axId val="3923707"/>
      </c:lineChart>
      <c:catAx>
        <c:axId val="441439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923707"/>
        <c:crosses val="autoZero"/>
        <c:auto val="1"/>
        <c:lblAlgn val="ctr"/>
        <c:lblOffset val="100"/>
        <c:noMultiLvlLbl val="0"/>
      </c:catAx>
      <c:valAx>
        <c:axId val="39237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4143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_series_2!$B$104:$Y$104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48.02</c:v>
                </c:pt>
                <c:pt idx="14">
                  <c:v>0</c:v>
                </c:pt>
                <c:pt idx="15">
                  <c:v>0</c:v>
                </c:pt>
                <c:pt idx="16">
                  <c:v>52.29</c:v>
                </c:pt>
                <c:pt idx="17">
                  <c:v>53.54</c:v>
                </c:pt>
                <c:pt idx="18">
                  <c:v>37.74</c:v>
                </c:pt>
                <c:pt idx="19">
                  <c:v>42.72</c:v>
                </c:pt>
                <c:pt idx="20">
                  <c:v>47.49</c:v>
                </c:pt>
                <c:pt idx="21">
                  <c:v>47.07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6A47-92D6-05DD2A234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331033"/>
        <c:axId val="11888738"/>
      </c:lineChart>
      <c:catAx>
        <c:axId val="853310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1888738"/>
        <c:crosses val="autoZero"/>
        <c:auto val="1"/>
        <c:lblAlgn val="ctr"/>
        <c:lblOffset val="100"/>
        <c:noMultiLvlLbl val="0"/>
      </c:catAx>
      <c:valAx>
        <c:axId val="118887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53310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_series_2!$B$105:$Y$105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101.99</c:v>
                </c:pt>
                <c:pt idx="14">
                  <c:v>0</c:v>
                </c:pt>
                <c:pt idx="15">
                  <c:v>0</c:v>
                </c:pt>
                <c:pt idx="16">
                  <c:v>54.46</c:v>
                </c:pt>
                <c:pt idx="17">
                  <c:v>48.72</c:v>
                </c:pt>
                <c:pt idx="18">
                  <c:v>55.89</c:v>
                </c:pt>
                <c:pt idx="19">
                  <c:v>53.5</c:v>
                </c:pt>
                <c:pt idx="20">
                  <c:v>52.85</c:v>
                </c:pt>
                <c:pt idx="21">
                  <c:v>49.47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3-D34E-8383-0CC565A6B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218445"/>
        <c:axId val="73046401"/>
      </c:lineChart>
      <c:catAx>
        <c:axId val="202184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3046401"/>
        <c:crosses val="autoZero"/>
        <c:auto val="1"/>
        <c:lblAlgn val="ctr"/>
        <c:lblOffset val="100"/>
        <c:noMultiLvlLbl val="0"/>
      </c:catAx>
      <c:valAx>
        <c:axId val="730464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02184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_series_2!$B$106:$Y$106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30.58</c:v>
                </c:pt>
                <c:pt idx="17">
                  <c:v>68.22</c:v>
                </c:pt>
                <c:pt idx="18">
                  <c:v>116.82</c:v>
                </c:pt>
                <c:pt idx="19">
                  <c:v>110.26</c:v>
                </c:pt>
                <c:pt idx="20">
                  <c:v>109.66</c:v>
                </c:pt>
                <c:pt idx="21">
                  <c:v>92.76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4-AA4E-B8F6-3EEF89F15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533598"/>
        <c:axId val="70959234"/>
      </c:lineChart>
      <c:catAx>
        <c:axId val="215335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0959234"/>
        <c:crosses val="autoZero"/>
        <c:auto val="1"/>
        <c:lblAlgn val="ctr"/>
        <c:lblOffset val="100"/>
        <c:noMultiLvlLbl val="0"/>
      </c:catAx>
      <c:valAx>
        <c:axId val="709592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5335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_series_2!$B$107:$Y$107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42.26</c:v>
                </c:pt>
                <c:pt idx="16">
                  <c:v>40.450000000000003</c:v>
                </c:pt>
                <c:pt idx="17">
                  <c:v>40.36</c:v>
                </c:pt>
                <c:pt idx="18">
                  <c:v>41.3</c:v>
                </c:pt>
                <c:pt idx="19">
                  <c:v>40.68</c:v>
                </c:pt>
                <c:pt idx="20">
                  <c:v>43.96</c:v>
                </c:pt>
                <c:pt idx="21">
                  <c:v>41.92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5-E94F-A240-CC984F0F0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756733"/>
        <c:axId val="8934716"/>
      </c:lineChart>
      <c:catAx>
        <c:axId val="567567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934716"/>
        <c:crosses val="autoZero"/>
        <c:auto val="1"/>
        <c:lblAlgn val="ctr"/>
        <c:lblOffset val="100"/>
        <c:noMultiLvlLbl val="0"/>
      </c:catAx>
      <c:valAx>
        <c:axId val="89347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67567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_series_2!$B$108:$Y$108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94.36</c:v>
                </c:pt>
                <c:pt idx="16">
                  <c:v>70.41</c:v>
                </c:pt>
                <c:pt idx="17">
                  <c:v>41.79</c:v>
                </c:pt>
                <c:pt idx="18">
                  <c:v>42.14</c:v>
                </c:pt>
                <c:pt idx="19">
                  <c:v>46.75</c:v>
                </c:pt>
                <c:pt idx="20">
                  <c:v>40.630000000000003</c:v>
                </c:pt>
                <c:pt idx="21">
                  <c:v>34.86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A-174A-AFB2-71A1A6D02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07451"/>
        <c:axId val="16819609"/>
      </c:lineChart>
      <c:catAx>
        <c:axId val="96074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6819609"/>
        <c:crosses val="autoZero"/>
        <c:auto val="1"/>
        <c:lblAlgn val="ctr"/>
        <c:lblOffset val="100"/>
        <c:noMultiLvlLbl val="0"/>
      </c:catAx>
      <c:valAx>
        <c:axId val="168196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074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_series_2!$B$109:$Y$109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65.760000000000005</c:v>
                </c:pt>
                <c:pt idx="14">
                  <c:v>0</c:v>
                </c:pt>
                <c:pt idx="15">
                  <c:v>0</c:v>
                </c:pt>
                <c:pt idx="16">
                  <c:v>37.24</c:v>
                </c:pt>
                <c:pt idx="17">
                  <c:v>36.49</c:v>
                </c:pt>
                <c:pt idx="18">
                  <c:v>38.72</c:v>
                </c:pt>
                <c:pt idx="19">
                  <c:v>36.119999999999997</c:v>
                </c:pt>
                <c:pt idx="20">
                  <c:v>34.5</c:v>
                </c:pt>
                <c:pt idx="21">
                  <c:v>37.58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B-CC4D-BF32-0A457A889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677298"/>
        <c:axId val="58869769"/>
      </c:lineChart>
      <c:catAx>
        <c:axId val="5867729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8869769"/>
        <c:crosses val="autoZero"/>
        <c:auto val="1"/>
        <c:lblAlgn val="ctr"/>
        <c:lblOffset val="100"/>
        <c:noMultiLvlLbl val="0"/>
      </c:catAx>
      <c:valAx>
        <c:axId val="588697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86772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_series_2!$B$110:$Y$110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104.92</c:v>
                </c:pt>
                <c:pt idx="16">
                  <c:v>256.57</c:v>
                </c:pt>
                <c:pt idx="17">
                  <c:v>406.3</c:v>
                </c:pt>
                <c:pt idx="18">
                  <c:v>391.89</c:v>
                </c:pt>
                <c:pt idx="19">
                  <c:v>260.7</c:v>
                </c:pt>
                <c:pt idx="20">
                  <c:v>291.94</c:v>
                </c:pt>
                <c:pt idx="21">
                  <c:v>227.31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E-EA49-957D-8D26609C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400607"/>
        <c:axId val="60962046"/>
      </c:lineChart>
      <c:catAx>
        <c:axId val="75400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0962046"/>
        <c:crosses val="autoZero"/>
        <c:auto val="1"/>
        <c:lblAlgn val="ctr"/>
        <c:lblOffset val="100"/>
        <c:noMultiLvlLbl val="0"/>
      </c:catAx>
      <c:valAx>
        <c:axId val="609620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5400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_series_2!$B$111:$Y$111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69.47</c:v>
                </c:pt>
                <c:pt idx="19">
                  <c:v>119.54</c:v>
                </c:pt>
                <c:pt idx="20">
                  <c:v>117.27</c:v>
                </c:pt>
                <c:pt idx="21">
                  <c:v>89.59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4-4E4D-984A-7A2B912CE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788215"/>
        <c:axId val="18790134"/>
      </c:lineChart>
      <c:catAx>
        <c:axId val="85788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8790134"/>
        <c:crosses val="autoZero"/>
        <c:auto val="1"/>
        <c:lblAlgn val="ctr"/>
        <c:lblOffset val="100"/>
        <c:noMultiLvlLbl val="0"/>
      </c:catAx>
      <c:valAx>
        <c:axId val="187901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5788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_series_2!$B$112:$Y$112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86.78</c:v>
                </c:pt>
                <c:pt idx="19">
                  <c:v>195.72</c:v>
                </c:pt>
                <c:pt idx="20">
                  <c:v>162.47999999999999</c:v>
                </c:pt>
                <c:pt idx="21">
                  <c:v>142.15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3-C943-8ADB-15C431AF6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682974"/>
        <c:axId val="22243981"/>
      </c:lineChart>
      <c:catAx>
        <c:axId val="556829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243981"/>
        <c:crosses val="autoZero"/>
        <c:auto val="1"/>
        <c:lblAlgn val="ctr"/>
        <c:lblOffset val="100"/>
        <c:noMultiLvlLbl val="0"/>
      </c:catAx>
      <c:valAx>
        <c:axId val="222439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56829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_series_2!$B$113:$Y$113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82.27</c:v>
                </c:pt>
                <c:pt idx="20">
                  <c:v>78.03</c:v>
                </c:pt>
                <c:pt idx="21">
                  <c:v>69.14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684D-9355-190CA997B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95299"/>
        <c:axId val="41490364"/>
      </c:lineChart>
      <c:catAx>
        <c:axId val="92952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1490364"/>
        <c:crosses val="autoZero"/>
        <c:auto val="1"/>
        <c:lblAlgn val="ctr"/>
        <c:lblOffset val="100"/>
        <c:noMultiLvlLbl val="0"/>
      </c:catAx>
      <c:valAx>
        <c:axId val="414903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952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_series_2!$B$114:$Y$114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53.48</c:v>
                </c:pt>
                <c:pt idx="20">
                  <c:v>57.25</c:v>
                </c:pt>
                <c:pt idx="21">
                  <c:v>56.12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9-0743-8A90-F7D33482F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996929"/>
        <c:axId val="87130305"/>
      </c:lineChart>
      <c:catAx>
        <c:axId val="149969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7130305"/>
        <c:crosses val="autoZero"/>
        <c:auto val="1"/>
        <c:lblAlgn val="ctr"/>
        <c:lblOffset val="100"/>
        <c:noMultiLvlLbl val="0"/>
      </c:catAx>
      <c:valAx>
        <c:axId val="871303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4996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_series_2!$B$115:$Y$115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49.6</c:v>
                </c:pt>
                <c:pt idx="21">
                  <c:v>40.880000000000003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6-B546-84BC-F0155796C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380131"/>
        <c:axId val="26145894"/>
      </c:lineChart>
      <c:catAx>
        <c:axId val="143801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6145894"/>
        <c:crosses val="autoZero"/>
        <c:auto val="1"/>
        <c:lblAlgn val="ctr"/>
        <c:lblOffset val="100"/>
        <c:noMultiLvlLbl val="0"/>
      </c:catAx>
      <c:valAx>
        <c:axId val="261458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43801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_series_2!$B$116:$Y$116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271.70999999999998</c:v>
                </c:pt>
                <c:pt idx="20">
                  <c:v>96.34</c:v>
                </c:pt>
                <c:pt idx="21">
                  <c:v>94.96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18-F041-8A7D-14C21AE5B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256095"/>
        <c:axId val="48738514"/>
      </c:lineChart>
      <c:catAx>
        <c:axId val="8925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8738514"/>
        <c:crosses val="autoZero"/>
        <c:auto val="1"/>
        <c:lblAlgn val="ctr"/>
        <c:lblOffset val="100"/>
        <c:noMultiLvlLbl val="0"/>
      </c:catAx>
      <c:valAx>
        <c:axId val="487385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92560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_series_2!$B$117:$Y$117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107.46</c:v>
                </c:pt>
                <c:pt idx="20">
                  <c:v>111.89</c:v>
                </c:pt>
                <c:pt idx="21">
                  <c:v>117.07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2-7445-82B8-4919FDB23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288748"/>
        <c:axId val="38859098"/>
      </c:lineChart>
      <c:catAx>
        <c:axId val="692887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8859098"/>
        <c:crosses val="autoZero"/>
        <c:auto val="1"/>
        <c:lblAlgn val="ctr"/>
        <c:lblOffset val="100"/>
        <c:noMultiLvlLbl val="0"/>
      </c:catAx>
      <c:valAx>
        <c:axId val="388590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92887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_series_2!$B$118:$Y$118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78.709999999999994</c:v>
                </c:pt>
                <c:pt idx="20">
                  <c:v>82.54</c:v>
                </c:pt>
                <c:pt idx="21">
                  <c:v>64.819999999999993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1-E341-9DB4-4CC8D0EBE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290489"/>
        <c:axId val="45774554"/>
      </c:lineChart>
      <c:catAx>
        <c:axId val="7729048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5774554"/>
        <c:crosses val="autoZero"/>
        <c:auto val="1"/>
        <c:lblAlgn val="ctr"/>
        <c:lblOffset val="100"/>
        <c:noMultiLvlLbl val="0"/>
      </c:catAx>
      <c:valAx>
        <c:axId val="457745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72904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_series_2!$B$119:$Y$119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62.66</c:v>
                </c:pt>
                <c:pt idx="20">
                  <c:v>52.63</c:v>
                </c:pt>
                <c:pt idx="21">
                  <c:v>53.78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5-5648-BC7A-FFD06488A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010397"/>
        <c:axId val="3068438"/>
      </c:lineChart>
      <c:catAx>
        <c:axId val="880103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068438"/>
        <c:crosses val="autoZero"/>
        <c:auto val="1"/>
        <c:lblAlgn val="ctr"/>
        <c:lblOffset val="100"/>
        <c:noMultiLvlLbl val="0"/>
      </c:catAx>
      <c:valAx>
        <c:axId val="30684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80103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_series_2!$B$120:$Y$120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61.16</c:v>
                </c:pt>
                <c:pt idx="20">
                  <c:v>87.04</c:v>
                </c:pt>
                <c:pt idx="21">
                  <c:v>81.16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0-0045-BD7B-7E6B82DFC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390063"/>
        <c:axId val="86214690"/>
      </c:lineChart>
      <c:catAx>
        <c:axId val="44390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6214690"/>
        <c:crosses val="autoZero"/>
        <c:auto val="1"/>
        <c:lblAlgn val="ctr"/>
        <c:lblOffset val="100"/>
        <c:noMultiLvlLbl val="0"/>
      </c:catAx>
      <c:valAx>
        <c:axId val="862146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43900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_series_2!$B$121:$Y$121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45.1</c:v>
                </c:pt>
                <c:pt idx="20">
                  <c:v>71.239999999999995</c:v>
                </c:pt>
                <c:pt idx="21">
                  <c:v>68.52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1-5A41-9706-C763DE3D4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801247"/>
        <c:axId val="16840051"/>
      </c:lineChart>
      <c:catAx>
        <c:axId val="43801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6840051"/>
        <c:crosses val="autoZero"/>
        <c:auto val="1"/>
        <c:lblAlgn val="ctr"/>
        <c:lblOffset val="100"/>
        <c:noMultiLvlLbl val="0"/>
      </c:catAx>
      <c:valAx>
        <c:axId val="168400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38012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_series_2!$B$122:$Y$122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39.06</c:v>
                </c:pt>
                <c:pt idx="20">
                  <c:v>57.14</c:v>
                </c:pt>
                <c:pt idx="21">
                  <c:v>47.65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F-B444-B219-E72A08D02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713753"/>
        <c:axId val="22633666"/>
      </c:lineChart>
      <c:catAx>
        <c:axId val="517137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633666"/>
        <c:crosses val="autoZero"/>
        <c:auto val="1"/>
        <c:lblAlgn val="ctr"/>
        <c:lblOffset val="100"/>
        <c:noMultiLvlLbl val="0"/>
      </c:catAx>
      <c:valAx>
        <c:axId val="226336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17137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_series_2!$B$123:$Y$123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14.59</c:v>
                </c:pt>
                <c:pt idx="20">
                  <c:v>78.760000000000005</c:v>
                </c:pt>
                <c:pt idx="21">
                  <c:v>73.510000000000005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6-1043-94D0-A7389381D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570324"/>
        <c:axId val="16082962"/>
      </c:lineChart>
      <c:catAx>
        <c:axId val="475703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6082962"/>
        <c:crosses val="autoZero"/>
        <c:auto val="1"/>
        <c:lblAlgn val="ctr"/>
        <c:lblOffset val="100"/>
        <c:noMultiLvlLbl val="0"/>
      </c:catAx>
      <c:valAx>
        <c:axId val="160829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75703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_series_2!$B$124:$Y$124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28.44</c:v>
                </c:pt>
                <c:pt idx="20">
                  <c:v>72.12</c:v>
                </c:pt>
                <c:pt idx="21">
                  <c:v>49.98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9-5647-A894-C3F45FDE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414629"/>
        <c:axId val="18271237"/>
      </c:lineChart>
      <c:catAx>
        <c:axId val="744146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8271237"/>
        <c:crosses val="autoZero"/>
        <c:auto val="1"/>
        <c:lblAlgn val="ctr"/>
        <c:lblOffset val="100"/>
        <c:noMultiLvlLbl val="0"/>
      </c:catAx>
      <c:valAx>
        <c:axId val="182712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44146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_series_2!$B$125:$Y$125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10.51</c:v>
                </c:pt>
                <c:pt idx="20">
                  <c:v>82.43</c:v>
                </c:pt>
                <c:pt idx="21">
                  <c:v>48.26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1-7647-A4EE-05734072C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205773"/>
        <c:axId val="93879614"/>
      </c:lineChart>
      <c:catAx>
        <c:axId val="752057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3879614"/>
        <c:crosses val="autoZero"/>
        <c:auto val="1"/>
        <c:lblAlgn val="ctr"/>
        <c:lblOffset val="100"/>
        <c:noMultiLvlLbl val="0"/>
      </c:catAx>
      <c:valAx>
        <c:axId val="938796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52057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_series_2!$B$126:$Y$126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40.58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D-C54D-81FB-1EEC5983E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072879"/>
        <c:axId val="59332148"/>
      </c:lineChart>
      <c:catAx>
        <c:axId val="45072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332148"/>
        <c:crosses val="autoZero"/>
        <c:auto val="1"/>
        <c:lblAlgn val="ctr"/>
        <c:lblOffset val="100"/>
        <c:noMultiLvlLbl val="0"/>
      </c:catAx>
      <c:valAx>
        <c:axId val="593321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50728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_series_2!$B$127:$Y$127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47.83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5-2144-8DF5-000A3953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36491"/>
        <c:axId val="45269972"/>
      </c:lineChart>
      <c:catAx>
        <c:axId val="73364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5269972"/>
        <c:crosses val="autoZero"/>
        <c:auto val="1"/>
        <c:lblAlgn val="ctr"/>
        <c:lblOffset val="100"/>
        <c:noMultiLvlLbl val="0"/>
      </c:catAx>
      <c:valAx>
        <c:axId val="452699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3364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_series_2!$B$128:$Y$128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65.180000000000007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B-AF4C-94D3-00D095AD5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290308"/>
        <c:axId val="97246596"/>
      </c:lineChart>
      <c:catAx>
        <c:axId val="782903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7246596"/>
        <c:crosses val="autoZero"/>
        <c:auto val="1"/>
        <c:lblAlgn val="ctr"/>
        <c:lblOffset val="100"/>
        <c:noMultiLvlLbl val="0"/>
      </c:catAx>
      <c:valAx>
        <c:axId val="972465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2903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_series_2!$B$129:$Y$129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66.33</c:v>
                </c:pt>
                <c:pt idx="21">
                  <c:v>58.66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8-1D4C-8C5B-4D6C1B070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155638"/>
        <c:axId val="94158482"/>
      </c:lineChart>
      <c:catAx>
        <c:axId val="251556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158482"/>
        <c:crosses val="autoZero"/>
        <c:auto val="1"/>
        <c:lblAlgn val="ctr"/>
        <c:lblOffset val="100"/>
        <c:noMultiLvlLbl val="0"/>
      </c:catAx>
      <c:valAx>
        <c:axId val="941584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51556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_series_2!$B$130:$Y$130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77.849999999999994</c:v>
                </c:pt>
                <c:pt idx="21">
                  <c:v>104.62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CB-FA44-9301-30E97B4D7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34744"/>
        <c:axId val="3320690"/>
      </c:lineChart>
      <c:catAx>
        <c:axId val="2034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20690"/>
        <c:crosses val="autoZero"/>
        <c:auto val="1"/>
        <c:lblAlgn val="ctr"/>
        <c:lblOffset val="100"/>
        <c:noMultiLvlLbl val="0"/>
      </c:catAx>
      <c:valAx>
        <c:axId val="33206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0347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_series_2!$B$131:$Y$131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26.05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0-3F44-9625-540C80AE7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84450"/>
        <c:axId val="24933306"/>
      </c:lineChart>
      <c:catAx>
        <c:axId val="22844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4933306"/>
        <c:crosses val="autoZero"/>
        <c:auto val="1"/>
        <c:lblAlgn val="ctr"/>
        <c:lblOffset val="100"/>
        <c:noMultiLvlLbl val="0"/>
      </c:catAx>
      <c:valAx>
        <c:axId val="249333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844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_series_2!$B$132:$Y$132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88.1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D-2545-9A75-1673B8C74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26310"/>
        <c:axId val="35766479"/>
      </c:lineChart>
      <c:catAx>
        <c:axId val="99263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766479"/>
        <c:crosses val="autoZero"/>
        <c:auto val="1"/>
        <c:lblAlgn val="ctr"/>
        <c:lblOffset val="100"/>
        <c:noMultiLvlLbl val="0"/>
      </c:catAx>
      <c:valAx>
        <c:axId val="357664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9263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_series_2!$B$133:$Y$133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58.7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B-FF41-A515-7DA75148A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989390"/>
        <c:axId val="76018416"/>
      </c:lineChart>
      <c:catAx>
        <c:axId val="339893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6018416"/>
        <c:crosses val="autoZero"/>
        <c:auto val="1"/>
        <c:lblAlgn val="ctr"/>
        <c:lblOffset val="100"/>
        <c:noMultiLvlLbl val="0"/>
      </c:catAx>
      <c:valAx>
        <c:axId val="760184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9893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_series_2!$B$134:$Y$134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54.97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B-2142-91D7-26E65D4C2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3945405"/>
        <c:axId val="96997362"/>
      </c:lineChart>
      <c:catAx>
        <c:axId val="539454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997362"/>
        <c:crosses val="autoZero"/>
        <c:auto val="1"/>
        <c:lblAlgn val="ctr"/>
        <c:lblOffset val="100"/>
        <c:noMultiLvlLbl val="0"/>
      </c:catAx>
      <c:valAx>
        <c:axId val="969973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39454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_series_2!$B$135:$Y$135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33.35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B-5446-93E2-4C241BD7B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773272"/>
        <c:axId val="71678643"/>
      </c:lineChart>
      <c:catAx>
        <c:axId val="62773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1678643"/>
        <c:crosses val="autoZero"/>
        <c:auto val="1"/>
        <c:lblAlgn val="ctr"/>
        <c:lblOffset val="100"/>
        <c:noMultiLvlLbl val="0"/>
      </c:catAx>
      <c:valAx>
        <c:axId val="716786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27732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_series_2!$B$136:$Y$136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60.42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A-104F-A0C7-CD0F15B6C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149306"/>
        <c:axId val="78887555"/>
      </c:lineChart>
      <c:catAx>
        <c:axId val="331493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887555"/>
        <c:crosses val="autoZero"/>
        <c:auto val="1"/>
        <c:lblAlgn val="ctr"/>
        <c:lblOffset val="100"/>
        <c:noMultiLvlLbl val="0"/>
      </c:catAx>
      <c:valAx>
        <c:axId val="788875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149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01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_series_2!$B$1:$Y$1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_series_2!$B$137:$Y$137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480.78</c:v>
                </c:pt>
                <c:pt idx="5">
                  <c:v>869.3</c:v>
                </c:pt>
                <c:pt idx="6">
                  <c:v>484.66</c:v>
                </c:pt>
                <c:pt idx="7">
                  <c:v>499.94</c:v>
                </c:pt>
                <c:pt idx="8">
                  <c:v>802.97</c:v>
                </c:pt>
                <c:pt idx="9">
                  <c:v>1074.48</c:v>
                </c:pt>
                <c:pt idx="10">
                  <c:v>997.35</c:v>
                </c:pt>
                <c:pt idx="11">
                  <c:v>1001.22</c:v>
                </c:pt>
                <c:pt idx="12">
                  <c:v>1957.85</c:v>
                </c:pt>
                <c:pt idx="13">
                  <c:v>79.62</c:v>
                </c:pt>
                <c:pt idx="14">
                  <c:v>1019.69</c:v>
                </c:pt>
                <c:pt idx="15">
                  <c:v>699.4</c:v>
                </c:pt>
                <c:pt idx="16">
                  <c:v>233.98</c:v>
                </c:pt>
                <c:pt idx="17">
                  <c:v>803.7</c:v>
                </c:pt>
                <c:pt idx="18">
                  <c:v>716.71</c:v>
                </c:pt>
                <c:pt idx="19">
                  <c:v>712.12</c:v>
                </c:pt>
                <c:pt idx="20">
                  <c:v>540.74</c:v>
                </c:pt>
                <c:pt idx="21">
                  <c:v>624.71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F-3E46-BB0A-A2265C429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726933"/>
        <c:axId val="67187995"/>
      </c:lineChart>
      <c:catAx>
        <c:axId val="347269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7187995"/>
        <c:crosses val="autoZero"/>
        <c:auto val="1"/>
        <c:lblAlgn val="ctr"/>
        <c:lblOffset val="100"/>
        <c:noMultiLvlLbl val="0"/>
      </c:catAx>
      <c:valAx>
        <c:axId val="671879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4726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chart" Target="../charts/chart144.xml"/><Relationship Id="rId21" Type="http://schemas.openxmlformats.org/officeDocument/2006/relationships/chart" Target="../charts/chart48.xml"/><Relationship Id="rId42" Type="http://schemas.openxmlformats.org/officeDocument/2006/relationships/chart" Target="../charts/chart69.xml"/><Relationship Id="rId63" Type="http://schemas.openxmlformats.org/officeDocument/2006/relationships/chart" Target="../charts/chart90.xml"/><Relationship Id="rId84" Type="http://schemas.openxmlformats.org/officeDocument/2006/relationships/chart" Target="../charts/chart111.xml"/><Relationship Id="rId16" Type="http://schemas.openxmlformats.org/officeDocument/2006/relationships/chart" Target="../charts/chart43.xml"/><Relationship Id="rId107" Type="http://schemas.openxmlformats.org/officeDocument/2006/relationships/chart" Target="../charts/chart134.xml"/><Relationship Id="rId11" Type="http://schemas.openxmlformats.org/officeDocument/2006/relationships/chart" Target="../charts/chart38.xml"/><Relationship Id="rId32" Type="http://schemas.openxmlformats.org/officeDocument/2006/relationships/chart" Target="../charts/chart59.xml"/><Relationship Id="rId37" Type="http://schemas.openxmlformats.org/officeDocument/2006/relationships/chart" Target="../charts/chart64.xml"/><Relationship Id="rId53" Type="http://schemas.openxmlformats.org/officeDocument/2006/relationships/chart" Target="../charts/chart80.xml"/><Relationship Id="rId58" Type="http://schemas.openxmlformats.org/officeDocument/2006/relationships/chart" Target="../charts/chart85.xml"/><Relationship Id="rId74" Type="http://schemas.openxmlformats.org/officeDocument/2006/relationships/chart" Target="../charts/chart101.xml"/><Relationship Id="rId79" Type="http://schemas.openxmlformats.org/officeDocument/2006/relationships/chart" Target="../charts/chart106.xml"/><Relationship Id="rId102" Type="http://schemas.openxmlformats.org/officeDocument/2006/relationships/chart" Target="../charts/chart129.xml"/><Relationship Id="rId123" Type="http://schemas.openxmlformats.org/officeDocument/2006/relationships/chart" Target="../charts/chart150.xml"/><Relationship Id="rId128" Type="http://schemas.openxmlformats.org/officeDocument/2006/relationships/chart" Target="../charts/chart155.xml"/><Relationship Id="rId5" Type="http://schemas.openxmlformats.org/officeDocument/2006/relationships/chart" Target="../charts/chart32.xml"/><Relationship Id="rId90" Type="http://schemas.openxmlformats.org/officeDocument/2006/relationships/chart" Target="../charts/chart117.xml"/><Relationship Id="rId95" Type="http://schemas.openxmlformats.org/officeDocument/2006/relationships/chart" Target="../charts/chart122.xml"/><Relationship Id="rId22" Type="http://schemas.openxmlformats.org/officeDocument/2006/relationships/chart" Target="../charts/chart49.xml"/><Relationship Id="rId27" Type="http://schemas.openxmlformats.org/officeDocument/2006/relationships/chart" Target="../charts/chart54.xml"/><Relationship Id="rId43" Type="http://schemas.openxmlformats.org/officeDocument/2006/relationships/chart" Target="../charts/chart70.xml"/><Relationship Id="rId48" Type="http://schemas.openxmlformats.org/officeDocument/2006/relationships/chart" Target="../charts/chart75.xml"/><Relationship Id="rId64" Type="http://schemas.openxmlformats.org/officeDocument/2006/relationships/chart" Target="../charts/chart91.xml"/><Relationship Id="rId69" Type="http://schemas.openxmlformats.org/officeDocument/2006/relationships/chart" Target="../charts/chart96.xml"/><Relationship Id="rId113" Type="http://schemas.openxmlformats.org/officeDocument/2006/relationships/chart" Target="../charts/chart140.xml"/><Relationship Id="rId118" Type="http://schemas.openxmlformats.org/officeDocument/2006/relationships/chart" Target="../charts/chart145.xml"/><Relationship Id="rId134" Type="http://schemas.openxmlformats.org/officeDocument/2006/relationships/chart" Target="../charts/chart161.xml"/><Relationship Id="rId80" Type="http://schemas.openxmlformats.org/officeDocument/2006/relationships/chart" Target="../charts/chart107.xml"/><Relationship Id="rId85" Type="http://schemas.openxmlformats.org/officeDocument/2006/relationships/chart" Target="../charts/chart112.xml"/><Relationship Id="rId12" Type="http://schemas.openxmlformats.org/officeDocument/2006/relationships/chart" Target="../charts/chart39.xml"/><Relationship Id="rId17" Type="http://schemas.openxmlformats.org/officeDocument/2006/relationships/chart" Target="../charts/chart44.xml"/><Relationship Id="rId33" Type="http://schemas.openxmlformats.org/officeDocument/2006/relationships/chart" Target="../charts/chart60.xml"/><Relationship Id="rId38" Type="http://schemas.openxmlformats.org/officeDocument/2006/relationships/chart" Target="../charts/chart65.xml"/><Relationship Id="rId59" Type="http://schemas.openxmlformats.org/officeDocument/2006/relationships/chart" Target="../charts/chart86.xml"/><Relationship Id="rId103" Type="http://schemas.openxmlformats.org/officeDocument/2006/relationships/chart" Target="../charts/chart130.xml"/><Relationship Id="rId108" Type="http://schemas.openxmlformats.org/officeDocument/2006/relationships/chart" Target="../charts/chart135.xml"/><Relationship Id="rId124" Type="http://schemas.openxmlformats.org/officeDocument/2006/relationships/chart" Target="../charts/chart151.xml"/><Relationship Id="rId129" Type="http://schemas.openxmlformats.org/officeDocument/2006/relationships/chart" Target="../charts/chart156.xml"/><Relationship Id="rId54" Type="http://schemas.openxmlformats.org/officeDocument/2006/relationships/chart" Target="../charts/chart81.xml"/><Relationship Id="rId70" Type="http://schemas.openxmlformats.org/officeDocument/2006/relationships/chart" Target="../charts/chart97.xml"/><Relationship Id="rId75" Type="http://schemas.openxmlformats.org/officeDocument/2006/relationships/chart" Target="../charts/chart102.xml"/><Relationship Id="rId91" Type="http://schemas.openxmlformats.org/officeDocument/2006/relationships/chart" Target="../charts/chart118.xml"/><Relationship Id="rId96" Type="http://schemas.openxmlformats.org/officeDocument/2006/relationships/chart" Target="../charts/chart123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23" Type="http://schemas.openxmlformats.org/officeDocument/2006/relationships/chart" Target="../charts/chart50.xml"/><Relationship Id="rId28" Type="http://schemas.openxmlformats.org/officeDocument/2006/relationships/chart" Target="../charts/chart55.xml"/><Relationship Id="rId49" Type="http://schemas.openxmlformats.org/officeDocument/2006/relationships/chart" Target="../charts/chart76.xml"/><Relationship Id="rId114" Type="http://schemas.openxmlformats.org/officeDocument/2006/relationships/chart" Target="../charts/chart141.xml"/><Relationship Id="rId119" Type="http://schemas.openxmlformats.org/officeDocument/2006/relationships/chart" Target="../charts/chart146.xml"/><Relationship Id="rId44" Type="http://schemas.openxmlformats.org/officeDocument/2006/relationships/chart" Target="../charts/chart71.xml"/><Relationship Id="rId60" Type="http://schemas.openxmlformats.org/officeDocument/2006/relationships/chart" Target="../charts/chart87.xml"/><Relationship Id="rId65" Type="http://schemas.openxmlformats.org/officeDocument/2006/relationships/chart" Target="../charts/chart92.xml"/><Relationship Id="rId81" Type="http://schemas.openxmlformats.org/officeDocument/2006/relationships/chart" Target="../charts/chart108.xml"/><Relationship Id="rId86" Type="http://schemas.openxmlformats.org/officeDocument/2006/relationships/chart" Target="../charts/chart113.xml"/><Relationship Id="rId130" Type="http://schemas.openxmlformats.org/officeDocument/2006/relationships/chart" Target="../charts/chart157.xml"/><Relationship Id="rId135" Type="http://schemas.openxmlformats.org/officeDocument/2006/relationships/chart" Target="../charts/chart162.xml"/><Relationship Id="rId13" Type="http://schemas.openxmlformats.org/officeDocument/2006/relationships/chart" Target="../charts/chart40.xml"/><Relationship Id="rId18" Type="http://schemas.openxmlformats.org/officeDocument/2006/relationships/chart" Target="../charts/chart45.xml"/><Relationship Id="rId39" Type="http://schemas.openxmlformats.org/officeDocument/2006/relationships/chart" Target="../charts/chart66.xml"/><Relationship Id="rId109" Type="http://schemas.openxmlformats.org/officeDocument/2006/relationships/chart" Target="../charts/chart136.xml"/><Relationship Id="rId34" Type="http://schemas.openxmlformats.org/officeDocument/2006/relationships/chart" Target="../charts/chart61.xml"/><Relationship Id="rId50" Type="http://schemas.openxmlformats.org/officeDocument/2006/relationships/chart" Target="../charts/chart77.xml"/><Relationship Id="rId55" Type="http://schemas.openxmlformats.org/officeDocument/2006/relationships/chart" Target="../charts/chart82.xml"/><Relationship Id="rId76" Type="http://schemas.openxmlformats.org/officeDocument/2006/relationships/chart" Target="../charts/chart103.xml"/><Relationship Id="rId97" Type="http://schemas.openxmlformats.org/officeDocument/2006/relationships/chart" Target="../charts/chart124.xml"/><Relationship Id="rId104" Type="http://schemas.openxmlformats.org/officeDocument/2006/relationships/chart" Target="../charts/chart131.xml"/><Relationship Id="rId120" Type="http://schemas.openxmlformats.org/officeDocument/2006/relationships/chart" Target="../charts/chart147.xml"/><Relationship Id="rId125" Type="http://schemas.openxmlformats.org/officeDocument/2006/relationships/chart" Target="../charts/chart152.xml"/><Relationship Id="rId7" Type="http://schemas.openxmlformats.org/officeDocument/2006/relationships/chart" Target="../charts/chart34.xml"/><Relationship Id="rId71" Type="http://schemas.openxmlformats.org/officeDocument/2006/relationships/chart" Target="../charts/chart98.xml"/><Relationship Id="rId92" Type="http://schemas.openxmlformats.org/officeDocument/2006/relationships/chart" Target="../charts/chart119.xml"/><Relationship Id="rId2" Type="http://schemas.openxmlformats.org/officeDocument/2006/relationships/chart" Target="../charts/chart29.xml"/><Relationship Id="rId29" Type="http://schemas.openxmlformats.org/officeDocument/2006/relationships/chart" Target="../charts/chart56.xml"/><Relationship Id="rId24" Type="http://schemas.openxmlformats.org/officeDocument/2006/relationships/chart" Target="../charts/chart51.xml"/><Relationship Id="rId40" Type="http://schemas.openxmlformats.org/officeDocument/2006/relationships/chart" Target="../charts/chart67.xml"/><Relationship Id="rId45" Type="http://schemas.openxmlformats.org/officeDocument/2006/relationships/chart" Target="../charts/chart72.xml"/><Relationship Id="rId66" Type="http://schemas.openxmlformats.org/officeDocument/2006/relationships/chart" Target="../charts/chart93.xml"/><Relationship Id="rId87" Type="http://schemas.openxmlformats.org/officeDocument/2006/relationships/chart" Target="../charts/chart114.xml"/><Relationship Id="rId110" Type="http://schemas.openxmlformats.org/officeDocument/2006/relationships/chart" Target="../charts/chart137.xml"/><Relationship Id="rId115" Type="http://schemas.openxmlformats.org/officeDocument/2006/relationships/chart" Target="../charts/chart142.xml"/><Relationship Id="rId131" Type="http://schemas.openxmlformats.org/officeDocument/2006/relationships/chart" Target="../charts/chart158.xml"/><Relationship Id="rId136" Type="http://schemas.openxmlformats.org/officeDocument/2006/relationships/chart" Target="../charts/chart163.xml"/><Relationship Id="rId61" Type="http://schemas.openxmlformats.org/officeDocument/2006/relationships/chart" Target="../charts/chart88.xml"/><Relationship Id="rId82" Type="http://schemas.openxmlformats.org/officeDocument/2006/relationships/chart" Target="../charts/chart109.xml"/><Relationship Id="rId19" Type="http://schemas.openxmlformats.org/officeDocument/2006/relationships/chart" Target="../charts/chart46.xml"/><Relationship Id="rId14" Type="http://schemas.openxmlformats.org/officeDocument/2006/relationships/chart" Target="../charts/chart41.xml"/><Relationship Id="rId30" Type="http://schemas.openxmlformats.org/officeDocument/2006/relationships/chart" Target="../charts/chart57.xml"/><Relationship Id="rId35" Type="http://schemas.openxmlformats.org/officeDocument/2006/relationships/chart" Target="../charts/chart62.xml"/><Relationship Id="rId56" Type="http://schemas.openxmlformats.org/officeDocument/2006/relationships/chart" Target="../charts/chart83.xml"/><Relationship Id="rId77" Type="http://schemas.openxmlformats.org/officeDocument/2006/relationships/chart" Target="../charts/chart104.xml"/><Relationship Id="rId100" Type="http://schemas.openxmlformats.org/officeDocument/2006/relationships/chart" Target="../charts/chart127.xml"/><Relationship Id="rId105" Type="http://schemas.openxmlformats.org/officeDocument/2006/relationships/chart" Target="../charts/chart132.xml"/><Relationship Id="rId126" Type="http://schemas.openxmlformats.org/officeDocument/2006/relationships/chart" Target="../charts/chart153.xml"/><Relationship Id="rId8" Type="http://schemas.openxmlformats.org/officeDocument/2006/relationships/chart" Target="../charts/chart35.xml"/><Relationship Id="rId51" Type="http://schemas.openxmlformats.org/officeDocument/2006/relationships/chart" Target="../charts/chart78.xml"/><Relationship Id="rId72" Type="http://schemas.openxmlformats.org/officeDocument/2006/relationships/chart" Target="../charts/chart99.xml"/><Relationship Id="rId93" Type="http://schemas.openxmlformats.org/officeDocument/2006/relationships/chart" Target="../charts/chart120.xml"/><Relationship Id="rId98" Type="http://schemas.openxmlformats.org/officeDocument/2006/relationships/chart" Target="../charts/chart125.xml"/><Relationship Id="rId121" Type="http://schemas.openxmlformats.org/officeDocument/2006/relationships/chart" Target="../charts/chart148.xml"/><Relationship Id="rId3" Type="http://schemas.openxmlformats.org/officeDocument/2006/relationships/chart" Target="../charts/chart30.xml"/><Relationship Id="rId25" Type="http://schemas.openxmlformats.org/officeDocument/2006/relationships/chart" Target="../charts/chart52.xml"/><Relationship Id="rId46" Type="http://schemas.openxmlformats.org/officeDocument/2006/relationships/chart" Target="../charts/chart73.xml"/><Relationship Id="rId67" Type="http://schemas.openxmlformats.org/officeDocument/2006/relationships/chart" Target="../charts/chart94.xml"/><Relationship Id="rId116" Type="http://schemas.openxmlformats.org/officeDocument/2006/relationships/chart" Target="../charts/chart143.xml"/><Relationship Id="rId20" Type="http://schemas.openxmlformats.org/officeDocument/2006/relationships/chart" Target="../charts/chart47.xml"/><Relationship Id="rId41" Type="http://schemas.openxmlformats.org/officeDocument/2006/relationships/chart" Target="../charts/chart68.xml"/><Relationship Id="rId62" Type="http://schemas.openxmlformats.org/officeDocument/2006/relationships/chart" Target="../charts/chart89.xml"/><Relationship Id="rId83" Type="http://schemas.openxmlformats.org/officeDocument/2006/relationships/chart" Target="../charts/chart110.xml"/><Relationship Id="rId88" Type="http://schemas.openxmlformats.org/officeDocument/2006/relationships/chart" Target="../charts/chart115.xml"/><Relationship Id="rId111" Type="http://schemas.openxmlformats.org/officeDocument/2006/relationships/chart" Target="../charts/chart138.xml"/><Relationship Id="rId132" Type="http://schemas.openxmlformats.org/officeDocument/2006/relationships/chart" Target="../charts/chart159.xml"/><Relationship Id="rId15" Type="http://schemas.openxmlformats.org/officeDocument/2006/relationships/chart" Target="../charts/chart42.xml"/><Relationship Id="rId36" Type="http://schemas.openxmlformats.org/officeDocument/2006/relationships/chart" Target="../charts/chart63.xml"/><Relationship Id="rId57" Type="http://schemas.openxmlformats.org/officeDocument/2006/relationships/chart" Target="../charts/chart84.xml"/><Relationship Id="rId106" Type="http://schemas.openxmlformats.org/officeDocument/2006/relationships/chart" Target="../charts/chart133.xml"/><Relationship Id="rId127" Type="http://schemas.openxmlformats.org/officeDocument/2006/relationships/chart" Target="../charts/chart154.xml"/><Relationship Id="rId10" Type="http://schemas.openxmlformats.org/officeDocument/2006/relationships/chart" Target="../charts/chart37.xml"/><Relationship Id="rId31" Type="http://schemas.openxmlformats.org/officeDocument/2006/relationships/chart" Target="../charts/chart58.xml"/><Relationship Id="rId52" Type="http://schemas.openxmlformats.org/officeDocument/2006/relationships/chart" Target="../charts/chart79.xml"/><Relationship Id="rId73" Type="http://schemas.openxmlformats.org/officeDocument/2006/relationships/chart" Target="../charts/chart100.xml"/><Relationship Id="rId78" Type="http://schemas.openxmlformats.org/officeDocument/2006/relationships/chart" Target="../charts/chart105.xml"/><Relationship Id="rId94" Type="http://schemas.openxmlformats.org/officeDocument/2006/relationships/chart" Target="../charts/chart121.xml"/><Relationship Id="rId99" Type="http://schemas.openxmlformats.org/officeDocument/2006/relationships/chart" Target="../charts/chart126.xml"/><Relationship Id="rId101" Type="http://schemas.openxmlformats.org/officeDocument/2006/relationships/chart" Target="../charts/chart128.xml"/><Relationship Id="rId122" Type="http://schemas.openxmlformats.org/officeDocument/2006/relationships/chart" Target="../charts/chart149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26" Type="http://schemas.openxmlformats.org/officeDocument/2006/relationships/chart" Target="../charts/chart53.xml"/><Relationship Id="rId47" Type="http://schemas.openxmlformats.org/officeDocument/2006/relationships/chart" Target="../charts/chart74.xml"/><Relationship Id="rId68" Type="http://schemas.openxmlformats.org/officeDocument/2006/relationships/chart" Target="../charts/chart95.xml"/><Relationship Id="rId89" Type="http://schemas.openxmlformats.org/officeDocument/2006/relationships/chart" Target="../charts/chart116.xml"/><Relationship Id="rId112" Type="http://schemas.openxmlformats.org/officeDocument/2006/relationships/chart" Target="../charts/chart139.xml"/><Relationship Id="rId133" Type="http://schemas.openxmlformats.org/officeDocument/2006/relationships/chart" Target="../charts/chart16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8</xdr:row>
      <xdr:rowOff>0</xdr:rowOff>
    </xdr:from>
    <xdr:to>
      <xdr:col>24</xdr:col>
      <xdr:colOff>104400</xdr:colOff>
      <xdr:row>16</xdr:row>
      <xdr:rowOff>95040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26</xdr:row>
      <xdr:rowOff>0</xdr:rowOff>
    </xdr:from>
    <xdr:to>
      <xdr:col>24</xdr:col>
      <xdr:colOff>104400</xdr:colOff>
      <xdr:row>34</xdr:row>
      <xdr:rowOff>95040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44</xdr:row>
      <xdr:rowOff>0</xdr:rowOff>
    </xdr:from>
    <xdr:to>
      <xdr:col>24</xdr:col>
      <xdr:colOff>104400</xdr:colOff>
      <xdr:row>52</xdr:row>
      <xdr:rowOff>95040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62</xdr:row>
      <xdr:rowOff>0</xdr:rowOff>
    </xdr:from>
    <xdr:to>
      <xdr:col>24</xdr:col>
      <xdr:colOff>104400</xdr:colOff>
      <xdr:row>70</xdr:row>
      <xdr:rowOff>95040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81</xdr:row>
      <xdr:rowOff>0</xdr:rowOff>
    </xdr:from>
    <xdr:to>
      <xdr:col>24</xdr:col>
      <xdr:colOff>104400</xdr:colOff>
      <xdr:row>89</xdr:row>
      <xdr:rowOff>95400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99</xdr:row>
      <xdr:rowOff>0</xdr:rowOff>
    </xdr:from>
    <xdr:to>
      <xdr:col>24</xdr:col>
      <xdr:colOff>104400</xdr:colOff>
      <xdr:row>107</xdr:row>
      <xdr:rowOff>95400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0</xdr:colOff>
      <xdr:row>117</xdr:row>
      <xdr:rowOff>0</xdr:rowOff>
    </xdr:from>
    <xdr:to>
      <xdr:col>24</xdr:col>
      <xdr:colOff>104400</xdr:colOff>
      <xdr:row>125</xdr:row>
      <xdr:rowOff>95400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17</xdr:col>
      <xdr:colOff>0</xdr:colOff>
      <xdr:row>135</xdr:row>
      <xdr:rowOff>0</xdr:rowOff>
    </xdr:from>
    <xdr:to>
      <xdr:col>24</xdr:col>
      <xdr:colOff>104400</xdr:colOff>
      <xdr:row>143</xdr:row>
      <xdr:rowOff>95400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0</xdr:colOff>
      <xdr:row>154</xdr:row>
      <xdr:rowOff>0</xdr:rowOff>
    </xdr:from>
    <xdr:to>
      <xdr:col>24</xdr:col>
      <xdr:colOff>104400</xdr:colOff>
      <xdr:row>162</xdr:row>
      <xdr:rowOff>95400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17</xdr:col>
      <xdr:colOff>0</xdr:colOff>
      <xdr:row>172</xdr:row>
      <xdr:rowOff>0</xdr:rowOff>
    </xdr:from>
    <xdr:to>
      <xdr:col>24</xdr:col>
      <xdr:colOff>104400</xdr:colOff>
      <xdr:row>180</xdr:row>
      <xdr:rowOff>95400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0</xdr:colOff>
      <xdr:row>190</xdr:row>
      <xdr:rowOff>0</xdr:rowOff>
    </xdr:from>
    <xdr:to>
      <xdr:col>24</xdr:col>
      <xdr:colOff>104400</xdr:colOff>
      <xdr:row>198</xdr:row>
      <xdr:rowOff>95400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17</xdr:col>
      <xdr:colOff>0</xdr:colOff>
      <xdr:row>208</xdr:row>
      <xdr:rowOff>0</xdr:rowOff>
    </xdr:from>
    <xdr:to>
      <xdr:col>24</xdr:col>
      <xdr:colOff>104400</xdr:colOff>
      <xdr:row>216</xdr:row>
      <xdr:rowOff>95400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17</xdr:col>
      <xdr:colOff>0</xdr:colOff>
      <xdr:row>226</xdr:row>
      <xdr:rowOff>0</xdr:rowOff>
    </xdr:from>
    <xdr:to>
      <xdr:col>24</xdr:col>
      <xdr:colOff>104400</xdr:colOff>
      <xdr:row>234</xdr:row>
      <xdr:rowOff>95400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17</xdr:col>
      <xdr:colOff>0</xdr:colOff>
      <xdr:row>244</xdr:row>
      <xdr:rowOff>0</xdr:rowOff>
    </xdr:from>
    <xdr:to>
      <xdr:col>24</xdr:col>
      <xdr:colOff>104400</xdr:colOff>
      <xdr:row>252</xdr:row>
      <xdr:rowOff>95400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17</xdr:col>
      <xdr:colOff>0</xdr:colOff>
      <xdr:row>262</xdr:row>
      <xdr:rowOff>0</xdr:rowOff>
    </xdr:from>
    <xdr:to>
      <xdr:col>24</xdr:col>
      <xdr:colOff>104400</xdr:colOff>
      <xdr:row>270</xdr:row>
      <xdr:rowOff>95400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17</xdr:col>
      <xdr:colOff>0</xdr:colOff>
      <xdr:row>280</xdr:row>
      <xdr:rowOff>0</xdr:rowOff>
    </xdr:from>
    <xdr:to>
      <xdr:col>24</xdr:col>
      <xdr:colOff>104400</xdr:colOff>
      <xdr:row>288</xdr:row>
      <xdr:rowOff>95400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17</xdr:col>
      <xdr:colOff>0</xdr:colOff>
      <xdr:row>298</xdr:row>
      <xdr:rowOff>0</xdr:rowOff>
    </xdr:from>
    <xdr:to>
      <xdr:col>24</xdr:col>
      <xdr:colOff>104400</xdr:colOff>
      <xdr:row>306</xdr:row>
      <xdr:rowOff>95400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17</xdr:col>
      <xdr:colOff>0</xdr:colOff>
      <xdr:row>316</xdr:row>
      <xdr:rowOff>0</xdr:rowOff>
    </xdr:from>
    <xdr:to>
      <xdr:col>24</xdr:col>
      <xdr:colOff>104400</xdr:colOff>
      <xdr:row>324</xdr:row>
      <xdr:rowOff>95400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17</xdr:col>
      <xdr:colOff>0</xdr:colOff>
      <xdr:row>334</xdr:row>
      <xdr:rowOff>0</xdr:rowOff>
    </xdr:from>
    <xdr:to>
      <xdr:col>24</xdr:col>
      <xdr:colOff>104400</xdr:colOff>
      <xdr:row>342</xdr:row>
      <xdr:rowOff>95400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17</xdr:col>
      <xdr:colOff>0</xdr:colOff>
      <xdr:row>352</xdr:row>
      <xdr:rowOff>0</xdr:rowOff>
    </xdr:from>
    <xdr:to>
      <xdr:col>24</xdr:col>
      <xdr:colOff>104400</xdr:colOff>
      <xdr:row>360</xdr:row>
      <xdr:rowOff>95400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17</xdr:col>
      <xdr:colOff>0</xdr:colOff>
      <xdr:row>370</xdr:row>
      <xdr:rowOff>0</xdr:rowOff>
    </xdr:from>
    <xdr:to>
      <xdr:col>24</xdr:col>
      <xdr:colOff>104400</xdr:colOff>
      <xdr:row>378</xdr:row>
      <xdr:rowOff>95400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17</xdr:col>
      <xdr:colOff>0</xdr:colOff>
      <xdr:row>388</xdr:row>
      <xdr:rowOff>0</xdr:rowOff>
    </xdr:from>
    <xdr:to>
      <xdr:col>24</xdr:col>
      <xdr:colOff>104400</xdr:colOff>
      <xdr:row>396</xdr:row>
      <xdr:rowOff>95400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17</xdr:col>
      <xdr:colOff>0</xdr:colOff>
      <xdr:row>407</xdr:row>
      <xdr:rowOff>0</xdr:rowOff>
    </xdr:from>
    <xdr:to>
      <xdr:col>24</xdr:col>
      <xdr:colOff>104400</xdr:colOff>
      <xdr:row>415</xdr:row>
      <xdr:rowOff>95400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17</xdr:col>
      <xdr:colOff>0</xdr:colOff>
      <xdr:row>425</xdr:row>
      <xdr:rowOff>0</xdr:rowOff>
    </xdr:from>
    <xdr:to>
      <xdr:col>24</xdr:col>
      <xdr:colOff>104400</xdr:colOff>
      <xdr:row>433</xdr:row>
      <xdr:rowOff>95400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17</xdr:col>
      <xdr:colOff>0</xdr:colOff>
      <xdr:row>443</xdr:row>
      <xdr:rowOff>0</xdr:rowOff>
    </xdr:from>
    <xdr:to>
      <xdr:col>24</xdr:col>
      <xdr:colOff>104400</xdr:colOff>
      <xdr:row>451</xdr:row>
      <xdr:rowOff>95400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17</xdr:col>
      <xdr:colOff>0</xdr:colOff>
      <xdr:row>461</xdr:row>
      <xdr:rowOff>0</xdr:rowOff>
    </xdr:from>
    <xdr:to>
      <xdr:col>24</xdr:col>
      <xdr:colOff>104400</xdr:colOff>
      <xdr:row>469</xdr:row>
      <xdr:rowOff>95400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17</xdr:col>
      <xdr:colOff>0</xdr:colOff>
      <xdr:row>479</xdr:row>
      <xdr:rowOff>0</xdr:rowOff>
    </xdr:from>
    <xdr:to>
      <xdr:col>24</xdr:col>
      <xdr:colOff>104400</xdr:colOff>
      <xdr:row>487</xdr:row>
      <xdr:rowOff>95400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9</xdr:row>
      <xdr:rowOff>0</xdr:rowOff>
    </xdr:from>
    <xdr:to>
      <xdr:col>22</xdr:col>
      <xdr:colOff>221040</xdr:colOff>
      <xdr:row>17</xdr:row>
      <xdr:rowOff>95760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23</xdr:row>
      <xdr:rowOff>0</xdr:rowOff>
    </xdr:from>
    <xdr:to>
      <xdr:col>22</xdr:col>
      <xdr:colOff>221040</xdr:colOff>
      <xdr:row>31</xdr:row>
      <xdr:rowOff>95760</xdr:rowOff>
    </xdr:to>
    <xdr:graphicFrame macro="">
      <xdr:nvGraphicFramePr>
        <xdr:cNvPr id="28" name="Chart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37</xdr:row>
      <xdr:rowOff>0</xdr:rowOff>
    </xdr:from>
    <xdr:to>
      <xdr:col>22</xdr:col>
      <xdr:colOff>221040</xdr:colOff>
      <xdr:row>45</xdr:row>
      <xdr:rowOff>95400</xdr:rowOff>
    </xdr:to>
    <xdr:graphicFrame macro="">
      <xdr:nvGraphicFramePr>
        <xdr:cNvPr id="29" name="Chart 3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51</xdr:row>
      <xdr:rowOff>0</xdr:rowOff>
    </xdr:from>
    <xdr:to>
      <xdr:col>22</xdr:col>
      <xdr:colOff>221040</xdr:colOff>
      <xdr:row>59</xdr:row>
      <xdr:rowOff>95760</xdr:rowOff>
    </xdr:to>
    <xdr:graphicFrame macro="">
      <xdr:nvGraphicFramePr>
        <xdr:cNvPr id="30" name="Chart 4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65</xdr:row>
      <xdr:rowOff>0</xdr:rowOff>
    </xdr:from>
    <xdr:to>
      <xdr:col>22</xdr:col>
      <xdr:colOff>221040</xdr:colOff>
      <xdr:row>73</xdr:row>
      <xdr:rowOff>95760</xdr:rowOff>
    </xdr:to>
    <xdr:graphicFrame macro="">
      <xdr:nvGraphicFramePr>
        <xdr:cNvPr id="31" name="Chart 5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17</xdr:col>
      <xdr:colOff>0</xdr:colOff>
      <xdr:row>79</xdr:row>
      <xdr:rowOff>0</xdr:rowOff>
    </xdr:from>
    <xdr:to>
      <xdr:col>22</xdr:col>
      <xdr:colOff>221040</xdr:colOff>
      <xdr:row>87</xdr:row>
      <xdr:rowOff>95400</xdr:rowOff>
    </xdr:to>
    <xdr:graphicFrame macro="">
      <xdr:nvGraphicFramePr>
        <xdr:cNvPr id="32" name="Chart 6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0</xdr:colOff>
      <xdr:row>93</xdr:row>
      <xdr:rowOff>0</xdr:rowOff>
    </xdr:from>
    <xdr:to>
      <xdr:col>22</xdr:col>
      <xdr:colOff>221040</xdr:colOff>
      <xdr:row>101</xdr:row>
      <xdr:rowOff>95760</xdr:rowOff>
    </xdr:to>
    <xdr:graphicFrame macro="">
      <xdr:nvGraphicFramePr>
        <xdr:cNvPr id="33" name="Chart 7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17</xdr:col>
      <xdr:colOff>0</xdr:colOff>
      <xdr:row>107</xdr:row>
      <xdr:rowOff>0</xdr:rowOff>
    </xdr:from>
    <xdr:to>
      <xdr:col>22</xdr:col>
      <xdr:colOff>221040</xdr:colOff>
      <xdr:row>115</xdr:row>
      <xdr:rowOff>95760</xdr:rowOff>
    </xdr:to>
    <xdr:graphicFrame macro="">
      <xdr:nvGraphicFramePr>
        <xdr:cNvPr id="34" name="Chart 8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0</xdr:colOff>
      <xdr:row>121</xdr:row>
      <xdr:rowOff>0</xdr:rowOff>
    </xdr:from>
    <xdr:to>
      <xdr:col>22</xdr:col>
      <xdr:colOff>221040</xdr:colOff>
      <xdr:row>129</xdr:row>
      <xdr:rowOff>95400</xdr:rowOff>
    </xdr:to>
    <xdr:graphicFrame macro="">
      <xdr:nvGraphicFramePr>
        <xdr:cNvPr id="35" name="Chart 9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17</xdr:col>
      <xdr:colOff>0</xdr:colOff>
      <xdr:row>135</xdr:row>
      <xdr:rowOff>0</xdr:rowOff>
    </xdr:from>
    <xdr:to>
      <xdr:col>22</xdr:col>
      <xdr:colOff>221040</xdr:colOff>
      <xdr:row>143</xdr:row>
      <xdr:rowOff>95760</xdr:rowOff>
    </xdr:to>
    <xdr:graphicFrame macro="">
      <xdr:nvGraphicFramePr>
        <xdr:cNvPr id="36" name="Chart 10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0</xdr:colOff>
      <xdr:row>149</xdr:row>
      <xdr:rowOff>0</xdr:rowOff>
    </xdr:from>
    <xdr:to>
      <xdr:col>22</xdr:col>
      <xdr:colOff>221040</xdr:colOff>
      <xdr:row>157</xdr:row>
      <xdr:rowOff>95760</xdr:rowOff>
    </xdr:to>
    <xdr:graphicFrame macro="">
      <xdr:nvGraphicFramePr>
        <xdr:cNvPr id="37" name="Chart 1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17</xdr:col>
      <xdr:colOff>0</xdr:colOff>
      <xdr:row>163</xdr:row>
      <xdr:rowOff>0</xdr:rowOff>
    </xdr:from>
    <xdr:to>
      <xdr:col>22</xdr:col>
      <xdr:colOff>221040</xdr:colOff>
      <xdr:row>171</xdr:row>
      <xdr:rowOff>95400</xdr:rowOff>
    </xdr:to>
    <xdr:graphicFrame macro="">
      <xdr:nvGraphicFramePr>
        <xdr:cNvPr id="38" name="Chart 1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17</xdr:col>
      <xdr:colOff>0</xdr:colOff>
      <xdr:row>177</xdr:row>
      <xdr:rowOff>0</xdr:rowOff>
    </xdr:from>
    <xdr:to>
      <xdr:col>22</xdr:col>
      <xdr:colOff>221040</xdr:colOff>
      <xdr:row>185</xdr:row>
      <xdr:rowOff>95760</xdr:rowOff>
    </xdr:to>
    <xdr:graphicFrame macro="">
      <xdr:nvGraphicFramePr>
        <xdr:cNvPr id="39" name="Chart 13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17</xdr:col>
      <xdr:colOff>0</xdr:colOff>
      <xdr:row>191</xdr:row>
      <xdr:rowOff>0</xdr:rowOff>
    </xdr:from>
    <xdr:to>
      <xdr:col>22</xdr:col>
      <xdr:colOff>221040</xdr:colOff>
      <xdr:row>199</xdr:row>
      <xdr:rowOff>95760</xdr:rowOff>
    </xdr:to>
    <xdr:graphicFrame macro="">
      <xdr:nvGraphicFramePr>
        <xdr:cNvPr id="40" name="Chart 14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17</xdr:col>
      <xdr:colOff>0</xdr:colOff>
      <xdr:row>205</xdr:row>
      <xdr:rowOff>0</xdr:rowOff>
    </xdr:from>
    <xdr:to>
      <xdr:col>22</xdr:col>
      <xdr:colOff>221040</xdr:colOff>
      <xdr:row>213</xdr:row>
      <xdr:rowOff>95400</xdr:rowOff>
    </xdr:to>
    <xdr:graphicFrame macro="">
      <xdr:nvGraphicFramePr>
        <xdr:cNvPr id="41" name="Chart 15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17</xdr:col>
      <xdr:colOff>0</xdr:colOff>
      <xdr:row>224</xdr:row>
      <xdr:rowOff>0</xdr:rowOff>
    </xdr:from>
    <xdr:to>
      <xdr:col>22</xdr:col>
      <xdr:colOff>221040</xdr:colOff>
      <xdr:row>232</xdr:row>
      <xdr:rowOff>95400</xdr:rowOff>
    </xdr:to>
    <xdr:graphicFrame macro="">
      <xdr:nvGraphicFramePr>
        <xdr:cNvPr id="42" name="Chart 16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17</xdr:col>
      <xdr:colOff>0</xdr:colOff>
      <xdr:row>238</xdr:row>
      <xdr:rowOff>0</xdr:rowOff>
    </xdr:from>
    <xdr:to>
      <xdr:col>22</xdr:col>
      <xdr:colOff>221040</xdr:colOff>
      <xdr:row>246</xdr:row>
      <xdr:rowOff>95760</xdr:rowOff>
    </xdr:to>
    <xdr:graphicFrame macro="">
      <xdr:nvGraphicFramePr>
        <xdr:cNvPr id="43" name="Chart 17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17</xdr:col>
      <xdr:colOff>0</xdr:colOff>
      <xdr:row>252</xdr:row>
      <xdr:rowOff>0</xdr:rowOff>
    </xdr:from>
    <xdr:to>
      <xdr:col>22</xdr:col>
      <xdr:colOff>221040</xdr:colOff>
      <xdr:row>260</xdr:row>
      <xdr:rowOff>95760</xdr:rowOff>
    </xdr:to>
    <xdr:graphicFrame macro="">
      <xdr:nvGraphicFramePr>
        <xdr:cNvPr id="44" name="Chart 18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17</xdr:col>
      <xdr:colOff>0</xdr:colOff>
      <xdr:row>271</xdr:row>
      <xdr:rowOff>0</xdr:rowOff>
    </xdr:from>
    <xdr:to>
      <xdr:col>22</xdr:col>
      <xdr:colOff>221040</xdr:colOff>
      <xdr:row>279</xdr:row>
      <xdr:rowOff>95400</xdr:rowOff>
    </xdr:to>
    <xdr:graphicFrame macro="">
      <xdr:nvGraphicFramePr>
        <xdr:cNvPr id="45" name="Chart 19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17</xdr:col>
      <xdr:colOff>0</xdr:colOff>
      <xdr:row>290</xdr:row>
      <xdr:rowOff>0</xdr:rowOff>
    </xdr:from>
    <xdr:to>
      <xdr:col>22</xdr:col>
      <xdr:colOff>221040</xdr:colOff>
      <xdr:row>298</xdr:row>
      <xdr:rowOff>95400</xdr:rowOff>
    </xdr:to>
    <xdr:graphicFrame macro="">
      <xdr:nvGraphicFramePr>
        <xdr:cNvPr id="46" name="Chart 20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17</xdr:col>
      <xdr:colOff>0</xdr:colOff>
      <xdr:row>309</xdr:row>
      <xdr:rowOff>0</xdr:rowOff>
    </xdr:from>
    <xdr:to>
      <xdr:col>22</xdr:col>
      <xdr:colOff>221040</xdr:colOff>
      <xdr:row>317</xdr:row>
      <xdr:rowOff>95760</xdr:rowOff>
    </xdr:to>
    <xdr:graphicFrame macro="">
      <xdr:nvGraphicFramePr>
        <xdr:cNvPr id="47" name="Chart 21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17</xdr:col>
      <xdr:colOff>0</xdr:colOff>
      <xdr:row>323</xdr:row>
      <xdr:rowOff>0</xdr:rowOff>
    </xdr:from>
    <xdr:to>
      <xdr:col>22</xdr:col>
      <xdr:colOff>221040</xdr:colOff>
      <xdr:row>331</xdr:row>
      <xdr:rowOff>95760</xdr:rowOff>
    </xdr:to>
    <xdr:graphicFrame macro="">
      <xdr:nvGraphicFramePr>
        <xdr:cNvPr id="48" name="Chart 2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17</xdr:col>
      <xdr:colOff>0</xdr:colOff>
      <xdr:row>342</xdr:row>
      <xdr:rowOff>0</xdr:rowOff>
    </xdr:from>
    <xdr:to>
      <xdr:col>22</xdr:col>
      <xdr:colOff>221040</xdr:colOff>
      <xdr:row>350</xdr:row>
      <xdr:rowOff>95760</xdr:rowOff>
    </xdr:to>
    <xdr:graphicFrame macro="">
      <xdr:nvGraphicFramePr>
        <xdr:cNvPr id="49" name="Chart 23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17</xdr:col>
      <xdr:colOff>0</xdr:colOff>
      <xdr:row>361</xdr:row>
      <xdr:rowOff>0</xdr:rowOff>
    </xdr:from>
    <xdr:to>
      <xdr:col>22</xdr:col>
      <xdr:colOff>221040</xdr:colOff>
      <xdr:row>369</xdr:row>
      <xdr:rowOff>95400</xdr:rowOff>
    </xdr:to>
    <xdr:graphicFrame macro="">
      <xdr:nvGraphicFramePr>
        <xdr:cNvPr id="50" name="Chart 24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17</xdr:col>
      <xdr:colOff>0</xdr:colOff>
      <xdr:row>380</xdr:row>
      <xdr:rowOff>0</xdr:rowOff>
    </xdr:from>
    <xdr:to>
      <xdr:col>22</xdr:col>
      <xdr:colOff>221040</xdr:colOff>
      <xdr:row>388</xdr:row>
      <xdr:rowOff>95400</xdr:rowOff>
    </xdr:to>
    <xdr:graphicFrame macro="">
      <xdr:nvGraphicFramePr>
        <xdr:cNvPr id="51" name="Chart 25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17</xdr:col>
      <xdr:colOff>0</xdr:colOff>
      <xdr:row>394</xdr:row>
      <xdr:rowOff>0</xdr:rowOff>
    </xdr:from>
    <xdr:to>
      <xdr:col>22</xdr:col>
      <xdr:colOff>221040</xdr:colOff>
      <xdr:row>402</xdr:row>
      <xdr:rowOff>95760</xdr:rowOff>
    </xdr:to>
    <xdr:graphicFrame macro="">
      <xdr:nvGraphicFramePr>
        <xdr:cNvPr id="52" name="Chart 26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17</xdr:col>
      <xdr:colOff>0</xdr:colOff>
      <xdr:row>413</xdr:row>
      <xdr:rowOff>0</xdr:rowOff>
    </xdr:from>
    <xdr:to>
      <xdr:col>22</xdr:col>
      <xdr:colOff>221040</xdr:colOff>
      <xdr:row>421</xdr:row>
      <xdr:rowOff>95760</xdr:rowOff>
    </xdr:to>
    <xdr:graphicFrame macro="">
      <xdr:nvGraphicFramePr>
        <xdr:cNvPr id="53" name="Chart 27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17</xdr:col>
      <xdr:colOff>0</xdr:colOff>
      <xdr:row>432</xdr:row>
      <xdr:rowOff>0</xdr:rowOff>
    </xdr:from>
    <xdr:to>
      <xdr:col>22</xdr:col>
      <xdr:colOff>221040</xdr:colOff>
      <xdr:row>440</xdr:row>
      <xdr:rowOff>95760</xdr:rowOff>
    </xdr:to>
    <xdr:graphicFrame macro="">
      <xdr:nvGraphicFramePr>
        <xdr:cNvPr id="54" name="Chart 28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17</xdr:col>
      <xdr:colOff>0</xdr:colOff>
      <xdr:row>451</xdr:row>
      <xdr:rowOff>0</xdr:rowOff>
    </xdr:from>
    <xdr:to>
      <xdr:col>22</xdr:col>
      <xdr:colOff>221040</xdr:colOff>
      <xdr:row>459</xdr:row>
      <xdr:rowOff>95400</xdr:rowOff>
    </xdr:to>
    <xdr:graphicFrame macro="">
      <xdr:nvGraphicFramePr>
        <xdr:cNvPr id="55" name="Chart 29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17</xdr:col>
      <xdr:colOff>0</xdr:colOff>
      <xdr:row>470</xdr:row>
      <xdr:rowOff>0</xdr:rowOff>
    </xdr:from>
    <xdr:to>
      <xdr:col>22</xdr:col>
      <xdr:colOff>221040</xdr:colOff>
      <xdr:row>478</xdr:row>
      <xdr:rowOff>95400</xdr:rowOff>
    </xdr:to>
    <xdr:graphicFrame macro="">
      <xdr:nvGraphicFramePr>
        <xdr:cNvPr id="56" name="Chart 30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17</xdr:col>
      <xdr:colOff>0</xdr:colOff>
      <xdr:row>489</xdr:row>
      <xdr:rowOff>0</xdr:rowOff>
    </xdr:from>
    <xdr:to>
      <xdr:col>22</xdr:col>
      <xdr:colOff>221040</xdr:colOff>
      <xdr:row>497</xdr:row>
      <xdr:rowOff>95760</xdr:rowOff>
    </xdr:to>
    <xdr:graphicFrame macro="">
      <xdr:nvGraphicFramePr>
        <xdr:cNvPr id="57" name="Chart 3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17</xdr:col>
      <xdr:colOff>0</xdr:colOff>
      <xdr:row>508</xdr:row>
      <xdr:rowOff>0</xdr:rowOff>
    </xdr:from>
    <xdr:to>
      <xdr:col>22</xdr:col>
      <xdr:colOff>221040</xdr:colOff>
      <xdr:row>516</xdr:row>
      <xdr:rowOff>95760</xdr:rowOff>
    </xdr:to>
    <xdr:graphicFrame macro="">
      <xdr:nvGraphicFramePr>
        <xdr:cNvPr id="58" name="Chart 32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17</xdr:col>
      <xdr:colOff>0</xdr:colOff>
      <xdr:row>527</xdr:row>
      <xdr:rowOff>0</xdr:rowOff>
    </xdr:from>
    <xdr:to>
      <xdr:col>22</xdr:col>
      <xdr:colOff>221040</xdr:colOff>
      <xdr:row>535</xdr:row>
      <xdr:rowOff>95760</xdr:rowOff>
    </xdr:to>
    <xdr:graphicFrame macro="">
      <xdr:nvGraphicFramePr>
        <xdr:cNvPr id="59" name="Chart 33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17</xdr:col>
      <xdr:colOff>0</xdr:colOff>
      <xdr:row>546</xdr:row>
      <xdr:rowOff>0</xdr:rowOff>
    </xdr:from>
    <xdr:to>
      <xdr:col>22</xdr:col>
      <xdr:colOff>221040</xdr:colOff>
      <xdr:row>554</xdr:row>
      <xdr:rowOff>95760</xdr:rowOff>
    </xdr:to>
    <xdr:graphicFrame macro="">
      <xdr:nvGraphicFramePr>
        <xdr:cNvPr id="60" name="Chart 34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17</xdr:col>
      <xdr:colOff>0</xdr:colOff>
      <xdr:row>565</xdr:row>
      <xdr:rowOff>0</xdr:rowOff>
    </xdr:from>
    <xdr:to>
      <xdr:col>22</xdr:col>
      <xdr:colOff>221040</xdr:colOff>
      <xdr:row>573</xdr:row>
      <xdr:rowOff>95400</xdr:rowOff>
    </xdr:to>
    <xdr:graphicFrame macro="">
      <xdr:nvGraphicFramePr>
        <xdr:cNvPr id="61" name="Chart 35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17</xdr:col>
      <xdr:colOff>0</xdr:colOff>
      <xdr:row>584</xdr:row>
      <xdr:rowOff>0</xdr:rowOff>
    </xdr:from>
    <xdr:to>
      <xdr:col>22</xdr:col>
      <xdr:colOff>221040</xdr:colOff>
      <xdr:row>592</xdr:row>
      <xdr:rowOff>95400</xdr:rowOff>
    </xdr:to>
    <xdr:graphicFrame macro="">
      <xdr:nvGraphicFramePr>
        <xdr:cNvPr id="62" name="Chart 36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17</xdr:col>
      <xdr:colOff>0</xdr:colOff>
      <xdr:row>598</xdr:row>
      <xdr:rowOff>0</xdr:rowOff>
    </xdr:from>
    <xdr:to>
      <xdr:col>22</xdr:col>
      <xdr:colOff>221040</xdr:colOff>
      <xdr:row>606</xdr:row>
      <xdr:rowOff>95760</xdr:rowOff>
    </xdr:to>
    <xdr:graphicFrame macro="">
      <xdr:nvGraphicFramePr>
        <xdr:cNvPr id="63" name="Chart 37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17</xdr:col>
      <xdr:colOff>0</xdr:colOff>
      <xdr:row>617</xdr:row>
      <xdr:rowOff>0</xdr:rowOff>
    </xdr:from>
    <xdr:to>
      <xdr:col>22</xdr:col>
      <xdr:colOff>221040</xdr:colOff>
      <xdr:row>625</xdr:row>
      <xdr:rowOff>95760</xdr:rowOff>
    </xdr:to>
    <xdr:graphicFrame macro="">
      <xdr:nvGraphicFramePr>
        <xdr:cNvPr id="64" name="Chart 38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17</xdr:col>
      <xdr:colOff>0</xdr:colOff>
      <xdr:row>636</xdr:row>
      <xdr:rowOff>0</xdr:rowOff>
    </xdr:from>
    <xdr:to>
      <xdr:col>22</xdr:col>
      <xdr:colOff>221040</xdr:colOff>
      <xdr:row>644</xdr:row>
      <xdr:rowOff>95760</xdr:rowOff>
    </xdr:to>
    <xdr:graphicFrame macro="">
      <xdr:nvGraphicFramePr>
        <xdr:cNvPr id="65" name="Chart 39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17</xdr:col>
      <xdr:colOff>0</xdr:colOff>
      <xdr:row>655</xdr:row>
      <xdr:rowOff>0</xdr:rowOff>
    </xdr:from>
    <xdr:to>
      <xdr:col>22</xdr:col>
      <xdr:colOff>221040</xdr:colOff>
      <xdr:row>663</xdr:row>
      <xdr:rowOff>95400</xdr:rowOff>
    </xdr:to>
    <xdr:graphicFrame macro="">
      <xdr:nvGraphicFramePr>
        <xdr:cNvPr id="66" name="Chart 40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17</xdr:col>
      <xdr:colOff>0</xdr:colOff>
      <xdr:row>674</xdr:row>
      <xdr:rowOff>0</xdr:rowOff>
    </xdr:from>
    <xdr:to>
      <xdr:col>22</xdr:col>
      <xdr:colOff>221040</xdr:colOff>
      <xdr:row>682</xdr:row>
      <xdr:rowOff>95400</xdr:rowOff>
    </xdr:to>
    <xdr:graphicFrame macro="">
      <xdr:nvGraphicFramePr>
        <xdr:cNvPr id="67" name="Chart 41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17</xdr:col>
      <xdr:colOff>0</xdr:colOff>
      <xdr:row>693</xdr:row>
      <xdr:rowOff>0</xdr:rowOff>
    </xdr:from>
    <xdr:to>
      <xdr:col>22</xdr:col>
      <xdr:colOff>221040</xdr:colOff>
      <xdr:row>701</xdr:row>
      <xdr:rowOff>95760</xdr:rowOff>
    </xdr:to>
    <xdr:graphicFrame macro="">
      <xdr:nvGraphicFramePr>
        <xdr:cNvPr id="68" name="Chart 4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17</xdr:col>
      <xdr:colOff>0</xdr:colOff>
      <xdr:row>712</xdr:row>
      <xdr:rowOff>0</xdr:rowOff>
    </xdr:from>
    <xdr:to>
      <xdr:col>22</xdr:col>
      <xdr:colOff>221040</xdr:colOff>
      <xdr:row>720</xdr:row>
      <xdr:rowOff>95760</xdr:rowOff>
    </xdr:to>
    <xdr:graphicFrame macro="">
      <xdr:nvGraphicFramePr>
        <xdr:cNvPr id="69" name="Chart 43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17</xdr:col>
      <xdr:colOff>0</xdr:colOff>
      <xdr:row>731</xdr:row>
      <xdr:rowOff>0</xdr:rowOff>
    </xdr:from>
    <xdr:to>
      <xdr:col>22</xdr:col>
      <xdr:colOff>221040</xdr:colOff>
      <xdr:row>739</xdr:row>
      <xdr:rowOff>95760</xdr:rowOff>
    </xdr:to>
    <xdr:graphicFrame macro="">
      <xdr:nvGraphicFramePr>
        <xdr:cNvPr id="70" name="Chart 44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17</xdr:col>
      <xdr:colOff>0</xdr:colOff>
      <xdr:row>750</xdr:row>
      <xdr:rowOff>0</xdr:rowOff>
    </xdr:from>
    <xdr:to>
      <xdr:col>22</xdr:col>
      <xdr:colOff>221040</xdr:colOff>
      <xdr:row>758</xdr:row>
      <xdr:rowOff>95760</xdr:rowOff>
    </xdr:to>
    <xdr:graphicFrame macro="">
      <xdr:nvGraphicFramePr>
        <xdr:cNvPr id="71" name="Chart 45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17</xdr:col>
      <xdr:colOff>0</xdr:colOff>
      <xdr:row>769</xdr:row>
      <xdr:rowOff>0</xdr:rowOff>
    </xdr:from>
    <xdr:to>
      <xdr:col>22</xdr:col>
      <xdr:colOff>221040</xdr:colOff>
      <xdr:row>777</xdr:row>
      <xdr:rowOff>95400</xdr:rowOff>
    </xdr:to>
    <xdr:graphicFrame macro="">
      <xdr:nvGraphicFramePr>
        <xdr:cNvPr id="72" name="Chart 46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17</xdr:col>
      <xdr:colOff>0</xdr:colOff>
      <xdr:row>788</xdr:row>
      <xdr:rowOff>0</xdr:rowOff>
    </xdr:from>
    <xdr:to>
      <xdr:col>22</xdr:col>
      <xdr:colOff>221040</xdr:colOff>
      <xdr:row>796</xdr:row>
      <xdr:rowOff>95400</xdr:rowOff>
    </xdr:to>
    <xdr:graphicFrame macro="">
      <xdr:nvGraphicFramePr>
        <xdr:cNvPr id="73" name="Chart 47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17</xdr:col>
      <xdr:colOff>0</xdr:colOff>
      <xdr:row>807</xdr:row>
      <xdr:rowOff>0</xdr:rowOff>
    </xdr:from>
    <xdr:to>
      <xdr:col>22</xdr:col>
      <xdr:colOff>221040</xdr:colOff>
      <xdr:row>815</xdr:row>
      <xdr:rowOff>95760</xdr:rowOff>
    </xdr:to>
    <xdr:graphicFrame macro="">
      <xdr:nvGraphicFramePr>
        <xdr:cNvPr id="74" name="Chart 48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17</xdr:col>
      <xdr:colOff>0</xdr:colOff>
      <xdr:row>826</xdr:row>
      <xdr:rowOff>0</xdr:rowOff>
    </xdr:from>
    <xdr:to>
      <xdr:col>22</xdr:col>
      <xdr:colOff>221040</xdr:colOff>
      <xdr:row>834</xdr:row>
      <xdr:rowOff>95760</xdr:rowOff>
    </xdr:to>
    <xdr:graphicFrame macro="">
      <xdr:nvGraphicFramePr>
        <xdr:cNvPr id="75" name="Chart 49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17</xdr:col>
      <xdr:colOff>0</xdr:colOff>
      <xdr:row>845</xdr:row>
      <xdr:rowOff>0</xdr:rowOff>
    </xdr:from>
    <xdr:to>
      <xdr:col>22</xdr:col>
      <xdr:colOff>221040</xdr:colOff>
      <xdr:row>853</xdr:row>
      <xdr:rowOff>95760</xdr:rowOff>
    </xdr:to>
    <xdr:graphicFrame macro="">
      <xdr:nvGraphicFramePr>
        <xdr:cNvPr id="76" name="Chart 50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17</xdr:col>
      <xdr:colOff>0</xdr:colOff>
      <xdr:row>864</xdr:row>
      <xdr:rowOff>0</xdr:rowOff>
    </xdr:from>
    <xdr:to>
      <xdr:col>22</xdr:col>
      <xdr:colOff>221040</xdr:colOff>
      <xdr:row>872</xdr:row>
      <xdr:rowOff>95760</xdr:rowOff>
    </xdr:to>
    <xdr:graphicFrame macro="">
      <xdr:nvGraphicFramePr>
        <xdr:cNvPr id="77" name="Chart 51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17</xdr:col>
      <xdr:colOff>0</xdr:colOff>
      <xdr:row>883</xdr:row>
      <xdr:rowOff>0</xdr:rowOff>
    </xdr:from>
    <xdr:to>
      <xdr:col>22</xdr:col>
      <xdr:colOff>221040</xdr:colOff>
      <xdr:row>891</xdr:row>
      <xdr:rowOff>95400</xdr:rowOff>
    </xdr:to>
    <xdr:graphicFrame macro="">
      <xdr:nvGraphicFramePr>
        <xdr:cNvPr id="78" name="Chart 5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17</xdr:col>
      <xdr:colOff>0</xdr:colOff>
      <xdr:row>897</xdr:row>
      <xdr:rowOff>0</xdr:rowOff>
    </xdr:from>
    <xdr:to>
      <xdr:col>22</xdr:col>
      <xdr:colOff>221040</xdr:colOff>
      <xdr:row>905</xdr:row>
      <xdr:rowOff>95760</xdr:rowOff>
    </xdr:to>
    <xdr:graphicFrame macro="">
      <xdr:nvGraphicFramePr>
        <xdr:cNvPr id="79" name="Chart 53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17</xdr:col>
      <xdr:colOff>0</xdr:colOff>
      <xdr:row>911</xdr:row>
      <xdr:rowOff>0</xdr:rowOff>
    </xdr:from>
    <xdr:to>
      <xdr:col>22</xdr:col>
      <xdr:colOff>221040</xdr:colOff>
      <xdr:row>919</xdr:row>
      <xdr:rowOff>95760</xdr:rowOff>
    </xdr:to>
    <xdr:graphicFrame macro="">
      <xdr:nvGraphicFramePr>
        <xdr:cNvPr id="80" name="Chart 54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17</xdr:col>
      <xdr:colOff>0</xdr:colOff>
      <xdr:row>930</xdr:row>
      <xdr:rowOff>0</xdr:rowOff>
    </xdr:from>
    <xdr:to>
      <xdr:col>22</xdr:col>
      <xdr:colOff>221040</xdr:colOff>
      <xdr:row>938</xdr:row>
      <xdr:rowOff>95760</xdr:rowOff>
    </xdr:to>
    <xdr:graphicFrame macro="">
      <xdr:nvGraphicFramePr>
        <xdr:cNvPr id="81" name="Chart 55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17</xdr:col>
      <xdr:colOff>0</xdr:colOff>
      <xdr:row>949</xdr:row>
      <xdr:rowOff>0</xdr:rowOff>
    </xdr:from>
    <xdr:to>
      <xdr:col>22</xdr:col>
      <xdr:colOff>221040</xdr:colOff>
      <xdr:row>957</xdr:row>
      <xdr:rowOff>95400</xdr:rowOff>
    </xdr:to>
    <xdr:graphicFrame macro="">
      <xdr:nvGraphicFramePr>
        <xdr:cNvPr id="82" name="Chart 56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17</xdr:col>
      <xdr:colOff>0</xdr:colOff>
      <xdr:row>963</xdr:row>
      <xdr:rowOff>0</xdr:rowOff>
    </xdr:from>
    <xdr:to>
      <xdr:col>22</xdr:col>
      <xdr:colOff>221040</xdr:colOff>
      <xdr:row>971</xdr:row>
      <xdr:rowOff>95760</xdr:rowOff>
    </xdr:to>
    <xdr:graphicFrame macro="">
      <xdr:nvGraphicFramePr>
        <xdr:cNvPr id="83" name="Chart 57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17</xdr:col>
      <xdr:colOff>0</xdr:colOff>
      <xdr:row>982</xdr:row>
      <xdr:rowOff>0</xdr:rowOff>
    </xdr:from>
    <xdr:to>
      <xdr:col>22</xdr:col>
      <xdr:colOff>221040</xdr:colOff>
      <xdr:row>990</xdr:row>
      <xdr:rowOff>95760</xdr:rowOff>
    </xdr:to>
    <xdr:graphicFrame macro="">
      <xdr:nvGraphicFramePr>
        <xdr:cNvPr id="84" name="Chart 58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17</xdr:col>
      <xdr:colOff>0</xdr:colOff>
      <xdr:row>996</xdr:row>
      <xdr:rowOff>0</xdr:rowOff>
    </xdr:from>
    <xdr:to>
      <xdr:col>22</xdr:col>
      <xdr:colOff>221040</xdr:colOff>
      <xdr:row>1004</xdr:row>
      <xdr:rowOff>95760</xdr:rowOff>
    </xdr:to>
    <xdr:graphicFrame macro="">
      <xdr:nvGraphicFramePr>
        <xdr:cNvPr id="85" name="Chart 59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17</xdr:col>
      <xdr:colOff>0</xdr:colOff>
      <xdr:row>1010</xdr:row>
      <xdr:rowOff>0</xdr:rowOff>
    </xdr:from>
    <xdr:to>
      <xdr:col>22</xdr:col>
      <xdr:colOff>221040</xdr:colOff>
      <xdr:row>1018</xdr:row>
      <xdr:rowOff>95400</xdr:rowOff>
    </xdr:to>
    <xdr:graphicFrame macro="">
      <xdr:nvGraphicFramePr>
        <xdr:cNvPr id="86" name="Chart 60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17</xdr:col>
      <xdr:colOff>0</xdr:colOff>
      <xdr:row>1029</xdr:row>
      <xdr:rowOff>0</xdr:rowOff>
    </xdr:from>
    <xdr:to>
      <xdr:col>22</xdr:col>
      <xdr:colOff>221040</xdr:colOff>
      <xdr:row>1037</xdr:row>
      <xdr:rowOff>95760</xdr:rowOff>
    </xdr:to>
    <xdr:graphicFrame macro="">
      <xdr:nvGraphicFramePr>
        <xdr:cNvPr id="87" name="Chart 61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17</xdr:col>
      <xdr:colOff>0</xdr:colOff>
      <xdr:row>1048</xdr:row>
      <xdr:rowOff>0</xdr:rowOff>
    </xdr:from>
    <xdr:to>
      <xdr:col>22</xdr:col>
      <xdr:colOff>221040</xdr:colOff>
      <xdr:row>1056</xdr:row>
      <xdr:rowOff>95760</xdr:rowOff>
    </xdr:to>
    <xdr:graphicFrame macro="">
      <xdr:nvGraphicFramePr>
        <xdr:cNvPr id="88" name="Chart 62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17</xdr:col>
      <xdr:colOff>0</xdr:colOff>
      <xdr:row>1067</xdr:row>
      <xdr:rowOff>0</xdr:rowOff>
    </xdr:from>
    <xdr:to>
      <xdr:col>22</xdr:col>
      <xdr:colOff>221040</xdr:colOff>
      <xdr:row>1075</xdr:row>
      <xdr:rowOff>95760</xdr:rowOff>
    </xdr:to>
    <xdr:graphicFrame macro="">
      <xdr:nvGraphicFramePr>
        <xdr:cNvPr id="89" name="Chart 63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17</xdr:col>
      <xdr:colOff>0</xdr:colOff>
      <xdr:row>1081</xdr:row>
      <xdr:rowOff>0</xdr:rowOff>
    </xdr:from>
    <xdr:to>
      <xdr:col>22</xdr:col>
      <xdr:colOff>221040</xdr:colOff>
      <xdr:row>1089</xdr:row>
      <xdr:rowOff>95400</xdr:rowOff>
    </xdr:to>
    <xdr:graphicFrame macro="">
      <xdr:nvGraphicFramePr>
        <xdr:cNvPr id="90" name="Chart 64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17</xdr:col>
      <xdr:colOff>0</xdr:colOff>
      <xdr:row>1095</xdr:row>
      <xdr:rowOff>0</xdr:rowOff>
    </xdr:from>
    <xdr:to>
      <xdr:col>22</xdr:col>
      <xdr:colOff>221040</xdr:colOff>
      <xdr:row>1103</xdr:row>
      <xdr:rowOff>95760</xdr:rowOff>
    </xdr:to>
    <xdr:graphicFrame macro="">
      <xdr:nvGraphicFramePr>
        <xdr:cNvPr id="91" name="Chart 65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17</xdr:col>
      <xdr:colOff>0</xdr:colOff>
      <xdr:row>1109</xdr:row>
      <xdr:rowOff>0</xdr:rowOff>
    </xdr:from>
    <xdr:to>
      <xdr:col>22</xdr:col>
      <xdr:colOff>221040</xdr:colOff>
      <xdr:row>1117</xdr:row>
      <xdr:rowOff>95760</xdr:rowOff>
    </xdr:to>
    <xdr:graphicFrame macro="">
      <xdr:nvGraphicFramePr>
        <xdr:cNvPr id="92" name="Chart 66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17</xdr:col>
      <xdr:colOff>0</xdr:colOff>
      <xdr:row>1128</xdr:row>
      <xdr:rowOff>0</xdr:rowOff>
    </xdr:from>
    <xdr:to>
      <xdr:col>22</xdr:col>
      <xdr:colOff>221040</xdr:colOff>
      <xdr:row>1136</xdr:row>
      <xdr:rowOff>95760</xdr:rowOff>
    </xdr:to>
    <xdr:graphicFrame macro="">
      <xdr:nvGraphicFramePr>
        <xdr:cNvPr id="93" name="Chart 67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17</xdr:col>
      <xdr:colOff>0</xdr:colOff>
      <xdr:row>1142</xdr:row>
      <xdr:rowOff>0</xdr:rowOff>
    </xdr:from>
    <xdr:to>
      <xdr:col>22</xdr:col>
      <xdr:colOff>221040</xdr:colOff>
      <xdr:row>1150</xdr:row>
      <xdr:rowOff>95400</xdr:rowOff>
    </xdr:to>
    <xdr:graphicFrame macro="">
      <xdr:nvGraphicFramePr>
        <xdr:cNvPr id="94" name="Chart 68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17</xdr:col>
      <xdr:colOff>0</xdr:colOff>
      <xdr:row>1156</xdr:row>
      <xdr:rowOff>0</xdr:rowOff>
    </xdr:from>
    <xdr:to>
      <xdr:col>22</xdr:col>
      <xdr:colOff>221040</xdr:colOff>
      <xdr:row>1164</xdr:row>
      <xdr:rowOff>95760</xdr:rowOff>
    </xdr:to>
    <xdr:graphicFrame macro="">
      <xdr:nvGraphicFramePr>
        <xdr:cNvPr id="95" name="Chart 69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17</xdr:col>
      <xdr:colOff>0</xdr:colOff>
      <xdr:row>1170</xdr:row>
      <xdr:rowOff>0</xdr:rowOff>
    </xdr:from>
    <xdr:to>
      <xdr:col>22</xdr:col>
      <xdr:colOff>221040</xdr:colOff>
      <xdr:row>1178</xdr:row>
      <xdr:rowOff>95760</xdr:rowOff>
    </xdr:to>
    <xdr:graphicFrame macro="">
      <xdr:nvGraphicFramePr>
        <xdr:cNvPr id="96" name="Chart 70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17</xdr:col>
      <xdr:colOff>0</xdr:colOff>
      <xdr:row>1184</xdr:row>
      <xdr:rowOff>0</xdr:rowOff>
    </xdr:from>
    <xdr:to>
      <xdr:col>22</xdr:col>
      <xdr:colOff>221040</xdr:colOff>
      <xdr:row>1192</xdr:row>
      <xdr:rowOff>95400</xdr:rowOff>
    </xdr:to>
    <xdr:graphicFrame macro="">
      <xdr:nvGraphicFramePr>
        <xdr:cNvPr id="97" name="Chart 7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17</xdr:col>
      <xdr:colOff>0</xdr:colOff>
      <xdr:row>1203</xdr:row>
      <xdr:rowOff>0</xdr:rowOff>
    </xdr:from>
    <xdr:to>
      <xdr:col>22</xdr:col>
      <xdr:colOff>221040</xdr:colOff>
      <xdr:row>1211</xdr:row>
      <xdr:rowOff>95760</xdr:rowOff>
    </xdr:to>
    <xdr:graphicFrame macro="">
      <xdr:nvGraphicFramePr>
        <xdr:cNvPr id="98" name="Chart 7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17</xdr:col>
      <xdr:colOff>0</xdr:colOff>
      <xdr:row>1217</xdr:row>
      <xdr:rowOff>0</xdr:rowOff>
    </xdr:from>
    <xdr:to>
      <xdr:col>22</xdr:col>
      <xdr:colOff>221040</xdr:colOff>
      <xdr:row>1225</xdr:row>
      <xdr:rowOff>95760</xdr:rowOff>
    </xdr:to>
    <xdr:graphicFrame macro="">
      <xdr:nvGraphicFramePr>
        <xdr:cNvPr id="99" name="Chart 73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17</xdr:col>
      <xdr:colOff>0</xdr:colOff>
      <xdr:row>1231</xdr:row>
      <xdr:rowOff>0</xdr:rowOff>
    </xdr:from>
    <xdr:to>
      <xdr:col>22</xdr:col>
      <xdr:colOff>221040</xdr:colOff>
      <xdr:row>1239</xdr:row>
      <xdr:rowOff>95400</xdr:rowOff>
    </xdr:to>
    <xdr:graphicFrame macro="">
      <xdr:nvGraphicFramePr>
        <xdr:cNvPr id="100" name="Chart 74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17</xdr:col>
      <xdr:colOff>0</xdr:colOff>
      <xdr:row>1245</xdr:row>
      <xdr:rowOff>0</xdr:rowOff>
    </xdr:from>
    <xdr:to>
      <xdr:col>22</xdr:col>
      <xdr:colOff>221040</xdr:colOff>
      <xdr:row>1253</xdr:row>
      <xdr:rowOff>95760</xdr:rowOff>
    </xdr:to>
    <xdr:graphicFrame macro="">
      <xdr:nvGraphicFramePr>
        <xdr:cNvPr id="101" name="Chart 75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17</xdr:col>
      <xdr:colOff>0</xdr:colOff>
      <xdr:row>1259</xdr:row>
      <xdr:rowOff>0</xdr:rowOff>
    </xdr:from>
    <xdr:to>
      <xdr:col>22</xdr:col>
      <xdr:colOff>221040</xdr:colOff>
      <xdr:row>1267</xdr:row>
      <xdr:rowOff>95760</xdr:rowOff>
    </xdr:to>
    <xdr:graphicFrame macro="">
      <xdr:nvGraphicFramePr>
        <xdr:cNvPr id="102" name="Chart 76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17</xdr:col>
      <xdr:colOff>0</xdr:colOff>
      <xdr:row>1273</xdr:row>
      <xdr:rowOff>0</xdr:rowOff>
    </xdr:from>
    <xdr:to>
      <xdr:col>22</xdr:col>
      <xdr:colOff>221040</xdr:colOff>
      <xdr:row>1281</xdr:row>
      <xdr:rowOff>95400</xdr:rowOff>
    </xdr:to>
    <xdr:graphicFrame macro="">
      <xdr:nvGraphicFramePr>
        <xdr:cNvPr id="103" name="Chart 77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17</xdr:col>
      <xdr:colOff>0</xdr:colOff>
      <xdr:row>1287</xdr:row>
      <xdr:rowOff>0</xdr:rowOff>
    </xdr:from>
    <xdr:to>
      <xdr:col>22</xdr:col>
      <xdr:colOff>221040</xdr:colOff>
      <xdr:row>1295</xdr:row>
      <xdr:rowOff>95760</xdr:rowOff>
    </xdr:to>
    <xdr:graphicFrame macro="">
      <xdr:nvGraphicFramePr>
        <xdr:cNvPr id="104" name="Chart 78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 editAs="oneCell">
    <xdr:from>
      <xdr:col>17</xdr:col>
      <xdr:colOff>0</xdr:colOff>
      <xdr:row>1301</xdr:row>
      <xdr:rowOff>0</xdr:rowOff>
    </xdr:from>
    <xdr:to>
      <xdr:col>22</xdr:col>
      <xdr:colOff>221040</xdr:colOff>
      <xdr:row>1309</xdr:row>
      <xdr:rowOff>95760</xdr:rowOff>
    </xdr:to>
    <xdr:graphicFrame macro="">
      <xdr:nvGraphicFramePr>
        <xdr:cNvPr id="105" name="Chart 79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 editAs="oneCell">
    <xdr:from>
      <xdr:col>17</xdr:col>
      <xdr:colOff>0</xdr:colOff>
      <xdr:row>1315</xdr:row>
      <xdr:rowOff>0</xdr:rowOff>
    </xdr:from>
    <xdr:to>
      <xdr:col>22</xdr:col>
      <xdr:colOff>221040</xdr:colOff>
      <xdr:row>1323</xdr:row>
      <xdr:rowOff>95400</xdr:rowOff>
    </xdr:to>
    <xdr:graphicFrame macro="">
      <xdr:nvGraphicFramePr>
        <xdr:cNvPr id="106" name="Chart 80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 editAs="oneCell">
    <xdr:from>
      <xdr:col>17</xdr:col>
      <xdr:colOff>0</xdr:colOff>
      <xdr:row>1329</xdr:row>
      <xdr:rowOff>0</xdr:rowOff>
    </xdr:from>
    <xdr:to>
      <xdr:col>22</xdr:col>
      <xdr:colOff>221040</xdr:colOff>
      <xdr:row>1337</xdr:row>
      <xdr:rowOff>95760</xdr:rowOff>
    </xdr:to>
    <xdr:graphicFrame macro="">
      <xdr:nvGraphicFramePr>
        <xdr:cNvPr id="107" name="Chart 81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 editAs="oneCell">
    <xdr:from>
      <xdr:col>17</xdr:col>
      <xdr:colOff>0</xdr:colOff>
      <xdr:row>1343</xdr:row>
      <xdr:rowOff>0</xdr:rowOff>
    </xdr:from>
    <xdr:to>
      <xdr:col>22</xdr:col>
      <xdr:colOff>221040</xdr:colOff>
      <xdr:row>1351</xdr:row>
      <xdr:rowOff>95760</xdr:rowOff>
    </xdr:to>
    <xdr:graphicFrame macro="">
      <xdr:nvGraphicFramePr>
        <xdr:cNvPr id="108" name="Chart 82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 editAs="oneCell">
    <xdr:from>
      <xdr:col>17</xdr:col>
      <xdr:colOff>0</xdr:colOff>
      <xdr:row>1357</xdr:row>
      <xdr:rowOff>0</xdr:rowOff>
    </xdr:from>
    <xdr:to>
      <xdr:col>22</xdr:col>
      <xdr:colOff>221040</xdr:colOff>
      <xdr:row>1365</xdr:row>
      <xdr:rowOff>95400</xdr:rowOff>
    </xdr:to>
    <xdr:graphicFrame macro="">
      <xdr:nvGraphicFramePr>
        <xdr:cNvPr id="109" name="Chart 83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 editAs="oneCell">
    <xdr:from>
      <xdr:col>17</xdr:col>
      <xdr:colOff>0</xdr:colOff>
      <xdr:row>1371</xdr:row>
      <xdr:rowOff>0</xdr:rowOff>
    </xdr:from>
    <xdr:to>
      <xdr:col>22</xdr:col>
      <xdr:colOff>221040</xdr:colOff>
      <xdr:row>1379</xdr:row>
      <xdr:rowOff>95760</xdr:rowOff>
    </xdr:to>
    <xdr:graphicFrame macro="">
      <xdr:nvGraphicFramePr>
        <xdr:cNvPr id="110" name="Chart 84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 editAs="oneCell">
    <xdr:from>
      <xdr:col>17</xdr:col>
      <xdr:colOff>0</xdr:colOff>
      <xdr:row>1385</xdr:row>
      <xdr:rowOff>0</xdr:rowOff>
    </xdr:from>
    <xdr:to>
      <xdr:col>22</xdr:col>
      <xdr:colOff>221040</xdr:colOff>
      <xdr:row>1393</xdr:row>
      <xdr:rowOff>95760</xdr:rowOff>
    </xdr:to>
    <xdr:graphicFrame macro="">
      <xdr:nvGraphicFramePr>
        <xdr:cNvPr id="111" name="Chart 85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 editAs="oneCell">
    <xdr:from>
      <xdr:col>17</xdr:col>
      <xdr:colOff>0</xdr:colOff>
      <xdr:row>1399</xdr:row>
      <xdr:rowOff>0</xdr:rowOff>
    </xdr:from>
    <xdr:to>
      <xdr:col>22</xdr:col>
      <xdr:colOff>221040</xdr:colOff>
      <xdr:row>1407</xdr:row>
      <xdr:rowOff>95400</xdr:rowOff>
    </xdr:to>
    <xdr:graphicFrame macro="">
      <xdr:nvGraphicFramePr>
        <xdr:cNvPr id="112" name="Chart 86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 editAs="oneCell">
    <xdr:from>
      <xdr:col>17</xdr:col>
      <xdr:colOff>0</xdr:colOff>
      <xdr:row>1413</xdr:row>
      <xdr:rowOff>0</xdr:rowOff>
    </xdr:from>
    <xdr:to>
      <xdr:col>22</xdr:col>
      <xdr:colOff>221040</xdr:colOff>
      <xdr:row>1421</xdr:row>
      <xdr:rowOff>95760</xdr:rowOff>
    </xdr:to>
    <xdr:graphicFrame macro="">
      <xdr:nvGraphicFramePr>
        <xdr:cNvPr id="113" name="Chart 87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 editAs="oneCell">
    <xdr:from>
      <xdr:col>17</xdr:col>
      <xdr:colOff>0</xdr:colOff>
      <xdr:row>1427</xdr:row>
      <xdr:rowOff>0</xdr:rowOff>
    </xdr:from>
    <xdr:to>
      <xdr:col>22</xdr:col>
      <xdr:colOff>221040</xdr:colOff>
      <xdr:row>1435</xdr:row>
      <xdr:rowOff>95760</xdr:rowOff>
    </xdr:to>
    <xdr:graphicFrame macro="">
      <xdr:nvGraphicFramePr>
        <xdr:cNvPr id="114" name="Chart 88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 editAs="oneCell">
    <xdr:from>
      <xdr:col>17</xdr:col>
      <xdr:colOff>0</xdr:colOff>
      <xdr:row>1441</xdr:row>
      <xdr:rowOff>0</xdr:rowOff>
    </xdr:from>
    <xdr:to>
      <xdr:col>22</xdr:col>
      <xdr:colOff>221040</xdr:colOff>
      <xdr:row>1449</xdr:row>
      <xdr:rowOff>95400</xdr:rowOff>
    </xdr:to>
    <xdr:graphicFrame macro="">
      <xdr:nvGraphicFramePr>
        <xdr:cNvPr id="115" name="Chart 89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 editAs="oneCell">
    <xdr:from>
      <xdr:col>17</xdr:col>
      <xdr:colOff>0</xdr:colOff>
      <xdr:row>1455</xdr:row>
      <xdr:rowOff>0</xdr:rowOff>
    </xdr:from>
    <xdr:to>
      <xdr:col>22</xdr:col>
      <xdr:colOff>221040</xdr:colOff>
      <xdr:row>1463</xdr:row>
      <xdr:rowOff>95760</xdr:rowOff>
    </xdr:to>
    <xdr:graphicFrame macro="">
      <xdr:nvGraphicFramePr>
        <xdr:cNvPr id="116" name="Chart 90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 editAs="oneCell">
    <xdr:from>
      <xdr:col>17</xdr:col>
      <xdr:colOff>0</xdr:colOff>
      <xdr:row>1469</xdr:row>
      <xdr:rowOff>0</xdr:rowOff>
    </xdr:from>
    <xdr:to>
      <xdr:col>22</xdr:col>
      <xdr:colOff>221040</xdr:colOff>
      <xdr:row>1477</xdr:row>
      <xdr:rowOff>95760</xdr:rowOff>
    </xdr:to>
    <xdr:graphicFrame macro="">
      <xdr:nvGraphicFramePr>
        <xdr:cNvPr id="117" name="Chart 91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 editAs="oneCell">
    <xdr:from>
      <xdr:col>17</xdr:col>
      <xdr:colOff>0</xdr:colOff>
      <xdr:row>1483</xdr:row>
      <xdr:rowOff>0</xdr:rowOff>
    </xdr:from>
    <xdr:to>
      <xdr:col>22</xdr:col>
      <xdr:colOff>221040</xdr:colOff>
      <xdr:row>1491</xdr:row>
      <xdr:rowOff>95400</xdr:rowOff>
    </xdr:to>
    <xdr:graphicFrame macro="">
      <xdr:nvGraphicFramePr>
        <xdr:cNvPr id="118" name="Chart 92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 editAs="oneCell">
    <xdr:from>
      <xdr:col>17</xdr:col>
      <xdr:colOff>0</xdr:colOff>
      <xdr:row>1497</xdr:row>
      <xdr:rowOff>0</xdr:rowOff>
    </xdr:from>
    <xdr:to>
      <xdr:col>22</xdr:col>
      <xdr:colOff>221040</xdr:colOff>
      <xdr:row>1505</xdr:row>
      <xdr:rowOff>95760</xdr:rowOff>
    </xdr:to>
    <xdr:graphicFrame macro="">
      <xdr:nvGraphicFramePr>
        <xdr:cNvPr id="119" name="Chart 93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 editAs="oneCell">
    <xdr:from>
      <xdr:col>17</xdr:col>
      <xdr:colOff>0</xdr:colOff>
      <xdr:row>1511</xdr:row>
      <xdr:rowOff>0</xdr:rowOff>
    </xdr:from>
    <xdr:to>
      <xdr:col>22</xdr:col>
      <xdr:colOff>221040</xdr:colOff>
      <xdr:row>1519</xdr:row>
      <xdr:rowOff>95760</xdr:rowOff>
    </xdr:to>
    <xdr:graphicFrame macro="">
      <xdr:nvGraphicFramePr>
        <xdr:cNvPr id="120" name="Chart 94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 editAs="oneCell">
    <xdr:from>
      <xdr:col>17</xdr:col>
      <xdr:colOff>0</xdr:colOff>
      <xdr:row>1525</xdr:row>
      <xdr:rowOff>0</xdr:rowOff>
    </xdr:from>
    <xdr:to>
      <xdr:col>22</xdr:col>
      <xdr:colOff>221040</xdr:colOff>
      <xdr:row>1533</xdr:row>
      <xdr:rowOff>95400</xdr:rowOff>
    </xdr:to>
    <xdr:graphicFrame macro="">
      <xdr:nvGraphicFramePr>
        <xdr:cNvPr id="121" name="Chart 95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 editAs="oneCell">
    <xdr:from>
      <xdr:col>17</xdr:col>
      <xdr:colOff>0</xdr:colOff>
      <xdr:row>1539</xdr:row>
      <xdr:rowOff>0</xdr:rowOff>
    </xdr:from>
    <xdr:to>
      <xdr:col>22</xdr:col>
      <xdr:colOff>221040</xdr:colOff>
      <xdr:row>1547</xdr:row>
      <xdr:rowOff>95760</xdr:rowOff>
    </xdr:to>
    <xdr:graphicFrame macro="">
      <xdr:nvGraphicFramePr>
        <xdr:cNvPr id="122" name="Chart 96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 editAs="oneCell">
    <xdr:from>
      <xdr:col>17</xdr:col>
      <xdr:colOff>0</xdr:colOff>
      <xdr:row>1553</xdr:row>
      <xdr:rowOff>0</xdr:rowOff>
    </xdr:from>
    <xdr:to>
      <xdr:col>22</xdr:col>
      <xdr:colOff>221040</xdr:colOff>
      <xdr:row>1561</xdr:row>
      <xdr:rowOff>95760</xdr:rowOff>
    </xdr:to>
    <xdr:graphicFrame macro="">
      <xdr:nvGraphicFramePr>
        <xdr:cNvPr id="123" name="Chart 97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 editAs="oneCell">
    <xdr:from>
      <xdr:col>17</xdr:col>
      <xdr:colOff>0</xdr:colOff>
      <xdr:row>1567</xdr:row>
      <xdr:rowOff>0</xdr:rowOff>
    </xdr:from>
    <xdr:to>
      <xdr:col>22</xdr:col>
      <xdr:colOff>221040</xdr:colOff>
      <xdr:row>1575</xdr:row>
      <xdr:rowOff>95400</xdr:rowOff>
    </xdr:to>
    <xdr:graphicFrame macro="">
      <xdr:nvGraphicFramePr>
        <xdr:cNvPr id="124" name="Chart 98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 editAs="oneCell">
    <xdr:from>
      <xdr:col>17</xdr:col>
      <xdr:colOff>0</xdr:colOff>
      <xdr:row>1581</xdr:row>
      <xdr:rowOff>0</xdr:rowOff>
    </xdr:from>
    <xdr:to>
      <xdr:col>22</xdr:col>
      <xdr:colOff>221040</xdr:colOff>
      <xdr:row>1589</xdr:row>
      <xdr:rowOff>95760</xdr:rowOff>
    </xdr:to>
    <xdr:graphicFrame macro="">
      <xdr:nvGraphicFramePr>
        <xdr:cNvPr id="125" name="Chart 99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 editAs="oneCell">
    <xdr:from>
      <xdr:col>17</xdr:col>
      <xdr:colOff>0</xdr:colOff>
      <xdr:row>1595</xdr:row>
      <xdr:rowOff>0</xdr:rowOff>
    </xdr:from>
    <xdr:to>
      <xdr:col>22</xdr:col>
      <xdr:colOff>221040</xdr:colOff>
      <xdr:row>1603</xdr:row>
      <xdr:rowOff>95760</xdr:rowOff>
    </xdr:to>
    <xdr:graphicFrame macro="">
      <xdr:nvGraphicFramePr>
        <xdr:cNvPr id="126" name="Chart 100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 editAs="oneCell">
    <xdr:from>
      <xdr:col>17</xdr:col>
      <xdr:colOff>0</xdr:colOff>
      <xdr:row>1609</xdr:row>
      <xdr:rowOff>0</xdr:rowOff>
    </xdr:from>
    <xdr:to>
      <xdr:col>22</xdr:col>
      <xdr:colOff>221040</xdr:colOff>
      <xdr:row>1617</xdr:row>
      <xdr:rowOff>95400</xdr:rowOff>
    </xdr:to>
    <xdr:graphicFrame macro="">
      <xdr:nvGraphicFramePr>
        <xdr:cNvPr id="127" name="Chart 101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 editAs="oneCell">
    <xdr:from>
      <xdr:col>17</xdr:col>
      <xdr:colOff>0</xdr:colOff>
      <xdr:row>1628</xdr:row>
      <xdr:rowOff>0</xdr:rowOff>
    </xdr:from>
    <xdr:to>
      <xdr:col>22</xdr:col>
      <xdr:colOff>221040</xdr:colOff>
      <xdr:row>1636</xdr:row>
      <xdr:rowOff>95400</xdr:rowOff>
    </xdr:to>
    <xdr:graphicFrame macro="">
      <xdr:nvGraphicFramePr>
        <xdr:cNvPr id="128" name="Chart 102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 editAs="oneCell">
    <xdr:from>
      <xdr:col>17</xdr:col>
      <xdr:colOff>0</xdr:colOff>
      <xdr:row>1642</xdr:row>
      <xdr:rowOff>0</xdr:rowOff>
    </xdr:from>
    <xdr:to>
      <xdr:col>22</xdr:col>
      <xdr:colOff>221040</xdr:colOff>
      <xdr:row>1650</xdr:row>
      <xdr:rowOff>95760</xdr:rowOff>
    </xdr:to>
    <xdr:graphicFrame macro="">
      <xdr:nvGraphicFramePr>
        <xdr:cNvPr id="129" name="Chart 103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 editAs="oneCell">
    <xdr:from>
      <xdr:col>17</xdr:col>
      <xdr:colOff>0</xdr:colOff>
      <xdr:row>1656</xdr:row>
      <xdr:rowOff>0</xdr:rowOff>
    </xdr:from>
    <xdr:to>
      <xdr:col>22</xdr:col>
      <xdr:colOff>221040</xdr:colOff>
      <xdr:row>1664</xdr:row>
      <xdr:rowOff>95760</xdr:rowOff>
    </xdr:to>
    <xdr:graphicFrame macro="">
      <xdr:nvGraphicFramePr>
        <xdr:cNvPr id="130" name="Chart 104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 editAs="oneCell">
    <xdr:from>
      <xdr:col>17</xdr:col>
      <xdr:colOff>0</xdr:colOff>
      <xdr:row>1670</xdr:row>
      <xdr:rowOff>0</xdr:rowOff>
    </xdr:from>
    <xdr:to>
      <xdr:col>22</xdr:col>
      <xdr:colOff>221040</xdr:colOff>
      <xdr:row>1678</xdr:row>
      <xdr:rowOff>95400</xdr:rowOff>
    </xdr:to>
    <xdr:graphicFrame macro="">
      <xdr:nvGraphicFramePr>
        <xdr:cNvPr id="131" name="Chart 105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 editAs="oneCell">
    <xdr:from>
      <xdr:col>17</xdr:col>
      <xdr:colOff>0</xdr:colOff>
      <xdr:row>1684</xdr:row>
      <xdr:rowOff>0</xdr:rowOff>
    </xdr:from>
    <xdr:to>
      <xdr:col>22</xdr:col>
      <xdr:colOff>221040</xdr:colOff>
      <xdr:row>1692</xdr:row>
      <xdr:rowOff>95760</xdr:rowOff>
    </xdr:to>
    <xdr:graphicFrame macro="">
      <xdr:nvGraphicFramePr>
        <xdr:cNvPr id="132" name="Chart 106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 editAs="oneCell">
    <xdr:from>
      <xdr:col>17</xdr:col>
      <xdr:colOff>0</xdr:colOff>
      <xdr:row>1698</xdr:row>
      <xdr:rowOff>0</xdr:rowOff>
    </xdr:from>
    <xdr:to>
      <xdr:col>22</xdr:col>
      <xdr:colOff>221040</xdr:colOff>
      <xdr:row>1706</xdr:row>
      <xdr:rowOff>95760</xdr:rowOff>
    </xdr:to>
    <xdr:graphicFrame macro="">
      <xdr:nvGraphicFramePr>
        <xdr:cNvPr id="133" name="Chart 107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 editAs="oneCell">
    <xdr:from>
      <xdr:col>17</xdr:col>
      <xdr:colOff>0</xdr:colOff>
      <xdr:row>1712</xdr:row>
      <xdr:rowOff>0</xdr:rowOff>
    </xdr:from>
    <xdr:to>
      <xdr:col>22</xdr:col>
      <xdr:colOff>221040</xdr:colOff>
      <xdr:row>1720</xdr:row>
      <xdr:rowOff>95400</xdr:rowOff>
    </xdr:to>
    <xdr:graphicFrame macro="">
      <xdr:nvGraphicFramePr>
        <xdr:cNvPr id="134" name="Chart 108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 editAs="oneCell">
    <xdr:from>
      <xdr:col>17</xdr:col>
      <xdr:colOff>0</xdr:colOff>
      <xdr:row>1726</xdr:row>
      <xdr:rowOff>0</xdr:rowOff>
    </xdr:from>
    <xdr:to>
      <xdr:col>22</xdr:col>
      <xdr:colOff>221040</xdr:colOff>
      <xdr:row>1734</xdr:row>
      <xdr:rowOff>95760</xdr:rowOff>
    </xdr:to>
    <xdr:graphicFrame macro="">
      <xdr:nvGraphicFramePr>
        <xdr:cNvPr id="135" name="Chart 109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 editAs="oneCell">
    <xdr:from>
      <xdr:col>17</xdr:col>
      <xdr:colOff>0</xdr:colOff>
      <xdr:row>1745</xdr:row>
      <xdr:rowOff>0</xdr:rowOff>
    </xdr:from>
    <xdr:to>
      <xdr:col>22</xdr:col>
      <xdr:colOff>221040</xdr:colOff>
      <xdr:row>1753</xdr:row>
      <xdr:rowOff>95760</xdr:rowOff>
    </xdr:to>
    <xdr:graphicFrame macro="">
      <xdr:nvGraphicFramePr>
        <xdr:cNvPr id="136" name="Chart 110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 editAs="oneCell">
    <xdr:from>
      <xdr:col>17</xdr:col>
      <xdr:colOff>0</xdr:colOff>
      <xdr:row>1759</xdr:row>
      <xdr:rowOff>0</xdr:rowOff>
    </xdr:from>
    <xdr:to>
      <xdr:col>22</xdr:col>
      <xdr:colOff>221040</xdr:colOff>
      <xdr:row>1767</xdr:row>
      <xdr:rowOff>95400</xdr:rowOff>
    </xdr:to>
    <xdr:graphicFrame macro="">
      <xdr:nvGraphicFramePr>
        <xdr:cNvPr id="137" name="Chart 111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 editAs="oneCell">
    <xdr:from>
      <xdr:col>17</xdr:col>
      <xdr:colOff>0</xdr:colOff>
      <xdr:row>1773</xdr:row>
      <xdr:rowOff>0</xdr:rowOff>
    </xdr:from>
    <xdr:to>
      <xdr:col>22</xdr:col>
      <xdr:colOff>221040</xdr:colOff>
      <xdr:row>1781</xdr:row>
      <xdr:rowOff>95760</xdr:rowOff>
    </xdr:to>
    <xdr:graphicFrame macro="">
      <xdr:nvGraphicFramePr>
        <xdr:cNvPr id="138" name="Chart 112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 editAs="oneCell">
    <xdr:from>
      <xdr:col>17</xdr:col>
      <xdr:colOff>0</xdr:colOff>
      <xdr:row>1787</xdr:row>
      <xdr:rowOff>0</xdr:rowOff>
    </xdr:from>
    <xdr:to>
      <xdr:col>22</xdr:col>
      <xdr:colOff>221040</xdr:colOff>
      <xdr:row>1795</xdr:row>
      <xdr:rowOff>95760</xdr:rowOff>
    </xdr:to>
    <xdr:graphicFrame macro="">
      <xdr:nvGraphicFramePr>
        <xdr:cNvPr id="139" name="Chart 113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 editAs="oneCell">
    <xdr:from>
      <xdr:col>17</xdr:col>
      <xdr:colOff>0</xdr:colOff>
      <xdr:row>1801</xdr:row>
      <xdr:rowOff>0</xdr:rowOff>
    </xdr:from>
    <xdr:to>
      <xdr:col>22</xdr:col>
      <xdr:colOff>221040</xdr:colOff>
      <xdr:row>1809</xdr:row>
      <xdr:rowOff>95400</xdr:rowOff>
    </xdr:to>
    <xdr:graphicFrame macro="">
      <xdr:nvGraphicFramePr>
        <xdr:cNvPr id="140" name="Chart 114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 editAs="oneCell">
    <xdr:from>
      <xdr:col>17</xdr:col>
      <xdr:colOff>0</xdr:colOff>
      <xdr:row>1815</xdr:row>
      <xdr:rowOff>0</xdr:rowOff>
    </xdr:from>
    <xdr:to>
      <xdr:col>22</xdr:col>
      <xdr:colOff>221040</xdr:colOff>
      <xdr:row>1823</xdr:row>
      <xdr:rowOff>95760</xdr:rowOff>
    </xdr:to>
    <xdr:graphicFrame macro="">
      <xdr:nvGraphicFramePr>
        <xdr:cNvPr id="141" name="Chart 115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 editAs="oneCell">
    <xdr:from>
      <xdr:col>17</xdr:col>
      <xdr:colOff>0</xdr:colOff>
      <xdr:row>1829</xdr:row>
      <xdr:rowOff>0</xdr:rowOff>
    </xdr:from>
    <xdr:to>
      <xdr:col>22</xdr:col>
      <xdr:colOff>221040</xdr:colOff>
      <xdr:row>1837</xdr:row>
      <xdr:rowOff>95760</xdr:rowOff>
    </xdr:to>
    <xdr:graphicFrame macro="">
      <xdr:nvGraphicFramePr>
        <xdr:cNvPr id="142" name="Chart 116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 editAs="oneCell">
    <xdr:from>
      <xdr:col>17</xdr:col>
      <xdr:colOff>0</xdr:colOff>
      <xdr:row>1843</xdr:row>
      <xdr:rowOff>0</xdr:rowOff>
    </xdr:from>
    <xdr:to>
      <xdr:col>22</xdr:col>
      <xdr:colOff>221040</xdr:colOff>
      <xdr:row>1851</xdr:row>
      <xdr:rowOff>95400</xdr:rowOff>
    </xdr:to>
    <xdr:graphicFrame macro="">
      <xdr:nvGraphicFramePr>
        <xdr:cNvPr id="143" name="Chart 117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 editAs="oneCell">
    <xdr:from>
      <xdr:col>17</xdr:col>
      <xdr:colOff>0</xdr:colOff>
      <xdr:row>1857</xdr:row>
      <xdr:rowOff>0</xdr:rowOff>
    </xdr:from>
    <xdr:to>
      <xdr:col>22</xdr:col>
      <xdr:colOff>221040</xdr:colOff>
      <xdr:row>1865</xdr:row>
      <xdr:rowOff>95760</xdr:rowOff>
    </xdr:to>
    <xdr:graphicFrame macro="">
      <xdr:nvGraphicFramePr>
        <xdr:cNvPr id="144" name="Chart 118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 editAs="oneCell">
    <xdr:from>
      <xdr:col>17</xdr:col>
      <xdr:colOff>0</xdr:colOff>
      <xdr:row>1871</xdr:row>
      <xdr:rowOff>0</xdr:rowOff>
    </xdr:from>
    <xdr:to>
      <xdr:col>22</xdr:col>
      <xdr:colOff>221040</xdr:colOff>
      <xdr:row>1879</xdr:row>
      <xdr:rowOff>95760</xdr:rowOff>
    </xdr:to>
    <xdr:graphicFrame macro="">
      <xdr:nvGraphicFramePr>
        <xdr:cNvPr id="145" name="Chart 119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 editAs="oneCell">
    <xdr:from>
      <xdr:col>17</xdr:col>
      <xdr:colOff>0</xdr:colOff>
      <xdr:row>1885</xdr:row>
      <xdr:rowOff>0</xdr:rowOff>
    </xdr:from>
    <xdr:to>
      <xdr:col>22</xdr:col>
      <xdr:colOff>221040</xdr:colOff>
      <xdr:row>1893</xdr:row>
      <xdr:rowOff>95400</xdr:rowOff>
    </xdr:to>
    <xdr:graphicFrame macro="">
      <xdr:nvGraphicFramePr>
        <xdr:cNvPr id="146" name="Chart 120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 editAs="oneCell">
    <xdr:from>
      <xdr:col>17</xdr:col>
      <xdr:colOff>0</xdr:colOff>
      <xdr:row>1899</xdr:row>
      <xdr:rowOff>0</xdr:rowOff>
    </xdr:from>
    <xdr:to>
      <xdr:col>22</xdr:col>
      <xdr:colOff>221040</xdr:colOff>
      <xdr:row>1907</xdr:row>
      <xdr:rowOff>95760</xdr:rowOff>
    </xdr:to>
    <xdr:graphicFrame macro="">
      <xdr:nvGraphicFramePr>
        <xdr:cNvPr id="147" name="Chart 121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 editAs="oneCell">
    <xdr:from>
      <xdr:col>17</xdr:col>
      <xdr:colOff>0</xdr:colOff>
      <xdr:row>1913</xdr:row>
      <xdr:rowOff>0</xdr:rowOff>
    </xdr:from>
    <xdr:to>
      <xdr:col>22</xdr:col>
      <xdr:colOff>221040</xdr:colOff>
      <xdr:row>1921</xdr:row>
      <xdr:rowOff>95760</xdr:rowOff>
    </xdr:to>
    <xdr:graphicFrame macro="">
      <xdr:nvGraphicFramePr>
        <xdr:cNvPr id="148" name="Chart 122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 editAs="oneCell">
    <xdr:from>
      <xdr:col>17</xdr:col>
      <xdr:colOff>0</xdr:colOff>
      <xdr:row>1927</xdr:row>
      <xdr:rowOff>0</xdr:rowOff>
    </xdr:from>
    <xdr:to>
      <xdr:col>22</xdr:col>
      <xdr:colOff>221040</xdr:colOff>
      <xdr:row>1935</xdr:row>
      <xdr:rowOff>95400</xdr:rowOff>
    </xdr:to>
    <xdr:graphicFrame macro="">
      <xdr:nvGraphicFramePr>
        <xdr:cNvPr id="149" name="Chart 123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 editAs="oneCell">
    <xdr:from>
      <xdr:col>17</xdr:col>
      <xdr:colOff>0</xdr:colOff>
      <xdr:row>1941</xdr:row>
      <xdr:rowOff>0</xdr:rowOff>
    </xdr:from>
    <xdr:to>
      <xdr:col>22</xdr:col>
      <xdr:colOff>221040</xdr:colOff>
      <xdr:row>1949</xdr:row>
      <xdr:rowOff>95760</xdr:rowOff>
    </xdr:to>
    <xdr:graphicFrame macro="">
      <xdr:nvGraphicFramePr>
        <xdr:cNvPr id="150" name="Chart 124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 editAs="oneCell">
    <xdr:from>
      <xdr:col>17</xdr:col>
      <xdr:colOff>0</xdr:colOff>
      <xdr:row>1955</xdr:row>
      <xdr:rowOff>0</xdr:rowOff>
    </xdr:from>
    <xdr:to>
      <xdr:col>22</xdr:col>
      <xdr:colOff>221040</xdr:colOff>
      <xdr:row>1963</xdr:row>
      <xdr:rowOff>95760</xdr:rowOff>
    </xdr:to>
    <xdr:graphicFrame macro="">
      <xdr:nvGraphicFramePr>
        <xdr:cNvPr id="151" name="Chart 125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 editAs="oneCell">
    <xdr:from>
      <xdr:col>17</xdr:col>
      <xdr:colOff>0</xdr:colOff>
      <xdr:row>1969</xdr:row>
      <xdr:rowOff>0</xdr:rowOff>
    </xdr:from>
    <xdr:to>
      <xdr:col>22</xdr:col>
      <xdr:colOff>221040</xdr:colOff>
      <xdr:row>1977</xdr:row>
      <xdr:rowOff>95400</xdr:rowOff>
    </xdr:to>
    <xdr:graphicFrame macro="">
      <xdr:nvGraphicFramePr>
        <xdr:cNvPr id="152" name="Chart 126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 editAs="oneCell">
    <xdr:from>
      <xdr:col>17</xdr:col>
      <xdr:colOff>0</xdr:colOff>
      <xdr:row>1983</xdr:row>
      <xdr:rowOff>0</xdr:rowOff>
    </xdr:from>
    <xdr:to>
      <xdr:col>22</xdr:col>
      <xdr:colOff>221040</xdr:colOff>
      <xdr:row>1991</xdr:row>
      <xdr:rowOff>95760</xdr:rowOff>
    </xdr:to>
    <xdr:graphicFrame macro="">
      <xdr:nvGraphicFramePr>
        <xdr:cNvPr id="153" name="Chart 127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 editAs="oneCell">
    <xdr:from>
      <xdr:col>17</xdr:col>
      <xdr:colOff>0</xdr:colOff>
      <xdr:row>1997</xdr:row>
      <xdr:rowOff>0</xdr:rowOff>
    </xdr:from>
    <xdr:to>
      <xdr:col>22</xdr:col>
      <xdr:colOff>221040</xdr:colOff>
      <xdr:row>2005</xdr:row>
      <xdr:rowOff>95760</xdr:rowOff>
    </xdr:to>
    <xdr:graphicFrame macro="">
      <xdr:nvGraphicFramePr>
        <xdr:cNvPr id="154" name="Chart 128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 editAs="oneCell">
    <xdr:from>
      <xdr:col>17</xdr:col>
      <xdr:colOff>0</xdr:colOff>
      <xdr:row>2011</xdr:row>
      <xdr:rowOff>0</xdr:rowOff>
    </xdr:from>
    <xdr:to>
      <xdr:col>22</xdr:col>
      <xdr:colOff>221040</xdr:colOff>
      <xdr:row>2019</xdr:row>
      <xdr:rowOff>95400</xdr:rowOff>
    </xdr:to>
    <xdr:graphicFrame macro="">
      <xdr:nvGraphicFramePr>
        <xdr:cNvPr id="155" name="Chart 129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 editAs="oneCell">
    <xdr:from>
      <xdr:col>17</xdr:col>
      <xdr:colOff>0</xdr:colOff>
      <xdr:row>2025</xdr:row>
      <xdr:rowOff>0</xdr:rowOff>
    </xdr:from>
    <xdr:to>
      <xdr:col>22</xdr:col>
      <xdr:colOff>221040</xdr:colOff>
      <xdr:row>2033</xdr:row>
      <xdr:rowOff>95760</xdr:rowOff>
    </xdr:to>
    <xdr:graphicFrame macro="">
      <xdr:nvGraphicFramePr>
        <xdr:cNvPr id="156" name="Chart 130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 editAs="oneCell">
    <xdr:from>
      <xdr:col>17</xdr:col>
      <xdr:colOff>0</xdr:colOff>
      <xdr:row>2039</xdr:row>
      <xdr:rowOff>0</xdr:rowOff>
    </xdr:from>
    <xdr:to>
      <xdr:col>22</xdr:col>
      <xdr:colOff>221040</xdr:colOff>
      <xdr:row>2047</xdr:row>
      <xdr:rowOff>95760</xdr:rowOff>
    </xdr:to>
    <xdr:graphicFrame macro="">
      <xdr:nvGraphicFramePr>
        <xdr:cNvPr id="157" name="Chart 131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 editAs="oneCell">
    <xdr:from>
      <xdr:col>17</xdr:col>
      <xdr:colOff>0</xdr:colOff>
      <xdr:row>2053</xdr:row>
      <xdr:rowOff>0</xdr:rowOff>
    </xdr:from>
    <xdr:to>
      <xdr:col>22</xdr:col>
      <xdr:colOff>221040</xdr:colOff>
      <xdr:row>2061</xdr:row>
      <xdr:rowOff>95400</xdr:rowOff>
    </xdr:to>
    <xdr:graphicFrame macro="">
      <xdr:nvGraphicFramePr>
        <xdr:cNvPr id="158" name="Chart 132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 editAs="oneCell">
    <xdr:from>
      <xdr:col>17</xdr:col>
      <xdr:colOff>0</xdr:colOff>
      <xdr:row>2067</xdr:row>
      <xdr:rowOff>0</xdr:rowOff>
    </xdr:from>
    <xdr:to>
      <xdr:col>22</xdr:col>
      <xdr:colOff>221040</xdr:colOff>
      <xdr:row>2075</xdr:row>
      <xdr:rowOff>95760</xdr:rowOff>
    </xdr:to>
    <xdr:graphicFrame macro="">
      <xdr:nvGraphicFramePr>
        <xdr:cNvPr id="159" name="Chart 133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 editAs="oneCell">
    <xdr:from>
      <xdr:col>17</xdr:col>
      <xdr:colOff>0</xdr:colOff>
      <xdr:row>2081</xdr:row>
      <xdr:rowOff>0</xdr:rowOff>
    </xdr:from>
    <xdr:to>
      <xdr:col>22</xdr:col>
      <xdr:colOff>221040</xdr:colOff>
      <xdr:row>2089</xdr:row>
      <xdr:rowOff>95760</xdr:rowOff>
    </xdr:to>
    <xdr:graphicFrame macro="">
      <xdr:nvGraphicFramePr>
        <xdr:cNvPr id="160" name="Chart 134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 editAs="oneCell">
    <xdr:from>
      <xdr:col>17</xdr:col>
      <xdr:colOff>0</xdr:colOff>
      <xdr:row>2095</xdr:row>
      <xdr:rowOff>0</xdr:rowOff>
    </xdr:from>
    <xdr:to>
      <xdr:col>22</xdr:col>
      <xdr:colOff>221040</xdr:colOff>
      <xdr:row>2103</xdr:row>
      <xdr:rowOff>95400</xdr:rowOff>
    </xdr:to>
    <xdr:graphicFrame macro="">
      <xdr:nvGraphicFramePr>
        <xdr:cNvPr id="161" name="Chart 135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 editAs="oneCell">
    <xdr:from>
      <xdr:col>17</xdr:col>
      <xdr:colOff>0</xdr:colOff>
      <xdr:row>2109</xdr:row>
      <xdr:rowOff>0</xdr:rowOff>
    </xdr:from>
    <xdr:to>
      <xdr:col>22</xdr:col>
      <xdr:colOff>221040</xdr:colOff>
      <xdr:row>2117</xdr:row>
      <xdr:rowOff>95760</xdr:rowOff>
    </xdr:to>
    <xdr:graphicFrame macro="">
      <xdr:nvGraphicFramePr>
        <xdr:cNvPr id="162" name="Chart 136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zoomScaleNormal="100" workbookViewId="0"/>
  </sheetViews>
  <sheetFormatPr baseColWidth="10" defaultColWidth="8.6640625" defaultRowHeight="15" x14ac:dyDescent="0.2"/>
  <cols>
    <col min="1" max="1" width="10" customWidth="1"/>
    <col min="2" max="2" width="12" customWidth="1"/>
    <col min="3" max="5" width="11" customWidth="1"/>
    <col min="6" max="6" width="18" customWidth="1"/>
  </cols>
  <sheetData>
    <row r="1" spans="1:6" ht="27.75" customHeight="1" x14ac:dyDescent="0.2">
      <c r="A1" s="14" t="s">
        <v>0</v>
      </c>
      <c r="B1" s="14"/>
      <c r="C1" s="14"/>
      <c r="D1" s="14"/>
      <c r="E1" s="14"/>
      <c r="F1" s="14"/>
    </row>
    <row r="2" spans="1:6" ht="19.5" customHeight="1" x14ac:dyDescent="0.2">
      <c r="A2" s="13" t="s">
        <v>1</v>
      </c>
      <c r="B2" s="13"/>
      <c r="C2" s="13"/>
      <c r="D2" s="13"/>
      <c r="E2" s="13"/>
      <c r="F2" s="13"/>
    </row>
    <row r="4" spans="1:6" x14ac:dyDescent="0.2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</row>
    <row r="5" spans="1:6" x14ac:dyDescent="0.2">
      <c r="A5" s="16" t="s">
        <v>8</v>
      </c>
      <c r="B5" s="17">
        <f>COUNTA('Resumen 3.0TD'!A5:A300)</f>
        <v>28</v>
      </c>
      <c r="C5" s="18">
        <f>COUNTIF('Resumen 3.0TD'!F:F,"APROBAR")</f>
        <v>7</v>
      </c>
      <c r="D5" s="19">
        <f>COUNTIF('Resumen 3.0TD'!F:F,"REVISAR")</f>
        <v>8</v>
      </c>
      <c r="E5" s="20">
        <f>COUNTIF('Resumen 3.0TD'!F:F,"RECHAZAR")</f>
        <v>12</v>
      </c>
      <c r="F5" s="21" t="s">
        <v>9</v>
      </c>
    </row>
    <row r="6" spans="1:6" x14ac:dyDescent="0.2">
      <c r="A6" s="16" t="s">
        <v>10</v>
      </c>
      <c r="B6" s="17">
        <f>COUNTA('Resumen 2.0TD'!A5:A300)</f>
        <v>136</v>
      </c>
      <c r="C6" s="18">
        <f>COUNTIF('Resumen 2.0TD'!F:F,"APROBAR")</f>
        <v>60</v>
      </c>
      <c r="D6" s="19">
        <f>COUNTIF('Resumen 2.0TD'!F:F,"REVISAR")</f>
        <v>27</v>
      </c>
      <c r="E6" s="20">
        <f>COUNTIF('Resumen 2.0TD'!F:F,"RECHAZAR")</f>
        <v>49</v>
      </c>
      <c r="F6" s="21" t="s">
        <v>11</v>
      </c>
    </row>
    <row r="7" spans="1:6" x14ac:dyDescent="0.2">
      <c r="A7" s="22" t="s">
        <v>12</v>
      </c>
      <c r="B7" s="22">
        <f>SUM(B5:B6)</f>
        <v>164</v>
      </c>
      <c r="C7" s="22">
        <f>SUM(C5:C6)</f>
        <v>67</v>
      </c>
      <c r="D7" s="22">
        <f>SUM(D5:D6)</f>
        <v>35</v>
      </c>
      <c r="E7" s="22">
        <f>SUM(E5:E6)</f>
        <v>61</v>
      </c>
      <c r="F7" s="23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2" width="8" customWidth="1"/>
    <col min="3" max="3" width="26" customWidth="1"/>
    <col min="4" max="4" width="8" customWidth="1"/>
    <col min="5" max="5" width="11" customWidth="1"/>
    <col min="6" max="6" width="12" customWidth="1"/>
    <col min="7" max="7" width="10" customWidth="1"/>
    <col min="8" max="8" width="12" customWidth="1"/>
    <col min="9" max="9" width="40" customWidth="1"/>
  </cols>
  <sheetData>
    <row r="1" spans="1:9" ht="21.75" customHeight="1" x14ac:dyDescent="0.2">
      <c r="A1" s="12" t="s">
        <v>13</v>
      </c>
      <c r="B1" s="12"/>
      <c r="C1" s="12"/>
      <c r="D1" s="12"/>
      <c r="E1" s="12"/>
      <c r="F1" s="12"/>
      <c r="G1" s="12"/>
      <c r="H1" s="12"/>
      <c r="I1" s="12"/>
    </row>
    <row r="2" spans="1:9" ht="15" customHeight="1" x14ac:dyDescent="0.2">
      <c r="A2" s="24" t="s">
        <v>14</v>
      </c>
      <c r="B2" s="11" t="s">
        <v>15</v>
      </c>
      <c r="C2" s="11"/>
      <c r="D2" s="10" t="s">
        <v>16</v>
      </c>
      <c r="E2" s="10"/>
      <c r="F2" s="9" t="s">
        <v>17</v>
      </c>
      <c r="G2" s="9"/>
      <c r="H2" s="9"/>
      <c r="I2" s="9"/>
    </row>
    <row r="4" spans="1:9" ht="15" customHeight="1" x14ac:dyDescent="0.2">
      <c r="A4" s="25" t="s">
        <v>18</v>
      </c>
      <c r="B4" s="25" t="s">
        <v>19</v>
      </c>
      <c r="C4" s="25" t="s">
        <v>20</v>
      </c>
      <c r="D4" s="25" t="s">
        <v>21</v>
      </c>
      <c r="E4" s="25" t="s">
        <v>22</v>
      </c>
      <c r="F4" s="25" t="s">
        <v>23</v>
      </c>
      <c r="G4" s="25" t="s">
        <v>24</v>
      </c>
      <c r="H4" s="25" t="s">
        <v>25</v>
      </c>
      <c r="I4" s="25" t="s">
        <v>26</v>
      </c>
    </row>
    <row r="5" spans="1:9" ht="15" customHeight="1" x14ac:dyDescent="0.2">
      <c r="A5" s="26" t="s">
        <v>27</v>
      </c>
      <c r="B5" s="26" t="s">
        <v>28</v>
      </c>
      <c r="C5" s="27" t="s">
        <v>29</v>
      </c>
      <c r="D5" s="26" t="s">
        <v>30</v>
      </c>
      <c r="E5" s="28">
        <f>'Detalle 3.0TD'!B17</f>
        <v>0.17898769254001817</v>
      </c>
      <c r="F5" s="26" t="str">
        <f>IF('Detalle 3.0TD'!B17&gt;=0.3,"APROBAR",IF('Detalle 3.0TD'!B17&gt;=0.2,"REVISAR","RECHAZAR"))</f>
        <v>RECHAZAR</v>
      </c>
      <c r="G5" s="29">
        <v>0.27500000000000002</v>
      </c>
      <c r="H5" s="30">
        <v>40716.44</v>
      </c>
      <c r="I5" s="31" t="str">
        <f>IF('Detalle 3.0TD'!B17&gt;=0.3,"OK · registrar",IF('Detalle 3.0TD'!B17&gt;=0.2,"Margen abril &lt;30%","Margen abril &lt;20% · subir objetivo o renegociar"))&amp;""</f>
        <v>Margen abril &lt;20% · subir objetivo o renegociar</v>
      </c>
    </row>
    <row r="6" spans="1:9" ht="15" customHeight="1" x14ac:dyDescent="0.2">
      <c r="A6" s="26" t="s">
        <v>31</v>
      </c>
      <c r="B6" s="26" t="s">
        <v>32</v>
      </c>
      <c r="C6" s="27" t="s">
        <v>33</v>
      </c>
      <c r="D6" s="26" t="s">
        <v>30</v>
      </c>
      <c r="E6" s="28">
        <f>'Detalle 3.0TD'!B35</f>
        <v>0.20960183255338388</v>
      </c>
      <c r="F6" s="26" t="str">
        <f>IF('Detalle 3.0TD'!B35&gt;=0.3,"APROBAR",IF('Detalle 3.0TD'!B35&gt;=0.2,"REVISAR","RECHAZAR"))</f>
        <v>REVISAR</v>
      </c>
      <c r="G6" s="29">
        <v>0.24399999999999999</v>
      </c>
      <c r="H6" s="30">
        <v>53718.09</v>
      </c>
      <c r="I6" s="31" t="str">
        <f>IF('Detalle 3.0TD'!B35&gt;=0.3,"OK · registrar",IF('Detalle 3.0TD'!B35&gt;=0.2,"Margen abril &lt;30%","Margen abril &lt;20% · subir objetivo o renegociar"))&amp;""</f>
        <v>Margen abril &lt;30%</v>
      </c>
    </row>
    <row r="7" spans="1:9" ht="15" customHeight="1" x14ac:dyDescent="0.2">
      <c r="A7" s="26" t="s">
        <v>34</v>
      </c>
      <c r="B7" s="26" t="s">
        <v>35</v>
      </c>
      <c r="C7" s="27" t="s">
        <v>36</v>
      </c>
      <c r="D7" s="26" t="s">
        <v>30</v>
      </c>
      <c r="E7" s="28">
        <f>'Detalle 3.0TD'!B53</f>
        <v>3.3690115538098274E-2</v>
      </c>
      <c r="F7" s="26" t="str">
        <f>IF('Detalle 3.0TD'!B53&gt;=0.3,"APROBAR",IF('Detalle 3.0TD'!B53&gt;=0.2,"REVISAR","RECHAZAR"))</f>
        <v>RECHAZAR</v>
      </c>
      <c r="G7" s="29">
        <v>0.20399999999999999</v>
      </c>
      <c r="H7" s="30">
        <v>12272.46</v>
      </c>
      <c r="I7" s="31" t="str">
        <f>IF('Detalle 3.0TD'!B53&gt;=0.3,"OK · registrar",IF('Detalle 3.0TD'!B53&gt;=0.2,"Margen abril &lt;30%","Margen abril &lt;20% · subir objetivo o renegociar"))&amp;""</f>
        <v>Margen abril &lt;20% · subir objetivo o renegociar</v>
      </c>
    </row>
    <row r="8" spans="1:9" ht="15" customHeight="1" x14ac:dyDescent="0.2">
      <c r="A8" s="26" t="s">
        <v>37</v>
      </c>
      <c r="B8" s="26" t="s">
        <v>38</v>
      </c>
      <c r="C8" s="27" t="s">
        <v>39</v>
      </c>
      <c r="D8" s="26" t="s">
        <v>40</v>
      </c>
      <c r="E8" s="28">
        <f>'Detalle 3.0TD'!B72</f>
        <v>0.30715088338785329</v>
      </c>
      <c r="F8" s="26" t="str">
        <f>IF('Detalle 3.0TD'!B72&gt;=0.3,"APROBAR",IF('Detalle 3.0TD'!B72&gt;=0.2,"REVISAR","RECHAZAR"))</f>
        <v>APROBAR</v>
      </c>
      <c r="G8" s="29">
        <v>0.432</v>
      </c>
      <c r="H8" s="30">
        <v>130568.72</v>
      </c>
      <c r="I8" s="31" t="str">
        <f>IF('Detalle 3.0TD'!B72&gt;=0.3,"OK · registrar",IF('Detalle 3.0TD'!B72&gt;=0.2,"Margen abril &lt;30%","Margen abril &lt;20% · subir objetivo o renegociar"))&amp;" · Es 6.1TD (no 3.0TD)"</f>
        <v>OK · registrar · Es 6.1TD (no 3.0TD)</v>
      </c>
    </row>
    <row r="9" spans="1:9" ht="15" customHeight="1" x14ac:dyDescent="0.2">
      <c r="A9" s="26" t="s">
        <v>41</v>
      </c>
      <c r="B9" s="26" t="s">
        <v>42</v>
      </c>
      <c r="C9" s="27" t="s">
        <v>43</v>
      </c>
      <c r="D9" s="26" t="s">
        <v>30</v>
      </c>
      <c r="E9" s="28">
        <f>'Detalle 3.0TD'!B90</f>
        <v>0.35858240849245193</v>
      </c>
      <c r="F9" s="26" t="str">
        <f>IF('Detalle 3.0TD'!B90&gt;=0.3,"APROBAR",IF('Detalle 3.0TD'!B90&gt;=0.2,"REVISAR","RECHAZAR"))</f>
        <v>APROBAR</v>
      </c>
      <c r="G9" s="29">
        <v>0.26900000000000002</v>
      </c>
      <c r="H9" s="30">
        <v>18857.099999999999</v>
      </c>
      <c r="I9" s="31" t="str">
        <f>IF('Detalle 3.0TD'!B90&gt;=0.3,"OK · registrar",IF('Detalle 3.0TD'!B90&gt;=0.2,"Margen abril &lt;30%","Margen abril &lt;20% · subir objetivo o renegociar"))&amp;""</f>
        <v>OK · registrar</v>
      </c>
    </row>
    <row r="10" spans="1:9" ht="15" customHeight="1" x14ac:dyDescent="0.2">
      <c r="A10" s="26" t="s">
        <v>44</v>
      </c>
      <c r="B10" s="26" t="s">
        <v>45</v>
      </c>
      <c r="C10" s="27" t="s">
        <v>43</v>
      </c>
      <c r="D10" s="26" t="s">
        <v>30</v>
      </c>
      <c r="E10" s="28">
        <f>'Detalle 3.0TD'!B108</f>
        <v>0.33436080975282412</v>
      </c>
      <c r="F10" s="26" t="str">
        <f>IF('Detalle 3.0TD'!B108&gt;=0.3,"APROBAR",IF('Detalle 3.0TD'!B108&gt;=0.2,"REVISAR","RECHAZAR"))</f>
        <v>APROBAR</v>
      </c>
      <c r="G10" s="29">
        <v>0.32400000000000001</v>
      </c>
      <c r="H10" s="30">
        <v>19336.5</v>
      </c>
      <c r="I10" s="31" t="str">
        <f>IF('Detalle 3.0TD'!B108&gt;=0.3,"OK · registrar",IF('Detalle 3.0TD'!B108&gt;=0.2,"Margen abril &lt;30%","Margen abril &lt;20% · subir objetivo o renegociar"))&amp;""</f>
        <v>OK · registrar</v>
      </c>
    </row>
    <row r="11" spans="1:9" ht="15" customHeight="1" x14ac:dyDescent="0.2">
      <c r="A11" s="26" t="s">
        <v>46</v>
      </c>
      <c r="B11" s="26" t="s">
        <v>47</v>
      </c>
      <c r="C11" s="27" t="s">
        <v>43</v>
      </c>
      <c r="D11" s="26" t="s">
        <v>30</v>
      </c>
      <c r="E11" s="28">
        <f>'Detalle 3.0TD'!B126</f>
        <v>0.3266150256989756</v>
      </c>
      <c r="F11" s="26" t="str">
        <f>IF('Detalle 3.0TD'!B126&gt;=0.3,"APROBAR",IF('Detalle 3.0TD'!B126&gt;=0.2,"REVISAR","RECHAZAR"))</f>
        <v>APROBAR</v>
      </c>
      <c r="G11" s="29">
        <v>0.34200000000000003</v>
      </c>
      <c r="H11" s="30">
        <v>10564.26</v>
      </c>
      <c r="I11" s="31" t="str">
        <f>IF('Detalle 3.0TD'!B126&gt;=0.3,"OK · registrar",IF('Detalle 3.0TD'!B126&gt;=0.2,"Margen abril &lt;30%","Margen abril &lt;20% · subir objetivo o renegociar"))&amp;""</f>
        <v>OK · registrar</v>
      </c>
    </row>
    <row r="12" spans="1:9" ht="15" customHeight="1" x14ac:dyDescent="0.2">
      <c r="A12" s="26" t="s">
        <v>48</v>
      </c>
      <c r="B12" s="26" t="s">
        <v>49</v>
      </c>
      <c r="C12" s="27" t="s">
        <v>50</v>
      </c>
      <c r="D12" s="26" t="s">
        <v>30</v>
      </c>
      <c r="E12" s="28">
        <f>'Detalle 3.0TD'!B145</f>
        <v>0.16289997330623368</v>
      </c>
      <c r="F12" s="26" t="str">
        <f>IF('Detalle 3.0TD'!B145&gt;=0.3,"APROBAR",IF('Detalle 3.0TD'!B145&gt;=0.2,"REVISAR","RECHAZAR"))</f>
        <v>RECHAZAR</v>
      </c>
      <c r="G12" s="29">
        <v>0.40500000000000003</v>
      </c>
      <c r="H12" s="30">
        <v>151868.44</v>
      </c>
      <c r="I12" s="31" t="str">
        <f>IF('Detalle 3.0TD'!B145&gt;=0.3,"OK · registrar",IF('Detalle 3.0TD'!B145&gt;=0.2,"Margen abril &lt;30%","Margen abril &lt;20% · subir objetivo o renegociar"))&amp;""</f>
        <v>Margen abril &lt;20% · subir objetivo o renegociar</v>
      </c>
    </row>
    <row r="13" spans="1:9" ht="15" customHeight="1" x14ac:dyDescent="0.2">
      <c r="A13" s="26" t="s">
        <v>51</v>
      </c>
      <c r="B13" s="26" t="s">
        <v>52</v>
      </c>
      <c r="C13" s="27" t="s">
        <v>53</v>
      </c>
      <c r="D13" s="26" t="s">
        <v>30</v>
      </c>
      <c r="E13" s="28">
        <f>'Detalle 3.0TD'!B163</f>
        <v>0.30823788546255504</v>
      </c>
      <c r="F13" s="26" t="str">
        <f>IF('Detalle 3.0TD'!B163&gt;=0.3,"APROBAR",IF('Detalle 3.0TD'!B163&gt;=0.2,"REVISAR","RECHAZAR"))</f>
        <v>APROBAR</v>
      </c>
      <c r="G13" s="29">
        <v>0.48699999999999999</v>
      </c>
      <c r="H13" s="30">
        <v>2907.71</v>
      </c>
      <c r="I13" s="31" t="str">
        <f>IF('Detalle 3.0TD'!B163&gt;=0.3,"OK · registrar",IF('Detalle 3.0TD'!B163&gt;=0.2,"Margen abril &lt;30%","Margen abril &lt;20% · subir objetivo o renegociar"))&amp;""</f>
        <v>OK · registrar</v>
      </c>
    </row>
    <row r="14" spans="1:9" ht="18.75" customHeight="1" x14ac:dyDescent="0.2">
      <c r="A14" s="26" t="s">
        <v>54</v>
      </c>
      <c r="B14" s="26" t="s">
        <v>55</v>
      </c>
      <c r="C14" s="27" t="s">
        <v>56</v>
      </c>
      <c r="D14" s="26" t="s">
        <v>57</v>
      </c>
      <c r="E14" s="28">
        <f>'Detalle 3.0TD'!B181</f>
        <v>0.13307223190242345</v>
      </c>
      <c r="F14" s="26" t="str">
        <f>IF('Detalle 3.0TD'!B181&gt;=0.3,"APROBAR",IF('Detalle 3.0TD'!B181&gt;=0.2,"REVISAR","RECHAZAR"))</f>
        <v>RECHAZAR</v>
      </c>
      <c r="G14" s="29">
        <v>0.316</v>
      </c>
      <c r="H14" s="30">
        <v>26924.82</v>
      </c>
      <c r="I14" s="31" t="str">
        <f>IF('Detalle 3.0TD'!B181&gt;=0.3,"OK · registrar",IF('Detalle 3.0TD'!B181&gt;=0.2,"Margen abril &lt;30%","Margen abril &lt;20% · subir objetivo o renegociar"))&amp;" · Repsol margen muy bajo"</f>
        <v>Margen abril &lt;20% · subir objetivo o renegociar · Repsol margen muy bajo</v>
      </c>
    </row>
    <row r="15" spans="1:9" ht="15" customHeight="1" x14ac:dyDescent="0.2">
      <c r="A15" s="26" t="s">
        <v>58</v>
      </c>
      <c r="B15" s="26" t="s">
        <v>59</v>
      </c>
      <c r="C15" s="27" t="s">
        <v>60</v>
      </c>
      <c r="D15" s="26" t="s">
        <v>30</v>
      </c>
      <c r="E15" s="28">
        <f>'Detalle 3.0TD'!B199</f>
        <v>0.29787382550335584</v>
      </c>
      <c r="F15" s="26" t="str">
        <f>IF('Detalle 3.0TD'!B199&gt;=0.3,"APROBAR",IF('Detalle 3.0TD'!B199&gt;=0.2,"REVISAR","RECHAZAR"))</f>
        <v>REVISAR</v>
      </c>
      <c r="G15" s="29">
        <v>0.36199999999999999</v>
      </c>
      <c r="H15" s="30">
        <v>6192.61</v>
      </c>
      <c r="I15" s="31" t="str">
        <f>IF('Detalle 3.0TD'!B199&gt;=0.3,"OK · registrar",IF('Detalle 3.0TD'!B199&gt;=0.2,"Margen abril &lt;30%","Margen abril &lt;20% · subir objetivo o renegociar"))&amp;""</f>
        <v>Margen abril &lt;30%</v>
      </c>
    </row>
    <row r="16" spans="1:9" ht="15" customHeight="1" x14ac:dyDescent="0.2">
      <c r="A16" s="26" t="s">
        <v>61</v>
      </c>
      <c r="B16" s="26" t="s">
        <v>62</v>
      </c>
      <c r="C16" s="27" t="s">
        <v>63</v>
      </c>
      <c r="D16" s="26" t="s">
        <v>30</v>
      </c>
      <c r="E16" s="28">
        <f>'Detalle 3.0TD'!B217</f>
        <v>0.16804865096709626</v>
      </c>
      <c r="F16" s="26" t="str">
        <f>IF('Detalle 3.0TD'!B217&gt;=0.3,"APROBAR",IF('Detalle 3.0TD'!B217&gt;=0.2,"REVISAR","RECHAZAR"))</f>
        <v>RECHAZAR</v>
      </c>
      <c r="G16" s="29">
        <v>0.27700000000000002</v>
      </c>
      <c r="H16" s="30">
        <v>31335.42</v>
      </c>
      <c r="I16" s="31" t="str">
        <f>IF('Detalle 3.0TD'!B217&gt;=0.3,"OK · registrar",IF('Detalle 3.0TD'!B217&gt;=0.2,"Margen abril &lt;30%","Margen abril &lt;20% · subir objetivo o renegociar"))&amp;""</f>
        <v>Margen abril &lt;20% · subir objetivo o renegociar</v>
      </c>
    </row>
    <row r="17" spans="1:9" ht="15" customHeight="1" x14ac:dyDescent="0.2">
      <c r="A17" s="26" t="s">
        <v>64</v>
      </c>
      <c r="B17" s="26" t="s">
        <v>65</v>
      </c>
      <c r="C17" s="27" t="s">
        <v>66</v>
      </c>
      <c r="D17" s="26" t="s">
        <v>57</v>
      </c>
      <c r="E17" s="28">
        <f>'Detalle 3.0TD'!B235</f>
        <v>0.16678386009654783</v>
      </c>
      <c r="F17" s="26" t="str">
        <f>IF('Detalle 3.0TD'!B235&gt;=0.3,"APROBAR",IF('Detalle 3.0TD'!B235&gt;=0.2,"REVISAR","RECHAZAR"))</f>
        <v>RECHAZAR</v>
      </c>
      <c r="G17" s="29">
        <v>0.253</v>
      </c>
      <c r="H17" s="30">
        <v>14704.48</v>
      </c>
      <c r="I17" s="31" t="str">
        <f>IF('Detalle 3.0TD'!B235&gt;=0.3,"OK · registrar",IF('Detalle 3.0TD'!B235&gt;=0.2,"Margen abril &lt;30%","Margen abril &lt;20% · subir objetivo o renegociar"))&amp;""</f>
        <v>Margen abril &lt;20% · subir objetivo o renegociar</v>
      </c>
    </row>
    <row r="18" spans="1:9" ht="15" customHeight="1" x14ac:dyDescent="0.2">
      <c r="A18" s="26" t="s">
        <v>67</v>
      </c>
      <c r="B18" s="26" t="s">
        <v>68</v>
      </c>
      <c r="C18" s="27" t="s">
        <v>69</v>
      </c>
      <c r="D18" s="26" t="s">
        <v>30</v>
      </c>
      <c r="E18" s="28">
        <f>'Detalle 3.0TD'!B253</f>
        <v>0.33509686646729936</v>
      </c>
      <c r="F18" s="26" t="str">
        <f>IF('Detalle 3.0TD'!B253&gt;=0.3,"APROBAR",IF('Detalle 3.0TD'!B253&gt;=0.2,"REVISAR","RECHAZAR"))</f>
        <v>APROBAR</v>
      </c>
      <c r="G18" s="29">
        <v>0.184</v>
      </c>
      <c r="H18" s="30">
        <v>3367.63</v>
      </c>
      <c r="I18" s="31" t="str">
        <f>IF('Detalle 3.0TD'!B253&gt;=0.3,"OK · registrar",IF('Detalle 3.0TD'!B253&gt;=0.2,"Margen abril &lt;30%","Margen abril &lt;20% · subir objetivo o renegociar"))&amp;""</f>
        <v>OK · registrar</v>
      </c>
    </row>
    <row r="19" spans="1:9" ht="15" customHeight="1" x14ac:dyDescent="0.2">
      <c r="A19" s="26" t="s">
        <v>70</v>
      </c>
      <c r="B19" s="26" t="s">
        <v>71</v>
      </c>
      <c r="C19" s="27" t="s">
        <v>72</v>
      </c>
      <c r="D19" s="26" t="s">
        <v>57</v>
      </c>
      <c r="E19" s="28">
        <f>'Detalle 3.0TD'!B271</f>
        <v>0.21949185188939868</v>
      </c>
      <c r="F19" s="26" t="str">
        <f>IF('Detalle 3.0TD'!B271&gt;=0.3,"APROBAR",IF('Detalle 3.0TD'!B271&gt;=0.2,"REVISAR","RECHAZAR"))</f>
        <v>REVISAR</v>
      </c>
      <c r="G19" s="29">
        <v>0.20300000000000001</v>
      </c>
      <c r="H19" s="30">
        <v>15417.71</v>
      </c>
      <c r="I19" s="31" t="str">
        <f>IF('Detalle 3.0TD'!B271&gt;=0.3,"OK · registrar",IF('Detalle 3.0TD'!B271&gt;=0.2,"Margen abril &lt;30%","Margen abril &lt;20% · subir objetivo o renegociar"))&amp;" · P6 a precio doble (real)"</f>
        <v>Margen abril &lt;30% · P6 a precio doble (real)</v>
      </c>
    </row>
    <row r="20" spans="1:9" ht="15" customHeight="1" x14ac:dyDescent="0.2">
      <c r="A20" s="26" t="s">
        <v>73</v>
      </c>
      <c r="B20" s="26" t="s">
        <v>52</v>
      </c>
      <c r="C20" s="27" t="s">
        <v>53</v>
      </c>
      <c r="D20" s="26" t="s">
        <v>30</v>
      </c>
      <c r="E20" s="28">
        <f>'Detalle 3.0TD'!B289</f>
        <v>0.30823788546255504</v>
      </c>
      <c r="F20" s="26" t="str">
        <f>IF('Detalle 3.0TD'!B289&gt;=0.3,"APROBAR",IF('Detalle 3.0TD'!B289&gt;=0.2,"REVISAR","RECHAZAR"))</f>
        <v>APROBAR</v>
      </c>
      <c r="G20" s="29">
        <v>0.48699999999999999</v>
      </c>
      <c r="H20" s="30">
        <v>2907.71</v>
      </c>
      <c r="I20" s="31" t="str">
        <f>IF('Detalle 3.0TD'!B289&gt;=0.3,"OK · registrar",IF('Detalle 3.0TD'!B289&gt;=0.2,"Margen abril &lt;30%","Margen abril &lt;20% · subir objetivo o renegociar"))&amp;""</f>
        <v>OK · registrar</v>
      </c>
    </row>
    <row r="21" spans="1:9" ht="15" customHeight="1" x14ac:dyDescent="0.2">
      <c r="A21" s="26" t="s">
        <v>74</v>
      </c>
      <c r="B21" s="26" t="s">
        <v>75</v>
      </c>
      <c r="C21" s="27" t="s">
        <v>76</v>
      </c>
      <c r="D21" s="26" t="s">
        <v>30</v>
      </c>
      <c r="E21" s="28">
        <f>'Detalle 3.0TD'!B307</f>
        <v>0.23603570416548589</v>
      </c>
      <c r="F21" s="26" t="str">
        <f>IF('Detalle 3.0TD'!B307&gt;=0.3,"APROBAR",IF('Detalle 3.0TD'!B307&gt;=0.2,"REVISAR","RECHAZAR"))</f>
        <v>REVISAR</v>
      </c>
      <c r="G21" s="29">
        <v>0.29199999999999998</v>
      </c>
      <c r="H21" s="30">
        <v>5897.71</v>
      </c>
      <c r="I21" s="31" t="str">
        <f>IF('Detalle 3.0TD'!B307&gt;=0.3,"OK · registrar",IF('Detalle 3.0TD'!B307&gt;=0.2,"Margen abril &lt;30%","Margen abril &lt;20% · subir objetivo o renegociar"))&amp;""</f>
        <v>Margen abril &lt;30%</v>
      </c>
    </row>
    <row r="22" spans="1:9" ht="15" customHeight="1" x14ac:dyDescent="0.2">
      <c r="A22" s="26" t="s">
        <v>77</v>
      </c>
      <c r="B22" s="26" t="s">
        <v>78</v>
      </c>
      <c r="C22" s="27" t="s">
        <v>79</v>
      </c>
      <c r="D22" s="26" t="s">
        <v>57</v>
      </c>
      <c r="E22" s="28">
        <f>'Detalle 3.0TD'!B325</f>
        <v>0.25181785671712958</v>
      </c>
      <c r="F22" s="26" t="str">
        <f>IF('Detalle 3.0TD'!B325&gt;=0.3,"APROBAR",IF('Detalle 3.0TD'!B325&gt;=0.2,"REVISAR","RECHAZAR"))</f>
        <v>REVISAR</v>
      </c>
      <c r="G22" s="29">
        <v>0.42399999999999999</v>
      </c>
      <c r="H22" s="30">
        <v>4741.93</v>
      </c>
      <c r="I22" s="31" t="str">
        <f>IF('Detalle 3.0TD'!B325&gt;=0.3,"OK · registrar",IF('Detalle 3.0TD'!B325&gt;=0.2,"Margen abril &lt;30%","Margen abril &lt;20% · subir objetivo o renegociar"))&amp;""</f>
        <v>Margen abril &lt;30%</v>
      </c>
    </row>
    <row r="23" spans="1:9" ht="15" customHeight="1" x14ac:dyDescent="0.2">
      <c r="A23" s="26" t="s">
        <v>80</v>
      </c>
      <c r="B23" s="26" t="s">
        <v>81</v>
      </c>
      <c r="C23" s="27" t="s">
        <v>82</v>
      </c>
      <c r="D23" s="26" t="s">
        <v>57</v>
      </c>
      <c r="E23" s="28">
        <f>'Detalle 3.0TD'!B343</f>
        <v>7.1728859792689698E-2</v>
      </c>
      <c r="F23" s="26" t="str">
        <f>IF('Detalle 3.0TD'!B343&gt;=0.3,"APROBAR",IF('Detalle 3.0TD'!B343&gt;=0.2,"REVISAR","RECHAZAR"))</f>
        <v>RECHAZAR</v>
      </c>
      <c r="G23" s="29">
        <v>0.154</v>
      </c>
      <c r="H23" s="30">
        <v>2756.73</v>
      </c>
      <c r="I23" s="31" t="str">
        <f>IF('Detalle 3.0TD'!B343&gt;=0.3,"OK · registrar",IF('Detalle 3.0TD'!B343&gt;=0.2,"Margen abril &lt;30%","Margen abril &lt;20% · subir objetivo o renegociar"))&amp;""</f>
        <v>Margen abril &lt;20% · subir objetivo o renegociar</v>
      </c>
    </row>
    <row r="24" spans="1:9" ht="15" customHeight="1" x14ac:dyDescent="0.2">
      <c r="A24" s="26" t="s">
        <v>83</v>
      </c>
      <c r="B24" s="26" t="s">
        <v>84</v>
      </c>
      <c r="C24" s="27" t="s">
        <v>85</v>
      </c>
      <c r="D24" s="26" t="s">
        <v>57</v>
      </c>
      <c r="E24" s="28">
        <f>'Detalle 3.0TD'!B361</f>
        <v>6.9009331377705777E-2</v>
      </c>
      <c r="F24" s="26" t="str">
        <f>IF('Detalle 3.0TD'!B361&gt;=0.3,"APROBAR",IF('Detalle 3.0TD'!B361&gt;=0.2,"REVISAR","RECHAZAR"))</f>
        <v>RECHAZAR</v>
      </c>
      <c r="G24" s="29">
        <v>0.14699999999999999</v>
      </c>
      <c r="H24" s="30">
        <v>3844.21</v>
      </c>
      <c r="I24" s="31" t="str">
        <f>IF('Detalle 3.0TD'!B361&gt;=0.3,"OK · registrar",IF('Detalle 3.0TD'!B361&gt;=0.2,"Margen abril &lt;30%","Margen abril &lt;20% · subir objetivo o renegociar"))&amp;""</f>
        <v>Margen abril &lt;20% · subir objetivo o renegociar</v>
      </c>
    </row>
    <row r="25" spans="1:9" ht="18.75" customHeight="1" x14ac:dyDescent="0.2">
      <c r="A25" s="26" t="s">
        <v>86</v>
      </c>
      <c r="B25" s="26" t="s">
        <v>87</v>
      </c>
      <c r="C25" s="27" t="s">
        <v>88</v>
      </c>
      <c r="D25" s="26" t="s">
        <v>57</v>
      </c>
      <c r="E25" s="28">
        <f>'Detalle 3.0TD'!B379</f>
        <v>0.16350200424428216</v>
      </c>
      <c r="F25" s="26" t="str">
        <f>IF('Detalle 3.0TD'!B379&gt;=0.3,"APROBAR",IF('Detalle 3.0TD'!B379&gt;=0.2,"REVISAR","RECHAZAR"))</f>
        <v>RECHAZAR</v>
      </c>
      <c r="G25" s="29">
        <v>0.30599999999999999</v>
      </c>
      <c r="H25" s="30">
        <v>43740</v>
      </c>
      <c r="I25" s="31" t="str">
        <f>IF('Detalle 3.0TD'!B379&gt;=0.3,"OK · registrar",IF('Detalle 3.0TD'!B379&gt;=0.2,"Margen abril &lt;30%","Margen abril &lt;20% · subir objetivo o renegociar"))&amp;" · P6 doble (real); abril sin consumo"</f>
        <v>Margen abril &lt;20% · subir objetivo o renegociar · P6 doble (real); abril sin consumo</v>
      </c>
    </row>
    <row r="26" spans="1:9" ht="18.75" customHeight="1" x14ac:dyDescent="0.2">
      <c r="A26" s="26" t="s">
        <v>89</v>
      </c>
      <c r="B26" s="26" t="s">
        <v>90</v>
      </c>
      <c r="C26" s="27" t="s">
        <v>91</v>
      </c>
      <c r="D26" s="26" t="s">
        <v>30</v>
      </c>
      <c r="E26" s="28">
        <f>'Detalle 3.0TD'!B398</f>
        <v>0.26203770679235583</v>
      </c>
      <c r="F26" s="26" t="str">
        <f>IF('Detalle 3.0TD'!B398&gt;=0.3,"APROBAR",IF('Detalle 3.0TD'!B398&gt;=0.2,"REVISAR","RECHAZAR"))</f>
        <v>REVISAR</v>
      </c>
      <c r="G26" s="29">
        <v>0.31</v>
      </c>
      <c r="H26" s="30">
        <v>14442.13</v>
      </c>
      <c r="I26" s="31" t="str">
        <f>IF('Detalle 3.0TD'!B398&gt;=0.3,"OK · registrar",IF('Detalle 3.0TD'!B398&gt;=0.2,"Margen abril &lt;30%","Margen abril &lt;20% · subir objetivo o renegociar"))&amp;" · Excedentes solares NO compensados"</f>
        <v>Margen abril &lt;30% · Excedentes solares NO compensados</v>
      </c>
    </row>
    <row r="27" spans="1:9" ht="15" customHeight="1" x14ac:dyDescent="0.2">
      <c r="A27" s="26" t="s">
        <v>92</v>
      </c>
      <c r="B27" s="26" t="s">
        <v>93</v>
      </c>
      <c r="C27" s="27" t="s">
        <v>94</v>
      </c>
      <c r="D27" s="26" t="s">
        <v>30</v>
      </c>
      <c r="E27" s="28">
        <f>'Detalle 3.0TD'!B416</f>
        <v>0.18029709082490938</v>
      </c>
      <c r="F27" s="26" t="str">
        <f>IF('Detalle 3.0TD'!B416&gt;=0.3,"APROBAR",IF('Detalle 3.0TD'!B416&gt;=0.2,"REVISAR","RECHAZAR"))</f>
        <v>RECHAZAR</v>
      </c>
      <c r="G27" s="29">
        <v>0.32600000000000001</v>
      </c>
      <c r="H27" s="30">
        <v>5854.69</v>
      </c>
      <c r="I27" s="31" t="str">
        <f>IF('Detalle 3.0TD'!B416&gt;=0.3,"OK · registrar",IF('Detalle 3.0TD'!B416&gt;=0.2,"Margen abril &lt;30%","Margen abril &lt;20% · subir objetivo o renegociar"))&amp;""</f>
        <v>Margen abril &lt;20% · subir objetivo o renegociar</v>
      </c>
    </row>
    <row r="28" spans="1:9" ht="15" customHeight="1" x14ac:dyDescent="0.2">
      <c r="A28" s="26" t="s">
        <v>95</v>
      </c>
      <c r="B28" s="26" t="s">
        <v>96</v>
      </c>
      <c r="C28" s="27" t="s">
        <v>97</v>
      </c>
      <c r="D28" s="26" t="s">
        <v>30</v>
      </c>
      <c r="E28" s="28">
        <f>'Detalle 3.0TD'!B434</f>
        <v>0.21443777493178917</v>
      </c>
      <c r="F28" s="26" t="str">
        <f>IF('Detalle 3.0TD'!B434&gt;=0.3,"APROBAR",IF('Detalle 3.0TD'!B434&gt;=0.2,"REVISAR","RECHAZAR"))</f>
        <v>REVISAR</v>
      </c>
      <c r="G28" s="29">
        <v>0.34699999999999998</v>
      </c>
      <c r="H28" s="30">
        <v>33692.129999999997</v>
      </c>
      <c r="I28" s="31" t="str">
        <f>IF('Detalle 3.0TD'!B434&gt;=0.3,"OK · registrar",IF('Detalle 3.0TD'!B434&gt;=0.2,"Margen abril &lt;30%","Margen abril &lt;20% · subir objetivo o renegociar"))&amp;""</f>
        <v>Margen abril &lt;30%</v>
      </c>
    </row>
    <row r="29" spans="1:9" ht="15" customHeight="1" x14ac:dyDescent="0.2">
      <c r="A29" s="26" t="s">
        <v>98</v>
      </c>
      <c r="B29" s="26" t="s">
        <v>99</v>
      </c>
      <c r="C29" s="27" t="s">
        <v>100</v>
      </c>
      <c r="D29" s="26" t="s">
        <v>57</v>
      </c>
      <c r="E29" s="28">
        <f>'Detalle 3.0TD'!B452</f>
        <v>4.7489345866196145E-2</v>
      </c>
      <c r="F29" s="26" t="str">
        <f>IF('Detalle 3.0TD'!B452&gt;=0.3,"APROBAR",IF('Detalle 3.0TD'!B452&gt;=0.2,"REVISAR","RECHAZAR"))</f>
        <v>RECHAZAR</v>
      </c>
      <c r="G29" s="29">
        <v>0.129</v>
      </c>
      <c r="H29" s="30">
        <v>14832.89</v>
      </c>
      <c r="I29" s="31" t="str">
        <f>IF('Detalle 3.0TD'!B452&gt;=0.3,"OK · registrar",IF('Detalle 3.0TD'!B452&gt;=0.2,"Margen abril &lt;30%","Margen abril &lt;20% · subir objetivo o renegociar"))&amp;""</f>
        <v>Margen abril &lt;20% · subir objetivo o renegociar</v>
      </c>
    </row>
    <row r="30" spans="1:9" ht="15" customHeight="1" x14ac:dyDescent="0.2">
      <c r="A30" s="26" t="s">
        <v>101</v>
      </c>
      <c r="B30" s="26" t="s">
        <v>102</v>
      </c>
      <c r="C30" s="27" t="s">
        <v>103</v>
      </c>
      <c r="D30" s="26" t="s">
        <v>30</v>
      </c>
      <c r="E30" s="28">
        <f>'Detalle 3.0TD'!B470</f>
        <v>0.2001850185970071</v>
      </c>
      <c r="F30" s="26" t="str">
        <f>IF('Detalle 3.0TD'!B470&gt;=0.3,"APROBAR",IF('Detalle 3.0TD'!B470&gt;=0.2,"REVISAR","RECHAZAR"))</f>
        <v>REVISAR</v>
      </c>
      <c r="G30" s="29">
        <v>0.314</v>
      </c>
      <c r="H30" s="30">
        <v>82412.039999999994</v>
      </c>
      <c r="I30" s="31" t="str">
        <f>IF('Detalle 3.0TD'!B470&gt;=0.3,"OK · registrar",IF('Detalle 3.0TD'!B470&gt;=0.2,"Margen abril &lt;30%","Margen abril &lt;20% · subir objetivo o renegociar"))&amp;""</f>
        <v>Margen abril &lt;30%</v>
      </c>
    </row>
    <row r="31" spans="1:9" ht="15" customHeight="1" x14ac:dyDescent="0.2">
      <c r="A31" s="26" t="s">
        <v>104</v>
      </c>
      <c r="B31" s="26" t="s">
        <v>105</v>
      </c>
      <c r="C31" s="27" t="s">
        <v>106</v>
      </c>
      <c r="D31" s="26" t="s">
        <v>30</v>
      </c>
      <c r="E31" s="28">
        <f>'Detalle 3.0TD'!B488</f>
        <v>0.16668595273160811</v>
      </c>
      <c r="F31" s="26" t="str">
        <f>IF('Detalle 3.0TD'!B488&gt;=0.3,"APROBAR",IF('Detalle 3.0TD'!B488&gt;=0.2,"REVISAR","RECHAZAR"))</f>
        <v>RECHAZAR</v>
      </c>
      <c r="G31" s="29">
        <v>0.32400000000000001</v>
      </c>
      <c r="H31" s="30">
        <v>40860.129999999997</v>
      </c>
      <c r="I31" s="31" t="str">
        <f>IF('Detalle 3.0TD'!B488&gt;=0.3,"OK · registrar",IF('Detalle 3.0TD'!B488&gt;=0.2,"Margen abril &lt;30%","Margen abril &lt;20% · subir objetivo o renegociar"))&amp;""</f>
        <v>Margen abril &lt;20% · subir objetivo o renegociar</v>
      </c>
    </row>
    <row r="33" spans="1:9" ht="15" customHeight="1" x14ac:dyDescent="0.2">
      <c r="A33" s="8" t="s">
        <v>107</v>
      </c>
      <c r="B33" s="8"/>
      <c r="C33" s="8"/>
      <c r="D33" s="8"/>
      <c r="E33" s="8"/>
      <c r="F33" s="8"/>
      <c r="G33" s="8"/>
      <c r="H33" s="8"/>
      <c r="I33" s="8"/>
    </row>
  </sheetData>
  <mergeCells count="5">
    <mergeCell ref="A1:I1"/>
    <mergeCell ref="B2:C2"/>
    <mergeCell ref="D2:E2"/>
    <mergeCell ref="F2:I2"/>
    <mergeCell ref="A33:I33"/>
  </mergeCells>
  <conditionalFormatting sqref="E5:E31">
    <cfRule type="cellIs" dxfId="173" priority="2" operator="lessThan">
      <formula>0.2</formula>
    </cfRule>
    <cfRule type="cellIs" dxfId="172" priority="3" operator="between">
      <formula>0.2</formula>
      <formula>0.29999</formula>
    </cfRule>
    <cfRule type="cellIs" dxfId="171" priority="4" operator="greaterThanOrEqual">
      <formula>0.3</formula>
    </cfRule>
  </conditionalFormatting>
  <conditionalFormatting sqref="F5:F31">
    <cfRule type="expression" dxfId="170" priority="5">
      <formula>$E5&lt;0.2</formula>
    </cfRule>
    <cfRule type="expression" dxfId="169" priority="6">
      <formula>AND($E5&gt;=0.2,$E5&lt;0.3)</formula>
    </cfRule>
    <cfRule type="expression" dxfId="168" priority="7">
      <formula>$E5&gt;=0.3</formula>
    </cfRule>
  </conditionalFormatting>
  <conditionalFormatting sqref="G5:G31">
    <cfRule type="cellIs" dxfId="167" priority="8" operator="lessThan">
      <formula>0.2</formula>
    </cfRule>
    <cfRule type="cellIs" dxfId="166" priority="9" operator="greaterThanOrEqual">
      <formula>0.3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488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9" customWidth="1"/>
    <col min="3" max="3" width="6" customWidth="1"/>
    <col min="4" max="4" width="11" customWidth="1"/>
    <col min="5" max="5" width="10" customWidth="1"/>
    <col min="6" max="6" width="11" customWidth="1"/>
    <col min="7" max="7" width="2" customWidth="1"/>
    <col min="8" max="8" width="9" customWidth="1"/>
    <col min="9" max="9" width="10" customWidth="1"/>
    <col min="10" max="10" width="11" customWidth="1"/>
    <col min="11" max="11" width="2" customWidth="1"/>
    <col min="12" max="12" width="9" customWidth="1"/>
    <col min="13" max="13" width="10" customWidth="1"/>
    <col min="14" max="14" width="11" customWidth="1"/>
    <col min="15" max="15" width="24" customWidth="1"/>
    <col min="16" max="16" width="9" customWidth="1"/>
    <col min="17" max="17" width="2" customWidth="1"/>
    <col min="18" max="18" width="11" customWidth="1"/>
    <col min="19" max="19" width="7" customWidth="1"/>
    <col min="20" max="22" width="9" customWidth="1"/>
  </cols>
  <sheetData>
    <row r="1" spans="1:22" ht="15" customHeight="1" x14ac:dyDescent="0.2">
      <c r="A1" s="7" t="s">
        <v>108</v>
      </c>
      <c r="B1" s="7"/>
      <c r="C1" s="7"/>
      <c r="D1" s="7"/>
      <c r="E1" s="7"/>
      <c r="F1" s="7"/>
      <c r="G1" s="7"/>
      <c r="H1" s="7"/>
      <c r="I1" s="6" t="s">
        <v>109</v>
      </c>
      <c r="J1" s="6"/>
      <c r="K1" s="6"/>
      <c r="L1" s="6"/>
      <c r="M1" s="6"/>
      <c r="N1" s="6"/>
      <c r="R1" s="5" t="s">
        <v>110</v>
      </c>
      <c r="S1" s="5"/>
      <c r="T1" s="5"/>
      <c r="U1" s="5"/>
      <c r="V1" s="5"/>
    </row>
    <row r="2" spans="1:22" ht="15" customHeight="1" x14ac:dyDescent="0.2">
      <c r="A2" s="32" t="s">
        <v>111</v>
      </c>
      <c r="B2" s="4" t="s">
        <v>112</v>
      </c>
      <c r="C2" s="4"/>
      <c r="D2" s="4"/>
      <c r="E2" s="4"/>
      <c r="F2" s="4"/>
      <c r="G2" s="33"/>
      <c r="H2" s="3" t="s">
        <v>113</v>
      </c>
      <c r="I2" s="3"/>
      <c r="J2" s="3"/>
      <c r="K2" s="33"/>
      <c r="L2" s="2" t="s">
        <v>114</v>
      </c>
      <c r="M2" s="2"/>
      <c r="N2" s="2"/>
      <c r="R2" s="1" t="s">
        <v>115</v>
      </c>
      <c r="S2" s="1"/>
      <c r="T2" s="1"/>
      <c r="U2" s="1"/>
      <c r="V2" s="1"/>
    </row>
    <row r="3" spans="1:22" ht="15" customHeight="1" x14ac:dyDescent="0.2">
      <c r="A3" s="33"/>
      <c r="B3" s="34" t="s">
        <v>116</v>
      </c>
      <c r="C3" s="34" t="s">
        <v>117</v>
      </c>
      <c r="D3" s="34" t="s">
        <v>118</v>
      </c>
      <c r="E3" s="34" t="s">
        <v>119</v>
      </c>
      <c r="F3" s="34" t="s">
        <v>120</v>
      </c>
      <c r="G3" s="33"/>
      <c r="H3" s="35" t="s">
        <v>116</v>
      </c>
      <c r="I3" s="35" t="s">
        <v>119</v>
      </c>
      <c r="J3" s="35" t="s">
        <v>120</v>
      </c>
      <c r="K3" s="33"/>
      <c r="L3" s="36" t="s">
        <v>116</v>
      </c>
      <c r="M3" s="36" t="s">
        <v>119</v>
      </c>
      <c r="N3" s="36" t="s">
        <v>120</v>
      </c>
      <c r="R3" s="124" t="s">
        <v>121</v>
      </c>
      <c r="S3" s="124"/>
      <c r="T3" s="124"/>
      <c r="U3" s="124"/>
      <c r="V3" s="124"/>
    </row>
    <row r="4" spans="1:22" ht="15" customHeight="1" x14ac:dyDescent="0.2">
      <c r="A4" s="27" t="s">
        <v>122</v>
      </c>
      <c r="B4" s="37">
        <v>30</v>
      </c>
      <c r="C4" s="38">
        <v>30</v>
      </c>
      <c r="D4" s="39">
        <v>1.7378400000000001</v>
      </c>
      <c r="E4" s="39">
        <v>2.5541999999999998</v>
      </c>
      <c r="F4" s="37">
        <f t="shared" ref="F4:F15" si="0">ROUND(B4*E4,2)</f>
        <v>76.63</v>
      </c>
      <c r="G4" s="40"/>
      <c r="H4" s="41">
        <v>30</v>
      </c>
      <c r="I4" s="42">
        <v>2.5541999999999998</v>
      </c>
      <c r="J4" s="41">
        <f t="shared" ref="J4:J15" si="1">ROUND(H4*I4,2)</f>
        <v>76.63</v>
      </c>
      <c r="K4" s="40"/>
      <c r="L4" s="43">
        <v>30</v>
      </c>
      <c r="M4" s="44">
        <v>2.5541999999999998</v>
      </c>
      <c r="N4" s="43">
        <f t="shared" ref="N4:N15" si="2">ROUND(L4*M4,2)</f>
        <v>76.63</v>
      </c>
      <c r="R4" s="125" t="s">
        <v>123</v>
      </c>
      <c r="S4" s="125"/>
      <c r="T4" s="125"/>
      <c r="U4" s="125"/>
      <c r="V4" s="125"/>
    </row>
    <row r="5" spans="1:22" ht="15" customHeight="1" x14ac:dyDescent="0.2">
      <c r="A5" s="27" t="s">
        <v>124</v>
      </c>
      <c r="B5" s="37">
        <v>30</v>
      </c>
      <c r="C5" s="38">
        <v>30</v>
      </c>
      <c r="D5" s="39">
        <v>0.93569999999999998</v>
      </c>
      <c r="E5" s="39">
        <v>1.3773299999999999</v>
      </c>
      <c r="F5" s="37">
        <f t="shared" si="0"/>
        <v>41.32</v>
      </c>
      <c r="G5" s="40"/>
      <c r="H5" s="41">
        <v>30</v>
      </c>
      <c r="I5" s="42">
        <v>1.3773299999999999</v>
      </c>
      <c r="J5" s="41">
        <f t="shared" si="1"/>
        <v>41.32</v>
      </c>
      <c r="K5" s="40"/>
      <c r="L5" s="43">
        <v>30</v>
      </c>
      <c r="M5" s="44">
        <v>1.3773299999999999</v>
      </c>
      <c r="N5" s="43">
        <f t="shared" si="2"/>
        <v>41.32</v>
      </c>
      <c r="R5" s="126" t="s">
        <v>125</v>
      </c>
      <c r="S5" s="126"/>
      <c r="T5" s="126"/>
      <c r="U5" s="126"/>
      <c r="V5" s="126"/>
    </row>
    <row r="6" spans="1:22" ht="15" customHeight="1" x14ac:dyDescent="0.2">
      <c r="A6" s="27" t="s">
        <v>126</v>
      </c>
      <c r="B6" s="37">
        <v>30</v>
      </c>
      <c r="C6" s="38">
        <v>30</v>
      </c>
      <c r="D6" s="39">
        <v>0.43136999999999998</v>
      </c>
      <c r="E6" s="39">
        <v>0.62868000000000002</v>
      </c>
      <c r="F6" s="37">
        <f t="shared" si="0"/>
        <v>18.86</v>
      </c>
      <c r="G6" s="40"/>
      <c r="H6" s="41">
        <v>30</v>
      </c>
      <c r="I6" s="42">
        <v>0.62868000000000002</v>
      </c>
      <c r="J6" s="41">
        <f t="shared" si="1"/>
        <v>18.86</v>
      </c>
      <c r="K6" s="40"/>
      <c r="L6" s="43">
        <v>30</v>
      </c>
      <c r="M6" s="44">
        <v>0.62868000000000002</v>
      </c>
      <c r="N6" s="43">
        <f t="shared" si="2"/>
        <v>18.86</v>
      </c>
      <c r="R6" s="126" t="s">
        <v>127</v>
      </c>
      <c r="S6" s="126"/>
      <c r="T6" s="126"/>
      <c r="U6" s="126"/>
      <c r="V6" s="126"/>
    </row>
    <row r="7" spans="1:22" ht="15" customHeight="1" x14ac:dyDescent="0.2">
      <c r="A7" s="27" t="s">
        <v>128</v>
      </c>
      <c r="B7" s="37">
        <v>30</v>
      </c>
      <c r="C7" s="38">
        <v>30</v>
      </c>
      <c r="D7" s="39">
        <v>0.38244</v>
      </c>
      <c r="E7" s="39">
        <v>0.55610000000000004</v>
      </c>
      <c r="F7" s="37">
        <f t="shared" si="0"/>
        <v>16.68</v>
      </c>
      <c r="G7" s="40"/>
      <c r="H7" s="41">
        <v>30</v>
      </c>
      <c r="I7" s="42">
        <v>0.55610000000000004</v>
      </c>
      <c r="J7" s="41">
        <f t="shared" si="1"/>
        <v>16.68</v>
      </c>
      <c r="K7" s="40"/>
      <c r="L7" s="43">
        <v>30</v>
      </c>
      <c r="M7" s="44">
        <v>0.55610000000000004</v>
      </c>
      <c r="N7" s="43">
        <f t="shared" si="2"/>
        <v>16.68</v>
      </c>
      <c r="R7" s="127" t="s">
        <v>129</v>
      </c>
      <c r="S7" s="127"/>
      <c r="T7" s="127"/>
      <c r="U7" s="127"/>
      <c r="V7" s="127"/>
    </row>
    <row r="8" spans="1:22" ht="15" customHeight="1" x14ac:dyDescent="0.2">
      <c r="A8" s="27" t="s">
        <v>130</v>
      </c>
      <c r="B8" s="37">
        <v>30</v>
      </c>
      <c r="C8" s="38">
        <v>30</v>
      </c>
      <c r="D8" s="39">
        <v>0.26963999999999999</v>
      </c>
      <c r="E8" s="39">
        <v>0.38679999999999998</v>
      </c>
      <c r="F8" s="37">
        <f t="shared" si="0"/>
        <v>11.6</v>
      </c>
      <c r="G8" s="40"/>
      <c r="H8" s="41">
        <v>30</v>
      </c>
      <c r="I8" s="42">
        <v>0.38679999999999998</v>
      </c>
      <c r="J8" s="41">
        <f t="shared" si="1"/>
        <v>11.6</v>
      </c>
      <c r="K8" s="40"/>
      <c r="L8" s="43">
        <v>30</v>
      </c>
      <c r="M8" s="44">
        <v>0.38679999999999998</v>
      </c>
      <c r="N8" s="43">
        <f t="shared" si="2"/>
        <v>11.6</v>
      </c>
      <c r="R8" s="128" t="s">
        <v>131</v>
      </c>
      <c r="S8" s="128"/>
      <c r="T8" s="128"/>
      <c r="U8" s="128"/>
      <c r="V8" s="128"/>
    </row>
    <row r="9" spans="1:22" ht="15" customHeight="1" x14ac:dyDescent="0.2">
      <c r="A9" s="27" t="s">
        <v>132</v>
      </c>
      <c r="B9" s="37">
        <v>30</v>
      </c>
      <c r="C9" s="38">
        <v>30</v>
      </c>
      <c r="D9" s="39">
        <v>0.18156</v>
      </c>
      <c r="E9" s="39">
        <v>0.26529999999999998</v>
      </c>
      <c r="F9" s="37">
        <f t="shared" si="0"/>
        <v>7.96</v>
      </c>
      <c r="G9" s="40"/>
      <c r="H9" s="41">
        <v>30</v>
      </c>
      <c r="I9" s="42">
        <v>0.26529999999999998</v>
      </c>
      <c r="J9" s="41">
        <f t="shared" si="1"/>
        <v>7.96</v>
      </c>
      <c r="K9" s="40"/>
      <c r="L9" s="43">
        <v>30</v>
      </c>
      <c r="M9" s="44">
        <v>0.26529999999999998</v>
      </c>
      <c r="N9" s="43">
        <f t="shared" si="2"/>
        <v>7.96</v>
      </c>
    </row>
    <row r="10" spans="1:22" ht="15" customHeight="1" x14ac:dyDescent="0.2">
      <c r="A10" s="45" t="s">
        <v>133</v>
      </c>
      <c r="B10" s="46">
        <f>IF($P$10="",2517.101,ROUND(2517.101*((1087.3487/(1-$P$10))-173.05)/1151.35,2))</f>
        <v>2517.1010000000001</v>
      </c>
      <c r="C10" s="38"/>
      <c r="D10" s="47">
        <v>0.121236</v>
      </c>
      <c r="E10" s="39">
        <v>0.13900000000000001</v>
      </c>
      <c r="F10" s="37">
        <f t="shared" si="0"/>
        <v>349.88</v>
      </c>
      <c r="G10" s="40"/>
      <c r="H10" s="48">
        <v>2317.1010000000001</v>
      </c>
      <c r="I10" s="42">
        <v>0.13900000000000001</v>
      </c>
      <c r="J10" s="41">
        <f t="shared" si="1"/>
        <v>322.08</v>
      </c>
      <c r="K10" s="40"/>
      <c r="L10" s="49">
        <v>1937.42</v>
      </c>
      <c r="M10" s="44">
        <v>0.14499999999999999</v>
      </c>
      <c r="N10" s="43">
        <f t="shared" si="2"/>
        <v>280.93</v>
      </c>
      <c r="O10" s="50" t="s">
        <v>134</v>
      </c>
      <c r="P10" s="51"/>
    </row>
    <row r="11" spans="1:22" ht="15" customHeight="1" x14ac:dyDescent="0.2">
      <c r="A11" s="45" t="s">
        <v>135</v>
      </c>
      <c r="B11" s="46">
        <f>IF($P$10="",2364.265,ROUND(2364.265*((1087.3487/(1-$P$10))-173.05)/1151.35,2))</f>
        <v>2364.2649999999999</v>
      </c>
      <c r="C11" s="38"/>
      <c r="D11" s="47">
        <v>0.114444</v>
      </c>
      <c r="E11" s="39">
        <v>0.13800000000000001</v>
      </c>
      <c r="F11" s="37">
        <f t="shared" si="0"/>
        <v>326.27</v>
      </c>
      <c r="G11" s="40"/>
      <c r="H11" s="48">
        <v>2064.2649999999999</v>
      </c>
      <c r="I11" s="42">
        <v>0.13800000000000001</v>
      </c>
      <c r="J11" s="41">
        <f t="shared" si="1"/>
        <v>284.87</v>
      </c>
      <c r="K11" s="40"/>
      <c r="L11" s="49">
        <v>1611.579</v>
      </c>
      <c r="M11" s="44">
        <v>0.13900000000000001</v>
      </c>
      <c r="N11" s="43">
        <f t="shared" si="2"/>
        <v>224.01</v>
      </c>
      <c r="O11" s="52" t="s">
        <v>136</v>
      </c>
    </row>
    <row r="12" spans="1:22" ht="15" customHeight="1" x14ac:dyDescent="0.2">
      <c r="A12" s="45" t="s">
        <v>137</v>
      </c>
      <c r="B12" s="46">
        <f>IF($P$10="",3683.741,ROUND(3683.741*((1087.3487/(1-$P$10))-173.05)/1151.35,2))</f>
        <v>3683.741</v>
      </c>
      <c r="C12" s="38"/>
      <c r="D12" s="47">
        <v>0.106808</v>
      </c>
      <c r="E12" s="39">
        <v>0.129</v>
      </c>
      <c r="F12" s="37">
        <f t="shared" si="0"/>
        <v>475.2</v>
      </c>
      <c r="G12" s="40"/>
      <c r="H12" s="48">
        <v>3383.741</v>
      </c>
      <c r="I12" s="42">
        <v>0.129</v>
      </c>
      <c r="J12" s="41">
        <f t="shared" si="1"/>
        <v>436.5</v>
      </c>
      <c r="K12" s="40"/>
      <c r="L12" s="49">
        <v>2928.76</v>
      </c>
      <c r="M12" s="44">
        <v>0.13900000000000001</v>
      </c>
      <c r="N12" s="43">
        <f t="shared" si="2"/>
        <v>407.1</v>
      </c>
      <c r="O12" s="52" t="s">
        <v>138</v>
      </c>
    </row>
    <row r="13" spans="1:22" ht="15" customHeight="1" x14ac:dyDescent="0.2">
      <c r="A13" s="27" t="s">
        <v>139</v>
      </c>
      <c r="B13" s="37">
        <v>1</v>
      </c>
      <c r="C13" s="53">
        <v>30</v>
      </c>
      <c r="D13" s="39">
        <v>17.614999999999998</v>
      </c>
      <c r="E13" s="39">
        <v>17.614999999999998</v>
      </c>
      <c r="F13" s="37">
        <f t="shared" si="0"/>
        <v>17.62</v>
      </c>
      <c r="G13" s="40"/>
      <c r="H13" s="41">
        <v>1</v>
      </c>
      <c r="I13" s="42">
        <v>17.614999999999998</v>
      </c>
      <c r="J13" s="41">
        <f t="shared" si="1"/>
        <v>17.62</v>
      </c>
      <c r="K13" s="40"/>
      <c r="L13" s="43">
        <v>1</v>
      </c>
      <c r="M13" s="44">
        <v>17.614999999999998</v>
      </c>
      <c r="N13" s="43">
        <f t="shared" si="2"/>
        <v>17.62</v>
      </c>
    </row>
    <row r="14" spans="1:22" ht="15" customHeight="1" x14ac:dyDescent="0.2">
      <c r="A14" s="27" t="s">
        <v>140</v>
      </c>
      <c r="B14" s="37">
        <v>30</v>
      </c>
      <c r="C14" s="53">
        <v>30</v>
      </c>
      <c r="D14" s="39">
        <v>1.9120000000000002E-2</v>
      </c>
      <c r="E14" s="39">
        <v>1.9120000000000002E-2</v>
      </c>
      <c r="F14" s="37">
        <f t="shared" si="0"/>
        <v>0.56999999999999995</v>
      </c>
      <c r="G14" s="40"/>
      <c r="H14" s="41">
        <v>30</v>
      </c>
      <c r="I14" s="42">
        <v>1.274E-2</v>
      </c>
      <c r="J14" s="41">
        <f t="shared" si="1"/>
        <v>0.38</v>
      </c>
      <c r="K14" s="40"/>
      <c r="L14" s="43">
        <v>30</v>
      </c>
      <c r="M14" s="44">
        <v>1.274E-2</v>
      </c>
      <c r="N14" s="43">
        <f t="shared" si="2"/>
        <v>0.38</v>
      </c>
    </row>
    <row r="15" spans="1:22" ht="15" customHeight="1" x14ac:dyDescent="0.2">
      <c r="A15" s="27" t="s">
        <v>141</v>
      </c>
      <c r="B15" s="37">
        <v>71.989999999999995</v>
      </c>
      <c r="C15" s="38"/>
      <c r="D15" s="39">
        <v>1</v>
      </c>
      <c r="E15" s="39">
        <v>1</v>
      </c>
      <c r="F15" s="37">
        <f t="shared" si="0"/>
        <v>71.989999999999995</v>
      </c>
      <c r="G15" s="40"/>
      <c r="H15" s="41">
        <v>66.489999999999995</v>
      </c>
      <c r="I15" s="42">
        <v>1</v>
      </c>
      <c r="J15" s="41">
        <f t="shared" si="1"/>
        <v>66.489999999999995</v>
      </c>
      <c r="K15" s="40"/>
      <c r="L15" s="43">
        <v>62.66</v>
      </c>
      <c r="M15" s="44">
        <v>1</v>
      </c>
      <c r="N15" s="43">
        <f t="shared" si="2"/>
        <v>62.66</v>
      </c>
    </row>
    <row r="16" spans="1:22" ht="15" customHeight="1" x14ac:dyDescent="0.2">
      <c r="A16" s="54" t="s">
        <v>142</v>
      </c>
      <c r="B16" s="55"/>
      <c r="C16" s="55"/>
      <c r="D16" s="55"/>
      <c r="E16" s="55"/>
      <c r="F16" s="56">
        <f>ROUND((SUM(F4:F15)-F15)*1.21+F15,2)</f>
        <v>1696.52</v>
      </c>
      <c r="G16" s="55"/>
      <c r="H16" s="55"/>
      <c r="I16" s="55"/>
      <c r="J16" s="57">
        <f>ROUND((SUM(J4:J15)-J15)*1.21+J15,2)</f>
        <v>1560.24</v>
      </c>
      <c r="K16" s="55"/>
      <c r="L16" s="55"/>
      <c r="M16" s="55"/>
      <c r="N16" s="58">
        <f>ROUND((SUM(N4:N15)-N15)*1.21+N15,2)</f>
        <v>1397.4</v>
      </c>
    </row>
    <row r="17" spans="1:22" ht="15" customHeight="1" x14ac:dyDescent="0.2">
      <c r="A17" s="59" t="s">
        <v>143</v>
      </c>
      <c r="B17" s="129">
        <f>(SUM(F4:F12)-1087.3487)/SUM(F4:F12)</f>
        <v>0.17898769254001817</v>
      </c>
      <c r="C17" s="129"/>
      <c r="D17" s="129"/>
      <c r="E17" s="129"/>
      <c r="F17" s="129"/>
      <c r="G17" s="60"/>
      <c r="H17" s="130"/>
      <c r="I17" s="130"/>
      <c r="J17" s="130"/>
      <c r="K17" s="60"/>
      <c r="L17" s="131" t="str">
        <f>IF(B17&gt;=0.3,"APROBAR",IF(B17&gt;=0.2,"REVISAR","RECHAZAR"))</f>
        <v>RECHAZAR</v>
      </c>
      <c r="M17" s="131"/>
      <c r="N17" s="131"/>
    </row>
    <row r="19" spans="1:22" ht="15" customHeight="1" x14ac:dyDescent="0.2">
      <c r="A19" s="7" t="s">
        <v>144</v>
      </c>
      <c r="B19" s="7"/>
      <c r="C19" s="7"/>
      <c r="D19" s="7"/>
      <c r="E19" s="7"/>
      <c r="F19" s="7"/>
      <c r="G19" s="7"/>
      <c r="H19" s="7"/>
      <c r="I19" s="6" t="s">
        <v>145</v>
      </c>
      <c r="J19" s="6"/>
      <c r="K19" s="6"/>
      <c r="L19" s="6"/>
      <c r="M19" s="6"/>
      <c r="N19" s="6"/>
      <c r="R19" s="5" t="s">
        <v>110</v>
      </c>
      <c r="S19" s="5"/>
      <c r="T19" s="5"/>
      <c r="U19" s="5"/>
      <c r="V19" s="5"/>
    </row>
    <row r="20" spans="1:22" ht="15" customHeight="1" x14ac:dyDescent="0.2">
      <c r="A20" s="32" t="s">
        <v>111</v>
      </c>
      <c r="B20" s="4" t="s">
        <v>112</v>
      </c>
      <c r="C20" s="4"/>
      <c r="D20" s="4"/>
      <c r="E20" s="4"/>
      <c r="F20" s="4"/>
      <c r="G20" s="33"/>
      <c r="H20" s="3" t="s">
        <v>146</v>
      </c>
      <c r="I20" s="3"/>
      <c r="J20" s="3"/>
      <c r="K20" s="33"/>
      <c r="L20" s="2" t="s">
        <v>147</v>
      </c>
      <c r="M20" s="2"/>
      <c r="N20" s="2"/>
      <c r="R20" s="1" t="s">
        <v>148</v>
      </c>
      <c r="S20" s="1"/>
      <c r="T20" s="1"/>
      <c r="U20" s="1"/>
      <c r="V20" s="1"/>
    </row>
    <row r="21" spans="1:22" ht="15" customHeight="1" x14ac:dyDescent="0.2">
      <c r="A21" s="33"/>
      <c r="B21" s="34" t="s">
        <v>116</v>
      </c>
      <c r="C21" s="34" t="s">
        <v>117</v>
      </c>
      <c r="D21" s="34" t="s">
        <v>118</v>
      </c>
      <c r="E21" s="34" t="s">
        <v>119</v>
      </c>
      <c r="F21" s="34" t="s">
        <v>120</v>
      </c>
      <c r="G21" s="33"/>
      <c r="H21" s="35" t="s">
        <v>116</v>
      </c>
      <c r="I21" s="35" t="s">
        <v>119</v>
      </c>
      <c r="J21" s="35" t="s">
        <v>120</v>
      </c>
      <c r="K21" s="33"/>
      <c r="L21" s="36" t="s">
        <v>116</v>
      </c>
      <c r="M21" s="36" t="s">
        <v>119</v>
      </c>
      <c r="N21" s="36" t="s">
        <v>120</v>
      </c>
      <c r="R21" s="124" t="s">
        <v>149</v>
      </c>
      <c r="S21" s="124"/>
      <c r="T21" s="124"/>
      <c r="U21" s="124"/>
      <c r="V21" s="124"/>
    </row>
    <row r="22" spans="1:22" ht="15" customHeight="1" x14ac:dyDescent="0.2">
      <c r="A22" s="27" t="s">
        <v>122</v>
      </c>
      <c r="B22" s="37">
        <v>17.32</v>
      </c>
      <c r="C22" s="38">
        <v>30</v>
      </c>
      <c r="D22" s="39">
        <v>1.7378400000000001</v>
      </c>
      <c r="E22" s="39">
        <v>1.9990000000000001</v>
      </c>
      <c r="F22" s="37">
        <f t="shared" ref="F22:F33" si="3">ROUND(B22*E22,2)</f>
        <v>34.619999999999997</v>
      </c>
      <c r="G22" s="40"/>
      <c r="H22" s="41">
        <v>17.32</v>
      </c>
      <c r="I22" s="42">
        <v>1.9990000000000001</v>
      </c>
      <c r="J22" s="41">
        <f t="shared" ref="J22:J33" si="4">ROUND(H22*I22,2)</f>
        <v>34.619999999999997</v>
      </c>
      <c r="K22" s="40"/>
      <c r="L22" s="43">
        <v>17.32</v>
      </c>
      <c r="M22" s="44">
        <v>2.5541999999999998</v>
      </c>
      <c r="N22" s="43">
        <f t="shared" ref="N22:N33" si="5">ROUND(L22*M22,2)</f>
        <v>44.24</v>
      </c>
      <c r="R22" s="125" t="s">
        <v>150</v>
      </c>
      <c r="S22" s="125"/>
      <c r="T22" s="125"/>
      <c r="U22" s="125"/>
      <c r="V22" s="125"/>
    </row>
    <row r="23" spans="1:22" ht="15" customHeight="1" x14ac:dyDescent="0.2">
      <c r="A23" s="27" t="s">
        <v>124</v>
      </c>
      <c r="B23" s="37">
        <v>17.32</v>
      </c>
      <c r="C23" s="38">
        <v>30</v>
      </c>
      <c r="D23" s="39">
        <v>0.93569999999999998</v>
      </c>
      <c r="E23" s="39">
        <v>1.8109999999999999</v>
      </c>
      <c r="F23" s="37">
        <f t="shared" si="3"/>
        <v>31.37</v>
      </c>
      <c r="G23" s="40"/>
      <c r="H23" s="41">
        <v>17.32</v>
      </c>
      <c r="I23" s="42">
        <v>1.8109999999999999</v>
      </c>
      <c r="J23" s="41">
        <f t="shared" si="4"/>
        <v>31.37</v>
      </c>
      <c r="K23" s="40"/>
      <c r="L23" s="43">
        <v>17.32</v>
      </c>
      <c r="M23" s="44">
        <v>1.3773</v>
      </c>
      <c r="N23" s="43">
        <f t="shared" si="5"/>
        <v>23.85</v>
      </c>
      <c r="R23" s="126" t="s">
        <v>151</v>
      </c>
      <c r="S23" s="126"/>
      <c r="T23" s="126"/>
      <c r="U23" s="126"/>
      <c r="V23" s="126"/>
    </row>
    <row r="24" spans="1:22" ht="15" customHeight="1" x14ac:dyDescent="0.2">
      <c r="A24" s="27" t="s">
        <v>126</v>
      </c>
      <c r="B24" s="37">
        <v>17.32</v>
      </c>
      <c r="C24" s="38">
        <v>30</v>
      </c>
      <c r="D24" s="39">
        <v>0.43136999999999998</v>
      </c>
      <c r="E24" s="39">
        <v>0.61609999999999998</v>
      </c>
      <c r="F24" s="37">
        <f t="shared" si="3"/>
        <v>10.67</v>
      </c>
      <c r="G24" s="40"/>
      <c r="H24" s="41">
        <v>17.32</v>
      </c>
      <c r="I24" s="42">
        <v>0.61609999999999998</v>
      </c>
      <c r="J24" s="41">
        <f t="shared" si="4"/>
        <v>10.67</v>
      </c>
      <c r="K24" s="40"/>
      <c r="L24" s="43">
        <v>17.32</v>
      </c>
      <c r="M24" s="44">
        <v>0.62860000000000005</v>
      </c>
      <c r="N24" s="43">
        <f t="shared" si="5"/>
        <v>10.89</v>
      </c>
      <c r="R24" s="126" t="s">
        <v>152</v>
      </c>
      <c r="S24" s="126"/>
      <c r="T24" s="126"/>
      <c r="U24" s="126"/>
      <c r="V24" s="126"/>
    </row>
    <row r="25" spans="1:22" ht="15" customHeight="1" x14ac:dyDescent="0.2">
      <c r="A25" s="27" t="s">
        <v>128</v>
      </c>
      <c r="B25" s="37">
        <v>17.32</v>
      </c>
      <c r="C25" s="38">
        <v>30</v>
      </c>
      <c r="D25" s="39">
        <v>0.38244</v>
      </c>
      <c r="E25" s="39">
        <v>0.55510000000000004</v>
      </c>
      <c r="F25" s="37">
        <f t="shared" si="3"/>
        <v>9.61</v>
      </c>
      <c r="G25" s="40"/>
      <c r="H25" s="41">
        <v>17.32</v>
      </c>
      <c r="I25" s="42">
        <v>0.55510000000000004</v>
      </c>
      <c r="J25" s="41">
        <f t="shared" si="4"/>
        <v>9.61</v>
      </c>
      <c r="K25" s="40"/>
      <c r="L25" s="43">
        <v>17.32</v>
      </c>
      <c r="M25" s="44">
        <v>0.55610000000000004</v>
      </c>
      <c r="N25" s="43">
        <f t="shared" si="5"/>
        <v>9.6300000000000008</v>
      </c>
      <c r="R25" s="127" t="s">
        <v>129</v>
      </c>
      <c r="S25" s="127"/>
      <c r="T25" s="127"/>
      <c r="U25" s="127"/>
      <c r="V25" s="127"/>
    </row>
    <row r="26" spans="1:22" ht="15" customHeight="1" x14ac:dyDescent="0.2">
      <c r="A26" s="27" t="s">
        <v>130</v>
      </c>
      <c r="B26" s="37">
        <v>17.32</v>
      </c>
      <c r="C26" s="38">
        <v>30</v>
      </c>
      <c r="D26" s="39">
        <v>0.26963999999999999</v>
      </c>
      <c r="E26" s="39">
        <v>0.59499999999999997</v>
      </c>
      <c r="F26" s="37">
        <f t="shared" si="3"/>
        <v>10.31</v>
      </c>
      <c r="G26" s="40"/>
      <c r="H26" s="41">
        <v>17.32</v>
      </c>
      <c r="I26" s="42">
        <v>0.59499999999999997</v>
      </c>
      <c r="J26" s="41">
        <f t="shared" si="4"/>
        <v>10.31</v>
      </c>
      <c r="K26" s="40"/>
      <c r="L26" s="43">
        <v>17.32</v>
      </c>
      <c r="M26" s="44">
        <v>0.38679999999999998</v>
      </c>
      <c r="N26" s="43">
        <f t="shared" si="5"/>
        <v>6.7</v>
      </c>
      <c r="R26" s="128" t="s">
        <v>131</v>
      </c>
      <c r="S26" s="128"/>
      <c r="T26" s="128"/>
      <c r="U26" s="128"/>
      <c r="V26" s="128"/>
    </row>
    <row r="27" spans="1:22" ht="15" customHeight="1" x14ac:dyDescent="0.2">
      <c r="A27" s="27" t="s">
        <v>132</v>
      </c>
      <c r="B27" s="37">
        <v>17.32</v>
      </c>
      <c r="C27" s="38">
        <v>30</v>
      </c>
      <c r="D27" s="39">
        <v>0.18156</v>
      </c>
      <c r="E27" s="39">
        <v>0.45229999999999998</v>
      </c>
      <c r="F27" s="37">
        <f t="shared" si="3"/>
        <v>7.83</v>
      </c>
      <c r="G27" s="40"/>
      <c r="H27" s="41">
        <v>17.32</v>
      </c>
      <c r="I27" s="42">
        <v>0.45229999999999998</v>
      </c>
      <c r="J27" s="41">
        <f t="shared" si="4"/>
        <v>7.83</v>
      </c>
      <c r="K27" s="40"/>
      <c r="L27" s="43">
        <v>17.32</v>
      </c>
      <c r="M27" s="44">
        <v>0.26529999999999998</v>
      </c>
      <c r="N27" s="43">
        <f t="shared" si="5"/>
        <v>4.59</v>
      </c>
    </row>
    <row r="28" spans="1:22" ht="15" customHeight="1" x14ac:dyDescent="0.2">
      <c r="A28" s="45" t="s">
        <v>133</v>
      </c>
      <c r="B28" s="46">
        <f>IF($P$28="",1691.432,ROUND(1691.432*((803.9614/(1-$P$28))-104.41)/912.75,2))</f>
        <v>1691.432</v>
      </c>
      <c r="C28" s="38"/>
      <c r="D28" s="47">
        <v>0.121236</v>
      </c>
      <c r="E28" s="39">
        <v>0.14899999999999999</v>
      </c>
      <c r="F28" s="37">
        <f t="shared" si="3"/>
        <v>252.02</v>
      </c>
      <c r="G28" s="40"/>
      <c r="H28" s="48">
        <v>1474.7159999999999</v>
      </c>
      <c r="I28" s="42">
        <v>0.15</v>
      </c>
      <c r="J28" s="41">
        <f t="shared" si="4"/>
        <v>221.21</v>
      </c>
      <c r="K28" s="40"/>
      <c r="L28" s="49">
        <v>1570.18</v>
      </c>
      <c r="M28" s="44">
        <v>0.16</v>
      </c>
      <c r="N28" s="43">
        <f t="shared" si="5"/>
        <v>251.23</v>
      </c>
      <c r="O28" s="50" t="s">
        <v>134</v>
      </c>
      <c r="P28" s="51"/>
    </row>
    <row r="29" spans="1:22" ht="15" customHeight="1" x14ac:dyDescent="0.2">
      <c r="A29" s="45" t="s">
        <v>135</v>
      </c>
      <c r="B29" s="46">
        <f>IF($P$28="",2156.035,ROUND(2156.035*((803.9614/(1-$P$28))-104.41)/912.75,2))</f>
        <v>2156.0349999999999</v>
      </c>
      <c r="C29" s="38"/>
      <c r="D29" s="47">
        <v>0.114444</v>
      </c>
      <c r="E29" s="39">
        <v>0.14000000000000001</v>
      </c>
      <c r="F29" s="37">
        <f t="shared" si="3"/>
        <v>301.83999999999997</v>
      </c>
      <c r="G29" s="40"/>
      <c r="H29" s="48">
        <v>1814.66</v>
      </c>
      <c r="I29" s="42">
        <v>0.14899999999999999</v>
      </c>
      <c r="J29" s="41">
        <f t="shared" si="4"/>
        <v>270.38</v>
      </c>
      <c r="K29" s="40"/>
      <c r="L29" s="49">
        <v>1034.2739999999999</v>
      </c>
      <c r="M29" s="44">
        <v>0.155</v>
      </c>
      <c r="N29" s="43">
        <f t="shared" si="5"/>
        <v>160.31</v>
      </c>
      <c r="O29" s="52" t="s">
        <v>136</v>
      </c>
    </row>
    <row r="30" spans="1:22" ht="15" customHeight="1" x14ac:dyDescent="0.2">
      <c r="A30" s="45" t="s">
        <v>137</v>
      </c>
      <c r="B30" s="46">
        <f>IF($P$28="",2658.43,ROUND(2658.43*((803.9614/(1-$P$28))-104.41)/912.75,2))</f>
        <v>2658.43</v>
      </c>
      <c r="C30" s="38"/>
      <c r="D30" s="47">
        <v>0.106808</v>
      </c>
      <c r="E30" s="39">
        <v>0.13500000000000001</v>
      </c>
      <c r="F30" s="37">
        <f t="shared" si="3"/>
        <v>358.89</v>
      </c>
      <c r="G30" s="40"/>
      <c r="H30" s="48">
        <v>2225.1840000000002</v>
      </c>
      <c r="I30" s="42">
        <v>0.13900000000000001</v>
      </c>
      <c r="J30" s="41">
        <f t="shared" si="4"/>
        <v>309.3</v>
      </c>
      <c r="K30" s="40"/>
      <c r="L30" s="49">
        <v>2165.73</v>
      </c>
      <c r="M30" s="44">
        <v>0.13500000000000001</v>
      </c>
      <c r="N30" s="43">
        <f t="shared" si="5"/>
        <v>292.37</v>
      </c>
      <c r="O30" s="52" t="s">
        <v>138</v>
      </c>
    </row>
    <row r="31" spans="1:22" ht="15" customHeight="1" x14ac:dyDescent="0.2">
      <c r="A31" s="27" t="s">
        <v>139</v>
      </c>
      <c r="B31" s="37">
        <v>1</v>
      </c>
      <c r="C31" s="53">
        <v>30</v>
      </c>
      <c r="D31" s="39">
        <v>17.614999999999998</v>
      </c>
      <c r="E31" s="39">
        <v>17.614999999999998</v>
      </c>
      <c r="F31" s="37">
        <f t="shared" si="3"/>
        <v>17.62</v>
      </c>
      <c r="G31" s="40"/>
      <c r="H31" s="41">
        <v>1</v>
      </c>
      <c r="I31" s="42">
        <v>17.614999999999998</v>
      </c>
      <c r="J31" s="41">
        <f t="shared" si="4"/>
        <v>17.62</v>
      </c>
      <c r="K31" s="40"/>
      <c r="L31" s="43">
        <v>1</v>
      </c>
      <c r="M31" s="44">
        <v>17.614999999999998</v>
      </c>
      <c r="N31" s="43">
        <f t="shared" si="5"/>
        <v>17.62</v>
      </c>
    </row>
    <row r="32" spans="1:22" ht="15" customHeight="1" x14ac:dyDescent="0.2">
      <c r="A32" s="27" t="s">
        <v>140</v>
      </c>
      <c r="B32" s="37">
        <v>5</v>
      </c>
      <c r="C32" s="53">
        <v>30</v>
      </c>
      <c r="D32" s="39">
        <v>1.9120000000000002E-2</v>
      </c>
      <c r="E32" s="39">
        <v>1.9120000000000002E-2</v>
      </c>
      <c r="F32" s="37">
        <f t="shared" si="3"/>
        <v>0.1</v>
      </c>
      <c r="G32" s="40"/>
      <c r="H32" s="41">
        <v>5</v>
      </c>
      <c r="I32" s="42">
        <v>1.9120000000000002E-2</v>
      </c>
      <c r="J32" s="41">
        <f t="shared" si="4"/>
        <v>0.1</v>
      </c>
      <c r="K32" s="40"/>
      <c r="L32" s="43">
        <v>30</v>
      </c>
      <c r="M32" s="44">
        <v>1.274E-2</v>
      </c>
      <c r="N32" s="43">
        <f t="shared" si="5"/>
        <v>0.38</v>
      </c>
    </row>
    <row r="33" spans="1:22" ht="15" customHeight="1" x14ac:dyDescent="0.2">
      <c r="A33" s="27" t="s">
        <v>141</v>
      </c>
      <c r="B33" s="37">
        <v>59.26</v>
      </c>
      <c r="C33" s="38"/>
      <c r="D33" s="39">
        <v>1</v>
      </c>
      <c r="E33" s="39">
        <v>1</v>
      </c>
      <c r="F33" s="37">
        <f t="shared" si="3"/>
        <v>59.26</v>
      </c>
      <c r="G33" s="40"/>
      <c r="H33" s="41">
        <v>49.46</v>
      </c>
      <c r="I33" s="42">
        <v>1</v>
      </c>
      <c r="J33" s="41">
        <f t="shared" si="4"/>
        <v>49.46</v>
      </c>
      <c r="K33" s="40"/>
      <c r="L33" s="43">
        <v>44</v>
      </c>
      <c r="M33" s="44">
        <v>1</v>
      </c>
      <c r="N33" s="43">
        <f t="shared" si="5"/>
        <v>44</v>
      </c>
    </row>
    <row r="34" spans="1:22" ht="15" customHeight="1" x14ac:dyDescent="0.2">
      <c r="A34" s="54" t="s">
        <v>142</v>
      </c>
      <c r="B34" s="55"/>
      <c r="C34" s="55"/>
      <c r="D34" s="55"/>
      <c r="E34" s="55"/>
      <c r="F34" s="56">
        <f>ROUND((SUM(F22:F33)-F33)*1.21+F33,2)</f>
        <v>1311.46</v>
      </c>
      <c r="G34" s="55"/>
      <c r="H34" s="55"/>
      <c r="I34" s="55"/>
      <c r="J34" s="57">
        <f>ROUND((SUM(J22:J33)-J33)*1.21+J33,2)</f>
        <v>1166.31</v>
      </c>
      <c r="K34" s="55"/>
      <c r="L34" s="55"/>
      <c r="M34" s="55"/>
      <c r="N34" s="58">
        <f>ROUND((SUM(N22:N33)-N33)*1.21+N33,2)</f>
        <v>1038.3900000000001</v>
      </c>
    </row>
    <row r="35" spans="1:22" ht="15" customHeight="1" x14ac:dyDescent="0.2">
      <c r="A35" s="59" t="s">
        <v>143</v>
      </c>
      <c r="B35" s="129">
        <f>(SUM(F22:F30)-803.9614)/SUM(F22:F30)</f>
        <v>0.20960183255338388</v>
      </c>
      <c r="C35" s="129"/>
      <c r="D35" s="129"/>
      <c r="E35" s="129"/>
      <c r="F35" s="129"/>
      <c r="G35" s="60"/>
      <c r="H35" s="130"/>
      <c r="I35" s="130"/>
      <c r="J35" s="130"/>
      <c r="K35" s="60"/>
      <c r="L35" s="131" t="str">
        <f>IF(B35&gt;=0.3,"APROBAR",IF(B35&gt;=0.2,"REVISAR","RECHAZAR"))</f>
        <v>REVISAR</v>
      </c>
      <c r="M35" s="131"/>
      <c r="N35" s="131"/>
    </row>
    <row r="37" spans="1:22" ht="15" customHeight="1" x14ac:dyDescent="0.2">
      <c r="A37" s="7" t="s">
        <v>153</v>
      </c>
      <c r="B37" s="7"/>
      <c r="C37" s="7"/>
      <c r="D37" s="7"/>
      <c r="E37" s="7"/>
      <c r="F37" s="7"/>
      <c r="G37" s="7"/>
      <c r="H37" s="7"/>
      <c r="I37" s="6" t="s">
        <v>154</v>
      </c>
      <c r="J37" s="6"/>
      <c r="K37" s="6"/>
      <c r="L37" s="6"/>
      <c r="M37" s="6"/>
      <c r="N37" s="6"/>
      <c r="R37" s="5" t="s">
        <v>110</v>
      </c>
      <c r="S37" s="5"/>
      <c r="T37" s="5"/>
      <c r="U37" s="5"/>
      <c r="V37" s="5"/>
    </row>
    <row r="38" spans="1:22" ht="15" customHeight="1" x14ac:dyDescent="0.2">
      <c r="A38" s="32" t="s">
        <v>111</v>
      </c>
      <c r="B38" s="4" t="s">
        <v>112</v>
      </c>
      <c r="C38" s="4"/>
      <c r="D38" s="4"/>
      <c r="E38" s="4"/>
      <c r="F38" s="4"/>
      <c r="G38" s="33"/>
      <c r="H38" s="3" t="s">
        <v>155</v>
      </c>
      <c r="I38" s="3"/>
      <c r="J38" s="3"/>
      <c r="K38" s="33"/>
      <c r="L38" s="2" t="s">
        <v>156</v>
      </c>
      <c r="M38" s="2"/>
      <c r="N38" s="2"/>
      <c r="R38" s="1" t="s">
        <v>157</v>
      </c>
      <c r="S38" s="1"/>
      <c r="T38" s="1"/>
      <c r="U38" s="1"/>
      <c r="V38" s="1"/>
    </row>
    <row r="39" spans="1:22" ht="15" customHeight="1" x14ac:dyDescent="0.2">
      <c r="A39" s="33"/>
      <c r="B39" s="34" t="s">
        <v>116</v>
      </c>
      <c r="C39" s="34" t="s">
        <v>117</v>
      </c>
      <c r="D39" s="34" t="s">
        <v>118</v>
      </c>
      <c r="E39" s="34" t="s">
        <v>119</v>
      </c>
      <c r="F39" s="34" t="s">
        <v>120</v>
      </c>
      <c r="G39" s="33"/>
      <c r="H39" s="35" t="s">
        <v>116</v>
      </c>
      <c r="I39" s="35" t="s">
        <v>119</v>
      </c>
      <c r="J39" s="35" t="s">
        <v>120</v>
      </c>
      <c r="K39" s="33"/>
      <c r="L39" s="36" t="s">
        <v>116</v>
      </c>
      <c r="M39" s="36" t="s">
        <v>119</v>
      </c>
      <c r="N39" s="36" t="s">
        <v>120</v>
      </c>
      <c r="R39" s="124" t="s">
        <v>158</v>
      </c>
      <c r="S39" s="124"/>
      <c r="T39" s="124"/>
      <c r="U39" s="124"/>
      <c r="V39" s="124"/>
    </row>
    <row r="40" spans="1:22" ht="15" customHeight="1" x14ac:dyDescent="0.2">
      <c r="A40" s="27" t="s">
        <v>122</v>
      </c>
      <c r="B40" s="37">
        <v>37</v>
      </c>
      <c r="C40" s="38">
        <v>30</v>
      </c>
      <c r="D40" s="39">
        <v>1.7378400000000001</v>
      </c>
      <c r="E40" s="39">
        <v>1.74</v>
      </c>
      <c r="F40" s="37">
        <f t="shared" ref="F40:F51" si="6">ROUND(B40*E40,2)</f>
        <v>64.38</v>
      </c>
      <c r="G40" s="40"/>
      <c r="H40" s="41"/>
      <c r="I40" s="42"/>
      <c r="J40" s="41"/>
      <c r="K40" s="40"/>
      <c r="L40" s="43"/>
      <c r="M40" s="44"/>
      <c r="N40" s="43"/>
      <c r="R40" s="125" t="s">
        <v>159</v>
      </c>
      <c r="S40" s="125"/>
      <c r="T40" s="125"/>
      <c r="U40" s="125"/>
      <c r="V40" s="125"/>
    </row>
    <row r="41" spans="1:22" ht="15" customHeight="1" x14ac:dyDescent="0.2">
      <c r="A41" s="27" t="s">
        <v>124</v>
      </c>
      <c r="B41" s="37">
        <v>37</v>
      </c>
      <c r="C41" s="38">
        <v>30</v>
      </c>
      <c r="D41" s="39">
        <v>0.93569999999999998</v>
      </c>
      <c r="E41" s="39">
        <v>0.94</v>
      </c>
      <c r="F41" s="37">
        <f t="shared" si="6"/>
        <v>34.78</v>
      </c>
      <c r="G41" s="40"/>
      <c r="H41" s="41"/>
      <c r="I41" s="42"/>
      <c r="J41" s="41"/>
      <c r="K41" s="40"/>
      <c r="L41" s="43"/>
      <c r="M41" s="44"/>
      <c r="N41" s="43"/>
      <c r="R41" s="126" t="s">
        <v>160</v>
      </c>
      <c r="S41" s="126"/>
      <c r="T41" s="126"/>
      <c r="U41" s="126"/>
      <c r="V41" s="126"/>
    </row>
    <row r="42" spans="1:22" ht="15" customHeight="1" x14ac:dyDescent="0.2">
      <c r="A42" s="27" t="s">
        <v>126</v>
      </c>
      <c r="B42" s="37">
        <v>37</v>
      </c>
      <c r="C42" s="38">
        <v>30</v>
      </c>
      <c r="D42" s="39">
        <v>0.43136999999999998</v>
      </c>
      <c r="E42" s="39">
        <v>0.43</v>
      </c>
      <c r="F42" s="37">
        <f t="shared" si="6"/>
        <v>15.91</v>
      </c>
      <c r="G42" s="40"/>
      <c r="H42" s="41"/>
      <c r="I42" s="42"/>
      <c r="J42" s="41"/>
      <c r="K42" s="40"/>
      <c r="L42" s="43"/>
      <c r="M42" s="44"/>
      <c r="N42" s="43"/>
      <c r="R42" s="126" t="s">
        <v>161</v>
      </c>
      <c r="S42" s="126"/>
      <c r="T42" s="126"/>
      <c r="U42" s="126"/>
      <c r="V42" s="126"/>
    </row>
    <row r="43" spans="1:22" ht="15" customHeight="1" x14ac:dyDescent="0.2">
      <c r="A43" s="27" t="s">
        <v>128</v>
      </c>
      <c r="B43" s="37">
        <v>37</v>
      </c>
      <c r="C43" s="38">
        <v>30</v>
      </c>
      <c r="D43" s="39">
        <v>0.38244</v>
      </c>
      <c r="E43" s="39">
        <v>0.38</v>
      </c>
      <c r="F43" s="37">
        <f t="shared" si="6"/>
        <v>14.06</v>
      </c>
      <c r="G43" s="40"/>
      <c r="H43" s="41"/>
      <c r="I43" s="42"/>
      <c r="J43" s="41"/>
      <c r="K43" s="40"/>
      <c r="L43" s="43"/>
      <c r="M43" s="44"/>
      <c r="N43" s="43"/>
      <c r="R43" s="132" t="s">
        <v>162</v>
      </c>
      <c r="S43" s="132"/>
      <c r="T43" s="132"/>
      <c r="U43" s="132"/>
      <c r="V43" s="132"/>
    </row>
    <row r="44" spans="1:22" ht="15" customHeight="1" x14ac:dyDescent="0.2">
      <c r="A44" s="27" t="s">
        <v>130</v>
      </c>
      <c r="B44" s="37">
        <v>37</v>
      </c>
      <c r="C44" s="38">
        <v>30</v>
      </c>
      <c r="D44" s="39">
        <v>0.26963999999999999</v>
      </c>
      <c r="E44" s="39">
        <v>0.27</v>
      </c>
      <c r="F44" s="37">
        <f t="shared" si="6"/>
        <v>9.99</v>
      </c>
      <c r="G44" s="40"/>
      <c r="H44" s="41"/>
      <c r="I44" s="42"/>
      <c r="J44" s="41"/>
      <c r="K44" s="40"/>
      <c r="L44" s="43"/>
      <c r="M44" s="44"/>
      <c r="N44" s="43"/>
      <c r="R44" s="128" t="s">
        <v>131</v>
      </c>
      <c r="S44" s="128"/>
      <c r="T44" s="128"/>
      <c r="U44" s="128"/>
      <c r="V44" s="128"/>
    </row>
    <row r="45" spans="1:22" ht="15" customHeight="1" x14ac:dyDescent="0.2">
      <c r="A45" s="27" t="s">
        <v>132</v>
      </c>
      <c r="B45" s="37">
        <v>37</v>
      </c>
      <c r="C45" s="38">
        <v>30</v>
      </c>
      <c r="D45" s="39">
        <v>0.18156</v>
      </c>
      <c r="E45" s="39">
        <v>0.18</v>
      </c>
      <c r="F45" s="37">
        <f t="shared" si="6"/>
        <v>6.66</v>
      </c>
      <c r="G45" s="40"/>
      <c r="H45" s="41"/>
      <c r="I45" s="42"/>
      <c r="J45" s="41"/>
      <c r="K45" s="40"/>
      <c r="L45" s="43"/>
      <c r="M45" s="44"/>
      <c r="N45" s="43"/>
    </row>
    <row r="46" spans="1:22" ht="15" customHeight="1" x14ac:dyDescent="0.2">
      <c r="A46" s="45" t="s">
        <v>133</v>
      </c>
      <c r="B46" s="46">
        <f>IF($P$46="",5952.91,ROUND(5952.91*((2775.0294/(1-$P$46))-145.78)/2726,2))</f>
        <v>5952.91</v>
      </c>
      <c r="C46" s="38"/>
      <c r="D46" s="47">
        <v>0.121236</v>
      </c>
      <c r="E46" s="39">
        <v>0.14199999999999999</v>
      </c>
      <c r="F46" s="37">
        <f t="shared" si="6"/>
        <v>845.31</v>
      </c>
      <c r="G46" s="40"/>
      <c r="H46" s="48"/>
      <c r="I46" s="42"/>
      <c r="J46" s="41"/>
      <c r="K46" s="40"/>
      <c r="L46" s="49"/>
      <c r="M46" s="44"/>
      <c r="N46" s="43"/>
      <c r="O46" s="50" t="s">
        <v>134</v>
      </c>
      <c r="P46" s="51"/>
    </row>
    <row r="47" spans="1:22" ht="15" customHeight="1" x14ac:dyDescent="0.2">
      <c r="A47" s="45" t="s">
        <v>135</v>
      </c>
      <c r="B47" s="46">
        <f>IF($P$46="",4481.69,ROUND(4481.69*((2775.0294/(1-$P$46))-145.78)/2726,2))</f>
        <v>4481.6899999999996</v>
      </c>
      <c r="C47" s="38"/>
      <c r="D47" s="47">
        <v>0.114444</v>
      </c>
      <c r="E47" s="39">
        <v>0.114</v>
      </c>
      <c r="F47" s="37">
        <f t="shared" si="6"/>
        <v>510.91</v>
      </c>
      <c r="G47" s="40"/>
      <c r="H47" s="48"/>
      <c r="I47" s="42"/>
      <c r="J47" s="41"/>
      <c r="K47" s="40"/>
      <c r="L47" s="49"/>
      <c r="M47" s="44"/>
      <c r="N47" s="43"/>
      <c r="O47" s="52" t="s">
        <v>136</v>
      </c>
    </row>
    <row r="48" spans="1:22" ht="15" customHeight="1" x14ac:dyDescent="0.2">
      <c r="A48" s="45" t="s">
        <v>137</v>
      </c>
      <c r="B48" s="46">
        <f>IF($P$46="",13057.95,ROUND(13057.95*((2775.0294/(1-$P$46))-145.78)/2726,2))</f>
        <v>13057.95</v>
      </c>
      <c r="C48" s="38"/>
      <c r="D48" s="47">
        <v>0.106808</v>
      </c>
      <c r="E48" s="39">
        <v>0.10489999999999999</v>
      </c>
      <c r="F48" s="37">
        <f t="shared" si="6"/>
        <v>1369.78</v>
      </c>
      <c r="G48" s="40"/>
      <c r="H48" s="48"/>
      <c r="I48" s="42"/>
      <c r="J48" s="41"/>
      <c r="K48" s="40"/>
      <c r="L48" s="49"/>
      <c r="M48" s="44"/>
      <c r="N48" s="43"/>
      <c r="O48" s="52" t="s">
        <v>138</v>
      </c>
    </row>
    <row r="49" spans="1:22" ht="15" customHeight="1" x14ac:dyDescent="0.2">
      <c r="A49" s="27" t="s">
        <v>139</v>
      </c>
      <c r="B49" s="37">
        <v>1</v>
      </c>
      <c r="C49" s="53">
        <v>30</v>
      </c>
      <c r="D49" s="39">
        <v>6</v>
      </c>
      <c r="E49" s="39">
        <v>6</v>
      </c>
      <c r="F49" s="37">
        <f t="shared" si="6"/>
        <v>6</v>
      </c>
      <c r="G49" s="40"/>
      <c r="H49" s="41"/>
      <c r="I49" s="42"/>
      <c r="J49" s="41"/>
      <c r="K49" s="40"/>
      <c r="L49" s="43"/>
      <c r="M49" s="44"/>
      <c r="N49" s="43"/>
    </row>
    <row r="50" spans="1:22" ht="15" customHeight="1" x14ac:dyDescent="0.2">
      <c r="A50" s="27" t="s">
        <v>140</v>
      </c>
      <c r="B50" s="37">
        <v>30</v>
      </c>
      <c r="C50" s="53">
        <v>30</v>
      </c>
      <c r="D50" s="39">
        <v>1.9120000000000002E-2</v>
      </c>
      <c r="E50" s="39">
        <v>1.9120000000000002E-2</v>
      </c>
      <c r="F50" s="37">
        <f t="shared" si="6"/>
        <v>0.56999999999999995</v>
      </c>
      <c r="G50" s="40"/>
      <c r="H50" s="41"/>
      <c r="I50" s="42"/>
      <c r="J50" s="41"/>
      <c r="K50" s="40"/>
      <c r="L50" s="43"/>
      <c r="M50" s="44"/>
      <c r="N50" s="43"/>
    </row>
    <row r="51" spans="1:22" ht="15" customHeight="1" x14ac:dyDescent="0.2">
      <c r="A51" s="27" t="s">
        <v>141</v>
      </c>
      <c r="B51" s="37">
        <v>155.12</v>
      </c>
      <c r="C51" s="38"/>
      <c r="D51" s="39">
        <v>1</v>
      </c>
      <c r="E51" s="39">
        <v>1</v>
      </c>
      <c r="F51" s="37">
        <f t="shared" si="6"/>
        <v>155.12</v>
      </c>
      <c r="G51" s="40"/>
      <c r="H51" s="41"/>
      <c r="I51" s="42"/>
      <c r="J51" s="41"/>
      <c r="K51" s="40"/>
      <c r="L51" s="43"/>
      <c r="M51" s="44"/>
      <c r="N51" s="43"/>
    </row>
    <row r="52" spans="1:22" ht="15" customHeight="1" x14ac:dyDescent="0.2">
      <c r="A52" s="54" t="s">
        <v>142</v>
      </c>
      <c r="B52" s="55"/>
      <c r="C52" s="55"/>
      <c r="D52" s="55"/>
      <c r="E52" s="55"/>
      <c r="F52" s="56">
        <f>ROUND((SUM(F40:F51)-F51)*1.21+F51,2)</f>
        <v>3637.92</v>
      </c>
      <c r="G52" s="55"/>
      <c r="H52" s="55"/>
      <c r="I52" s="55"/>
      <c r="J52" s="55"/>
      <c r="K52" s="55"/>
      <c r="L52" s="55"/>
      <c r="M52" s="55"/>
      <c r="N52" s="55"/>
    </row>
    <row r="53" spans="1:22" ht="15" customHeight="1" x14ac:dyDescent="0.2">
      <c r="A53" s="59" t="s">
        <v>143</v>
      </c>
      <c r="B53" s="129">
        <f>(SUM(F40:F48)-2775.0294)/SUM(F40:F48)</f>
        <v>3.3690115538098274E-2</v>
      </c>
      <c r="C53" s="129"/>
      <c r="D53" s="129"/>
      <c r="E53" s="129"/>
      <c r="F53" s="129"/>
      <c r="G53" s="60"/>
      <c r="H53" s="130"/>
      <c r="I53" s="130"/>
      <c r="J53" s="130"/>
      <c r="K53" s="60"/>
      <c r="L53" s="131" t="str">
        <f>IF(B53&gt;=0.3,"APROBAR",IF(B53&gt;=0.2,"REVISAR","RECHAZAR"))</f>
        <v>RECHAZAR</v>
      </c>
      <c r="M53" s="131"/>
      <c r="N53" s="131"/>
    </row>
    <row r="55" spans="1:22" ht="15" customHeight="1" x14ac:dyDescent="0.2">
      <c r="A55" s="7" t="s">
        <v>163</v>
      </c>
      <c r="B55" s="7"/>
      <c r="C55" s="7"/>
      <c r="D55" s="7"/>
      <c r="E55" s="7"/>
      <c r="F55" s="7"/>
      <c r="G55" s="7"/>
      <c r="H55" s="7"/>
      <c r="I55" s="6" t="s">
        <v>164</v>
      </c>
      <c r="J55" s="6"/>
      <c r="K55" s="6"/>
      <c r="L55" s="6"/>
      <c r="M55" s="6"/>
      <c r="N55" s="6"/>
      <c r="R55" s="5" t="s">
        <v>110</v>
      </c>
      <c r="S55" s="5"/>
      <c r="T55" s="5"/>
      <c r="U55" s="5"/>
      <c r="V55" s="5"/>
    </row>
    <row r="56" spans="1:22" ht="15" customHeight="1" x14ac:dyDescent="0.2">
      <c r="A56" s="32" t="s">
        <v>111</v>
      </c>
      <c r="B56" s="4" t="s">
        <v>112</v>
      </c>
      <c r="C56" s="4"/>
      <c r="D56" s="4"/>
      <c r="E56" s="4"/>
      <c r="F56" s="4"/>
      <c r="G56" s="33"/>
      <c r="H56" s="3" t="s">
        <v>165</v>
      </c>
      <c r="I56" s="3"/>
      <c r="J56" s="3"/>
      <c r="K56" s="33"/>
      <c r="L56" s="2" t="s">
        <v>166</v>
      </c>
      <c r="M56" s="2"/>
      <c r="N56" s="2"/>
      <c r="R56" s="1" t="s">
        <v>167</v>
      </c>
      <c r="S56" s="1"/>
      <c r="T56" s="1"/>
      <c r="U56" s="1"/>
      <c r="V56" s="1"/>
    </row>
    <row r="57" spans="1:22" ht="15" customHeight="1" x14ac:dyDescent="0.2">
      <c r="A57" s="33"/>
      <c r="B57" s="34" t="s">
        <v>116</v>
      </c>
      <c r="C57" s="34" t="s">
        <v>117</v>
      </c>
      <c r="D57" s="34" t="s">
        <v>118</v>
      </c>
      <c r="E57" s="34" t="s">
        <v>119</v>
      </c>
      <c r="F57" s="34" t="s">
        <v>120</v>
      </c>
      <c r="G57" s="33"/>
      <c r="H57" s="35" t="s">
        <v>116</v>
      </c>
      <c r="I57" s="35" t="s">
        <v>119</v>
      </c>
      <c r="J57" s="35" t="s">
        <v>120</v>
      </c>
      <c r="K57" s="33"/>
      <c r="L57" s="36" t="s">
        <v>116</v>
      </c>
      <c r="M57" s="36" t="s">
        <v>119</v>
      </c>
      <c r="N57" s="36" t="s">
        <v>120</v>
      </c>
      <c r="R57" s="124" t="s">
        <v>168</v>
      </c>
      <c r="S57" s="124"/>
      <c r="T57" s="124"/>
      <c r="U57" s="124"/>
      <c r="V57" s="124"/>
    </row>
    <row r="58" spans="1:22" ht="15" customHeight="1" x14ac:dyDescent="0.2">
      <c r="A58" s="27" t="s">
        <v>122</v>
      </c>
      <c r="B58" s="37">
        <v>40</v>
      </c>
      <c r="C58" s="38">
        <v>30</v>
      </c>
      <c r="D58" s="39">
        <v>2.43249</v>
      </c>
      <c r="E58" s="39">
        <v>3.0516999999999999</v>
      </c>
      <c r="F58" s="37">
        <f t="shared" ref="F58:F69" si="7">ROUND(B58*E58,2)</f>
        <v>122.07</v>
      </c>
      <c r="G58" s="40"/>
      <c r="H58" s="41">
        <v>40</v>
      </c>
      <c r="I58" s="42">
        <v>2.3921999999999999</v>
      </c>
      <c r="J58" s="41">
        <f t="shared" ref="J58:J69" si="8">ROUND(H58*I58,2)</f>
        <v>95.69</v>
      </c>
      <c r="K58" s="40"/>
      <c r="L58" s="43">
        <v>40</v>
      </c>
      <c r="M58" s="44">
        <v>3.0516999999999999</v>
      </c>
      <c r="N58" s="43">
        <f t="shared" ref="N58:N69" si="9">ROUND(L58*M58,2)</f>
        <v>122.07</v>
      </c>
      <c r="R58" s="125" t="s">
        <v>169</v>
      </c>
      <c r="S58" s="125"/>
      <c r="T58" s="125"/>
      <c r="U58" s="125"/>
      <c r="V58" s="125"/>
    </row>
    <row r="59" spans="1:22" ht="15" customHeight="1" x14ac:dyDescent="0.2">
      <c r="A59" s="27" t="s">
        <v>124</v>
      </c>
      <c r="B59" s="37">
        <v>40</v>
      </c>
      <c r="C59" s="38">
        <v>30</v>
      </c>
      <c r="D59" s="39">
        <v>1.27518</v>
      </c>
      <c r="E59" s="39">
        <v>1.8367</v>
      </c>
      <c r="F59" s="37">
        <f t="shared" si="7"/>
        <v>73.47</v>
      </c>
      <c r="G59" s="40"/>
      <c r="H59" s="41">
        <v>40</v>
      </c>
      <c r="I59" s="42">
        <v>2.0667</v>
      </c>
      <c r="J59" s="41">
        <f t="shared" si="8"/>
        <v>82.67</v>
      </c>
      <c r="K59" s="40"/>
      <c r="L59" s="43">
        <v>40</v>
      </c>
      <c r="M59" s="44">
        <v>1.8367</v>
      </c>
      <c r="N59" s="43">
        <f t="shared" si="9"/>
        <v>73.47</v>
      </c>
      <c r="R59" s="126" t="s">
        <v>170</v>
      </c>
      <c r="S59" s="126"/>
      <c r="T59" s="126"/>
      <c r="U59" s="126"/>
      <c r="V59" s="126"/>
    </row>
    <row r="60" spans="1:22" ht="15" customHeight="1" x14ac:dyDescent="0.2">
      <c r="A60" s="27" t="s">
        <v>126</v>
      </c>
      <c r="B60" s="37">
        <v>40</v>
      </c>
      <c r="C60" s="38">
        <v>30</v>
      </c>
      <c r="D60" s="39">
        <v>0.55905000000000005</v>
      </c>
      <c r="E60" s="39">
        <v>1.4158999999999999</v>
      </c>
      <c r="F60" s="37">
        <f t="shared" si="7"/>
        <v>56.64</v>
      </c>
      <c r="G60" s="40"/>
      <c r="H60" s="41">
        <v>40</v>
      </c>
      <c r="I60" s="42">
        <v>1.0757000000000001</v>
      </c>
      <c r="J60" s="41">
        <f t="shared" si="8"/>
        <v>43.03</v>
      </c>
      <c r="K60" s="40"/>
      <c r="L60" s="43">
        <v>40</v>
      </c>
      <c r="M60" s="44">
        <v>1.4158999999999999</v>
      </c>
      <c r="N60" s="43">
        <f t="shared" si="9"/>
        <v>56.64</v>
      </c>
      <c r="R60" s="126" t="s">
        <v>171</v>
      </c>
      <c r="S60" s="126"/>
      <c r="T60" s="126"/>
      <c r="U60" s="126"/>
      <c r="V60" s="126"/>
    </row>
    <row r="61" spans="1:22" ht="15" customHeight="1" x14ac:dyDescent="0.2">
      <c r="A61" s="27" t="s">
        <v>128</v>
      </c>
      <c r="B61" s="37">
        <v>40</v>
      </c>
      <c r="C61" s="38">
        <v>30</v>
      </c>
      <c r="D61" s="39">
        <v>0.44334000000000001</v>
      </c>
      <c r="E61" s="39">
        <v>1.1558999999999999</v>
      </c>
      <c r="F61" s="37">
        <f t="shared" si="7"/>
        <v>46.24</v>
      </c>
      <c r="G61" s="40"/>
      <c r="H61" s="41">
        <v>40</v>
      </c>
      <c r="I61" s="42">
        <v>0.89170000000000005</v>
      </c>
      <c r="J61" s="41">
        <f t="shared" si="8"/>
        <v>35.67</v>
      </c>
      <c r="K61" s="40"/>
      <c r="L61" s="43">
        <v>40</v>
      </c>
      <c r="M61" s="44">
        <v>1.1558999999999999</v>
      </c>
      <c r="N61" s="43">
        <f t="shared" si="9"/>
        <v>46.24</v>
      </c>
      <c r="R61" s="132" t="s">
        <v>162</v>
      </c>
      <c r="S61" s="132"/>
      <c r="T61" s="132"/>
      <c r="U61" s="132"/>
      <c r="V61" s="132"/>
    </row>
    <row r="62" spans="1:22" ht="15" customHeight="1" x14ac:dyDescent="0.2">
      <c r="A62" s="27" t="s">
        <v>130</v>
      </c>
      <c r="B62" s="37">
        <v>40</v>
      </c>
      <c r="C62" s="38">
        <v>30</v>
      </c>
      <c r="D62" s="39">
        <v>0.17466000000000001</v>
      </c>
      <c r="E62" s="39">
        <v>0.21390000000000001</v>
      </c>
      <c r="F62" s="37">
        <f t="shared" si="7"/>
        <v>8.56</v>
      </c>
      <c r="G62" s="40"/>
      <c r="H62" s="41">
        <v>40</v>
      </c>
      <c r="I62" s="42">
        <v>0.20669999999999999</v>
      </c>
      <c r="J62" s="41">
        <f t="shared" si="8"/>
        <v>8.27</v>
      </c>
      <c r="K62" s="40"/>
      <c r="L62" s="43">
        <v>40</v>
      </c>
      <c r="M62" s="44">
        <v>0.21390000000000001</v>
      </c>
      <c r="N62" s="43">
        <f t="shared" si="9"/>
        <v>8.56</v>
      </c>
      <c r="R62" s="128" t="s">
        <v>131</v>
      </c>
      <c r="S62" s="128"/>
      <c r="T62" s="128"/>
      <c r="U62" s="128"/>
      <c r="V62" s="128"/>
    </row>
    <row r="63" spans="1:22" ht="15" customHeight="1" x14ac:dyDescent="0.2">
      <c r="A63" s="27" t="s">
        <v>132</v>
      </c>
      <c r="B63" s="37">
        <v>40</v>
      </c>
      <c r="C63" s="38">
        <v>30</v>
      </c>
      <c r="D63" s="39">
        <v>8.2530000000000006E-2</v>
      </c>
      <c r="E63" s="39">
        <v>0.12089999999999999</v>
      </c>
      <c r="F63" s="37">
        <f t="shared" si="7"/>
        <v>4.84</v>
      </c>
      <c r="G63" s="40"/>
      <c r="H63" s="41">
        <v>40</v>
      </c>
      <c r="I63" s="42">
        <v>0.1244</v>
      </c>
      <c r="J63" s="41">
        <f t="shared" si="8"/>
        <v>4.9800000000000004</v>
      </c>
      <c r="K63" s="40"/>
      <c r="L63" s="43">
        <v>40</v>
      </c>
      <c r="M63" s="44">
        <v>0.12089999999999999</v>
      </c>
      <c r="N63" s="43">
        <f t="shared" si="9"/>
        <v>4.84</v>
      </c>
    </row>
    <row r="64" spans="1:22" ht="15" customHeight="1" x14ac:dyDescent="0.2">
      <c r="A64" s="45" t="s">
        <v>133</v>
      </c>
      <c r="B64" s="46">
        <f>IF($P$64="",5772.67,ROUND(5772.67*((1679.5979/(1-$P$64))-311.82)/2112.37,2))</f>
        <v>5772.67</v>
      </c>
      <c r="C64" s="38"/>
      <c r="D64" s="47">
        <v>9.7753000000000007E-2</v>
      </c>
      <c r="E64" s="39">
        <v>0.13</v>
      </c>
      <c r="F64" s="37">
        <f t="shared" si="7"/>
        <v>750.45</v>
      </c>
      <c r="G64" s="40"/>
      <c r="H64" s="48">
        <v>3991</v>
      </c>
      <c r="I64" s="42">
        <v>0.13</v>
      </c>
      <c r="J64" s="41">
        <f t="shared" si="8"/>
        <v>518.83000000000004</v>
      </c>
      <c r="K64" s="40"/>
      <c r="L64" s="49">
        <v>5772.67</v>
      </c>
      <c r="M64" s="44">
        <v>0.16</v>
      </c>
      <c r="N64" s="43">
        <f t="shared" si="9"/>
        <v>923.63</v>
      </c>
      <c r="O64" s="50" t="s">
        <v>134</v>
      </c>
      <c r="P64" s="51"/>
    </row>
    <row r="65" spans="1:22" ht="15" customHeight="1" x14ac:dyDescent="0.2">
      <c r="A65" s="45" t="s">
        <v>135</v>
      </c>
      <c r="B65" s="46">
        <f>IF($P$64="",4223.96,ROUND(4223.96*((1679.5979/(1-$P$64))-311.82)/2112.37,2))</f>
        <v>4223.96</v>
      </c>
      <c r="C65" s="38"/>
      <c r="D65" s="47">
        <v>9.1419E-2</v>
      </c>
      <c r="E65" s="39">
        <v>0.13</v>
      </c>
      <c r="F65" s="37">
        <f t="shared" si="7"/>
        <v>549.11</v>
      </c>
      <c r="G65" s="40"/>
      <c r="H65" s="48">
        <v>6530</v>
      </c>
      <c r="I65" s="42">
        <v>0.13</v>
      </c>
      <c r="J65" s="41">
        <f t="shared" si="8"/>
        <v>848.9</v>
      </c>
      <c r="K65" s="40"/>
      <c r="L65" s="49">
        <v>4223.96</v>
      </c>
      <c r="M65" s="44">
        <v>0.16</v>
      </c>
      <c r="N65" s="43">
        <f t="shared" si="9"/>
        <v>675.83</v>
      </c>
      <c r="O65" s="52" t="s">
        <v>136</v>
      </c>
    </row>
    <row r="66" spans="1:22" ht="15" customHeight="1" x14ac:dyDescent="0.2">
      <c r="A66" s="45" t="s">
        <v>137</v>
      </c>
      <c r="B66" s="46">
        <f>IF($P$64="",6252.35,ROUND(6252.35*((1679.5979/(1-$P$64))-311.82)/2112.37,2))</f>
        <v>6252.35</v>
      </c>
      <c r="C66" s="38"/>
      <c r="D66" s="47">
        <v>8.4842000000000001E-2</v>
      </c>
      <c r="E66" s="39">
        <v>0.13</v>
      </c>
      <c r="F66" s="37">
        <f t="shared" si="7"/>
        <v>812.81</v>
      </c>
      <c r="G66" s="40"/>
      <c r="H66" s="48">
        <v>8909</v>
      </c>
      <c r="I66" s="42">
        <v>0.13</v>
      </c>
      <c r="J66" s="41">
        <f t="shared" si="8"/>
        <v>1158.17</v>
      </c>
      <c r="K66" s="40"/>
      <c r="L66" s="49">
        <v>6252.35</v>
      </c>
      <c r="M66" s="44">
        <v>0.16</v>
      </c>
      <c r="N66" s="43">
        <f t="shared" si="9"/>
        <v>1000.38</v>
      </c>
      <c r="O66" s="52" t="s">
        <v>138</v>
      </c>
    </row>
    <row r="67" spans="1:22" ht="15" customHeight="1" x14ac:dyDescent="0.2">
      <c r="A67" s="27" t="s">
        <v>139</v>
      </c>
      <c r="B67" s="37">
        <v>1</v>
      </c>
      <c r="C67" s="53">
        <v>30</v>
      </c>
      <c r="D67" s="39">
        <v>17.614999999999998</v>
      </c>
      <c r="E67" s="39">
        <v>17.614999999999998</v>
      </c>
      <c r="F67" s="37">
        <f t="shared" si="7"/>
        <v>17.62</v>
      </c>
      <c r="G67" s="40"/>
      <c r="H67" s="41">
        <v>1</v>
      </c>
      <c r="I67" s="42">
        <v>17.614999999999998</v>
      </c>
      <c r="J67" s="41">
        <f t="shared" si="8"/>
        <v>17.62</v>
      </c>
      <c r="K67" s="40"/>
      <c r="L67" s="43">
        <v>1</v>
      </c>
      <c r="M67" s="44">
        <v>17.614999999999998</v>
      </c>
      <c r="N67" s="43">
        <f t="shared" si="9"/>
        <v>17.62</v>
      </c>
    </row>
    <row r="68" spans="1:22" ht="15" customHeight="1" x14ac:dyDescent="0.2">
      <c r="A68" s="27" t="s">
        <v>140</v>
      </c>
      <c r="B68" s="37">
        <v>30</v>
      </c>
      <c r="C68" s="53">
        <v>30</v>
      </c>
      <c r="D68" s="39">
        <v>1.274E-2</v>
      </c>
      <c r="E68" s="39">
        <v>1.274E-2</v>
      </c>
      <c r="F68" s="37">
        <f t="shared" si="7"/>
        <v>0.38</v>
      </c>
      <c r="G68" s="40"/>
      <c r="H68" s="41">
        <v>30</v>
      </c>
      <c r="I68" s="42">
        <v>1.274E-2</v>
      </c>
      <c r="J68" s="41">
        <f t="shared" si="8"/>
        <v>0.38</v>
      </c>
      <c r="K68" s="40"/>
      <c r="L68" s="43">
        <v>30</v>
      </c>
      <c r="M68" s="44">
        <v>6.2899999999999996E-3</v>
      </c>
      <c r="N68" s="43">
        <f t="shared" si="9"/>
        <v>0.19</v>
      </c>
    </row>
    <row r="69" spans="1:22" ht="15" customHeight="1" x14ac:dyDescent="0.2">
      <c r="A69" s="27" t="s">
        <v>141</v>
      </c>
      <c r="B69" s="37">
        <v>132.29</v>
      </c>
      <c r="C69" s="38"/>
      <c r="D69" s="39">
        <v>1</v>
      </c>
      <c r="E69" s="39">
        <v>1</v>
      </c>
      <c r="F69" s="37">
        <f t="shared" si="7"/>
        <v>132.29</v>
      </c>
      <c r="G69" s="40"/>
      <c r="H69" s="41">
        <v>152.79</v>
      </c>
      <c r="I69" s="42">
        <v>1</v>
      </c>
      <c r="J69" s="41">
        <f t="shared" si="8"/>
        <v>152.79</v>
      </c>
      <c r="K69" s="40"/>
      <c r="L69" s="43">
        <v>146.69999999999999</v>
      </c>
      <c r="M69" s="44">
        <v>1</v>
      </c>
      <c r="N69" s="43">
        <f t="shared" si="9"/>
        <v>146.69999999999999</v>
      </c>
    </row>
    <row r="70" spans="1:22" ht="15" customHeight="1" x14ac:dyDescent="0.2">
      <c r="A70" s="45" t="s">
        <v>172</v>
      </c>
      <c r="B70" s="61"/>
      <c r="C70" s="38"/>
      <c r="D70" s="38"/>
      <c r="E70" s="62" t="s">
        <v>173</v>
      </c>
      <c r="F70" s="38"/>
      <c r="G70" s="40"/>
      <c r="H70" s="63"/>
      <c r="I70" s="63"/>
      <c r="J70" s="63"/>
      <c r="K70" s="40"/>
      <c r="L70" s="64"/>
      <c r="M70" s="64"/>
      <c r="N70" s="64"/>
    </row>
    <row r="71" spans="1:22" ht="15" customHeight="1" x14ac:dyDescent="0.2">
      <c r="A71" s="54" t="s">
        <v>142</v>
      </c>
      <c r="B71" s="55"/>
      <c r="C71" s="55"/>
      <c r="D71" s="55"/>
      <c r="E71" s="55"/>
      <c r="F71" s="56">
        <f>ROUND((SUM(F58:F70)-F69)*1.21+F69,2)</f>
        <v>3087.34</v>
      </c>
      <c r="G71" s="55"/>
      <c r="H71" s="55"/>
      <c r="I71" s="55"/>
      <c r="J71" s="57">
        <f>ROUND((SUM(J58:J70)-J69)*1.21+J69,2)</f>
        <v>3557.98</v>
      </c>
      <c r="K71" s="55"/>
      <c r="L71" s="55"/>
      <c r="M71" s="55"/>
      <c r="N71" s="58">
        <f>ROUND((SUM(N58:N70)-N69)*1.21+N69,2)</f>
        <v>3691.36</v>
      </c>
    </row>
    <row r="72" spans="1:22" ht="15" customHeight="1" x14ac:dyDescent="0.2">
      <c r="A72" s="59" t="s">
        <v>143</v>
      </c>
      <c r="B72" s="129">
        <f>(SUM(F58:F66)-1679.5979)/SUM(F58:F66)</f>
        <v>0.30715088338785329</v>
      </c>
      <c r="C72" s="129"/>
      <c r="D72" s="129"/>
      <c r="E72" s="129"/>
      <c r="F72" s="129"/>
      <c r="G72" s="60"/>
      <c r="H72" s="130"/>
      <c r="I72" s="130"/>
      <c r="J72" s="130"/>
      <c r="K72" s="60"/>
      <c r="L72" s="131" t="str">
        <f>IF(B72&gt;=0.3,"APROBAR",IF(B72&gt;=0.2,"REVISAR","RECHAZAR"))</f>
        <v>APROBAR</v>
      </c>
      <c r="M72" s="131"/>
      <c r="N72" s="131"/>
    </row>
    <row r="74" spans="1:22" ht="15" customHeight="1" x14ac:dyDescent="0.2">
      <c r="A74" s="7" t="s">
        <v>174</v>
      </c>
      <c r="B74" s="7"/>
      <c r="C74" s="7"/>
      <c r="D74" s="7"/>
      <c r="E74" s="7"/>
      <c r="F74" s="7"/>
      <c r="G74" s="7"/>
      <c r="H74" s="7"/>
      <c r="I74" s="6" t="s">
        <v>175</v>
      </c>
      <c r="J74" s="6"/>
      <c r="K74" s="6"/>
      <c r="L74" s="6"/>
      <c r="M74" s="6"/>
      <c r="N74" s="6"/>
      <c r="R74" s="5" t="s">
        <v>110</v>
      </c>
      <c r="S74" s="5"/>
      <c r="T74" s="5"/>
      <c r="U74" s="5"/>
      <c r="V74" s="5"/>
    </row>
    <row r="75" spans="1:22" ht="15" customHeight="1" x14ac:dyDescent="0.2">
      <c r="A75" s="32" t="s">
        <v>111</v>
      </c>
      <c r="B75" s="4" t="s">
        <v>112</v>
      </c>
      <c r="C75" s="4"/>
      <c r="D75" s="4"/>
      <c r="E75" s="4"/>
      <c r="F75" s="4"/>
      <c r="G75" s="33"/>
      <c r="H75" s="3" t="s">
        <v>176</v>
      </c>
      <c r="I75" s="3"/>
      <c r="J75" s="3"/>
      <c r="K75" s="33"/>
      <c r="L75" s="2" t="s">
        <v>177</v>
      </c>
      <c r="M75" s="2"/>
      <c r="N75" s="2"/>
      <c r="R75" s="1" t="s">
        <v>178</v>
      </c>
      <c r="S75" s="1"/>
      <c r="T75" s="1"/>
      <c r="U75" s="1"/>
      <c r="V75" s="1"/>
    </row>
    <row r="76" spans="1:22" ht="15" customHeight="1" x14ac:dyDescent="0.2">
      <c r="A76" s="33"/>
      <c r="B76" s="34" t="s">
        <v>116</v>
      </c>
      <c r="C76" s="34" t="s">
        <v>117</v>
      </c>
      <c r="D76" s="34" t="s">
        <v>118</v>
      </c>
      <c r="E76" s="34" t="s">
        <v>119</v>
      </c>
      <c r="F76" s="34" t="s">
        <v>120</v>
      </c>
      <c r="G76" s="33"/>
      <c r="H76" s="35" t="s">
        <v>116</v>
      </c>
      <c r="I76" s="35" t="s">
        <v>119</v>
      </c>
      <c r="J76" s="35" t="s">
        <v>120</v>
      </c>
      <c r="K76" s="33"/>
      <c r="L76" s="36" t="s">
        <v>116</v>
      </c>
      <c r="M76" s="36" t="s">
        <v>119</v>
      </c>
      <c r="N76" s="36" t="s">
        <v>120</v>
      </c>
      <c r="R76" s="124" t="s">
        <v>179</v>
      </c>
      <c r="S76" s="124"/>
      <c r="T76" s="124"/>
      <c r="U76" s="124"/>
      <c r="V76" s="124"/>
    </row>
    <row r="77" spans="1:22" ht="15" customHeight="1" x14ac:dyDescent="0.2">
      <c r="A77" s="27" t="s">
        <v>122</v>
      </c>
      <c r="B77" s="37">
        <v>24.248999999999999</v>
      </c>
      <c r="C77" s="38">
        <v>30</v>
      </c>
      <c r="D77" s="39">
        <v>1.7378400000000001</v>
      </c>
      <c r="E77" s="39">
        <v>2.5541999999999998</v>
      </c>
      <c r="F77" s="37">
        <f t="shared" ref="F77:F88" si="10">ROUND(B77*E77,2)</f>
        <v>61.94</v>
      </c>
      <c r="G77" s="40"/>
      <c r="H77" s="41">
        <v>24.248999999999999</v>
      </c>
      <c r="I77" s="42">
        <v>2.5541999999999998</v>
      </c>
      <c r="J77" s="41">
        <f t="shared" ref="J77:J88" si="11">ROUND(H77*I77,2)</f>
        <v>61.94</v>
      </c>
      <c r="K77" s="40"/>
      <c r="L77" s="43">
        <v>24.248999999999999</v>
      </c>
      <c r="M77" s="44">
        <v>2.5541999999999998</v>
      </c>
      <c r="N77" s="43">
        <f t="shared" ref="N77:N88" si="12">ROUND(L77*M77,2)</f>
        <v>61.94</v>
      </c>
      <c r="R77" s="125" t="s">
        <v>180</v>
      </c>
      <c r="S77" s="125"/>
      <c r="T77" s="125"/>
      <c r="U77" s="125"/>
      <c r="V77" s="125"/>
    </row>
    <row r="78" spans="1:22" ht="15" customHeight="1" x14ac:dyDescent="0.2">
      <c r="A78" s="27" t="s">
        <v>124</v>
      </c>
      <c r="B78" s="37">
        <v>24.248999999999999</v>
      </c>
      <c r="C78" s="38">
        <v>30</v>
      </c>
      <c r="D78" s="39">
        <v>0.93569999999999998</v>
      </c>
      <c r="E78" s="39">
        <v>1.3773</v>
      </c>
      <c r="F78" s="37">
        <f t="shared" si="10"/>
        <v>33.4</v>
      </c>
      <c r="G78" s="40"/>
      <c r="H78" s="41">
        <v>24.248999999999999</v>
      </c>
      <c r="I78" s="42">
        <v>1.3773</v>
      </c>
      <c r="J78" s="41">
        <f t="shared" si="11"/>
        <v>33.4</v>
      </c>
      <c r="K78" s="40"/>
      <c r="L78" s="43">
        <v>24.248999999999999</v>
      </c>
      <c r="M78" s="44">
        <v>1.3773</v>
      </c>
      <c r="N78" s="43">
        <f t="shared" si="12"/>
        <v>33.4</v>
      </c>
      <c r="R78" s="126" t="s">
        <v>181</v>
      </c>
      <c r="S78" s="126"/>
      <c r="T78" s="126"/>
      <c r="U78" s="126"/>
      <c r="V78" s="126"/>
    </row>
    <row r="79" spans="1:22" ht="15" customHeight="1" x14ac:dyDescent="0.2">
      <c r="A79" s="27" t="s">
        <v>126</v>
      </c>
      <c r="B79" s="37">
        <v>24.248999999999999</v>
      </c>
      <c r="C79" s="38">
        <v>30</v>
      </c>
      <c r="D79" s="39">
        <v>0.43136999999999998</v>
      </c>
      <c r="E79" s="39">
        <v>0.62860000000000005</v>
      </c>
      <c r="F79" s="37">
        <f t="shared" si="10"/>
        <v>15.24</v>
      </c>
      <c r="G79" s="40"/>
      <c r="H79" s="41">
        <v>24.248999999999999</v>
      </c>
      <c r="I79" s="42">
        <v>0.62860000000000005</v>
      </c>
      <c r="J79" s="41">
        <f t="shared" si="11"/>
        <v>15.24</v>
      </c>
      <c r="K79" s="40"/>
      <c r="L79" s="43">
        <v>24.248999999999999</v>
      </c>
      <c r="M79" s="44">
        <v>0.62860000000000005</v>
      </c>
      <c r="N79" s="43">
        <f t="shared" si="12"/>
        <v>15.24</v>
      </c>
      <c r="R79" s="126" t="s">
        <v>182</v>
      </c>
      <c r="S79" s="126"/>
      <c r="T79" s="126"/>
      <c r="U79" s="126"/>
      <c r="V79" s="126"/>
    </row>
    <row r="80" spans="1:22" ht="15" customHeight="1" x14ac:dyDescent="0.2">
      <c r="A80" s="27" t="s">
        <v>128</v>
      </c>
      <c r="B80" s="37">
        <v>24.248999999999999</v>
      </c>
      <c r="C80" s="38">
        <v>30</v>
      </c>
      <c r="D80" s="39">
        <v>0.38244</v>
      </c>
      <c r="E80" s="39">
        <v>0.55610000000000004</v>
      </c>
      <c r="F80" s="37">
        <f t="shared" si="10"/>
        <v>13.48</v>
      </c>
      <c r="G80" s="40"/>
      <c r="H80" s="41">
        <v>24.248999999999999</v>
      </c>
      <c r="I80" s="42">
        <v>0.55610000000000004</v>
      </c>
      <c r="J80" s="41">
        <f t="shared" si="11"/>
        <v>13.48</v>
      </c>
      <c r="K80" s="40"/>
      <c r="L80" s="43">
        <v>24.248999999999999</v>
      </c>
      <c r="M80" s="44">
        <v>0.55610000000000004</v>
      </c>
      <c r="N80" s="43">
        <f t="shared" si="12"/>
        <v>13.48</v>
      </c>
      <c r="R80" s="132" t="s">
        <v>162</v>
      </c>
      <c r="S80" s="132"/>
      <c r="T80" s="132"/>
      <c r="U80" s="132"/>
      <c r="V80" s="132"/>
    </row>
    <row r="81" spans="1:22" ht="15" customHeight="1" x14ac:dyDescent="0.2">
      <c r="A81" s="27" t="s">
        <v>130</v>
      </c>
      <c r="B81" s="37">
        <v>24.248999999999999</v>
      </c>
      <c r="C81" s="38">
        <v>30</v>
      </c>
      <c r="D81" s="39">
        <v>0.26963999999999999</v>
      </c>
      <c r="E81" s="39">
        <v>0.38679999999999998</v>
      </c>
      <c r="F81" s="37">
        <f t="shared" si="10"/>
        <v>9.3800000000000008</v>
      </c>
      <c r="G81" s="40"/>
      <c r="H81" s="41">
        <v>24.248999999999999</v>
      </c>
      <c r="I81" s="42">
        <v>0.38679999999999998</v>
      </c>
      <c r="J81" s="41">
        <f t="shared" si="11"/>
        <v>9.3800000000000008</v>
      </c>
      <c r="K81" s="40"/>
      <c r="L81" s="43">
        <v>24.248999999999999</v>
      </c>
      <c r="M81" s="44">
        <v>0.38679999999999998</v>
      </c>
      <c r="N81" s="43">
        <f t="shared" si="12"/>
        <v>9.3800000000000008</v>
      </c>
      <c r="R81" s="128" t="s">
        <v>131</v>
      </c>
      <c r="S81" s="128"/>
      <c r="T81" s="128"/>
      <c r="U81" s="128"/>
      <c r="V81" s="128"/>
    </row>
    <row r="82" spans="1:22" ht="15" customHeight="1" x14ac:dyDescent="0.2">
      <c r="A82" s="27" t="s">
        <v>132</v>
      </c>
      <c r="B82" s="37">
        <v>24.248999999999999</v>
      </c>
      <c r="C82" s="38">
        <v>30</v>
      </c>
      <c r="D82" s="39">
        <v>0.18156</v>
      </c>
      <c r="E82" s="39">
        <v>0.26529999999999998</v>
      </c>
      <c r="F82" s="37">
        <f t="shared" si="10"/>
        <v>6.43</v>
      </c>
      <c r="G82" s="40"/>
      <c r="H82" s="41">
        <v>24.248999999999999</v>
      </c>
      <c r="I82" s="42">
        <v>0.26529999999999998</v>
      </c>
      <c r="J82" s="41">
        <f t="shared" si="11"/>
        <v>6.43</v>
      </c>
      <c r="K82" s="40"/>
      <c r="L82" s="43">
        <v>24.248999999999999</v>
      </c>
      <c r="M82" s="44">
        <v>0.26529999999999998</v>
      </c>
      <c r="N82" s="43">
        <f t="shared" si="12"/>
        <v>6.43</v>
      </c>
    </row>
    <row r="83" spans="1:22" ht="15" customHeight="1" x14ac:dyDescent="0.2">
      <c r="A83" s="45" t="s">
        <v>133</v>
      </c>
      <c r="B83" s="46">
        <f>IF($P$83="",764.02,ROUND(764.02*((372.2018/(1-$P$83))-139.87)/440.41,2))</f>
        <v>764.02</v>
      </c>
      <c r="C83" s="38"/>
      <c r="D83" s="47">
        <v>0.106808</v>
      </c>
      <c r="E83" s="39">
        <v>0.17</v>
      </c>
      <c r="F83" s="37">
        <f t="shared" si="10"/>
        <v>129.88</v>
      </c>
      <c r="G83" s="40"/>
      <c r="H83" s="48">
        <v>692.32299999999998</v>
      </c>
      <c r="I83" s="42">
        <v>0.17499999999999999</v>
      </c>
      <c r="J83" s="41">
        <f t="shared" si="11"/>
        <v>121.16</v>
      </c>
      <c r="K83" s="40"/>
      <c r="L83" s="49">
        <v>564.02</v>
      </c>
      <c r="M83" s="44">
        <v>0.17499999999999999</v>
      </c>
      <c r="N83" s="43">
        <f t="shared" si="12"/>
        <v>98.7</v>
      </c>
      <c r="O83" s="50" t="s">
        <v>134</v>
      </c>
      <c r="P83" s="51"/>
    </row>
    <row r="84" spans="1:22" ht="15" customHeight="1" x14ac:dyDescent="0.2">
      <c r="A84" s="45" t="s">
        <v>135</v>
      </c>
      <c r="B84" s="46">
        <f>IF($P$83="",566.81,ROUND(566.81*((372.2018/(1-$P$83))-139.87)/440.41,2))</f>
        <v>566.80999999999995</v>
      </c>
      <c r="C84" s="38"/>
      <c r="D84" s="47">
        <v>0.106808</v>
      </c>
      <c r="E84" s="39">
        <v>0.17</v>
      </c>
      <c r="F84" s="37">
        <f t="shared" si="10"/>
        <v>96.36</v>
      </c>
      <c r="G84" s="40"/>
      <c r="H84" s="48">
        <v>678.69100000000003</v>
      </c>
      <c r="I84" s="42">
        <v>0.17499999999999999</v>
      </c>
      <c r="J84" s="41">
        <f t="shared" si="11"/>
        <v>118.77</v>
      </c>
      <c r="K84" s="40"/>
      <c r="L84" s="49">
        <v>466.81</v>
      </c>
      <c r="M84" s="44">
        <v>0.17499999999999999</v>
      </c>
      <c r="N84" s="43">
        <f t="shared" si="12"/>
        <v>81.69</v>
      </c>
      <c r="O84" s="52" t="s">
        <v>136</v>
      </c>
    </row>
    <row r="85" spans="1:22" ht="15" customHeight="1" x14ac:dyDescent="0.2">
      <c r="A85" s="45" t="s">
        <v>137</v>
      </c>
      <c r="B85" s="46">
        <f>IF($P$83="",1259.797,ROUND(1259.797*((372.2018/(1-$P$83))-139.87)/440.41,2))</f>
        <v>1259.797</v>
      </c>
      <c r="C85" s="38"/>
      <c r="D85" s="47">
        <v>0.106808</v>
      </c>
      <c r="E85" s="39">
        <v>0.17</v>
      </c>
      <c r="F85" s="37">
        <f t="shared" si="10"/>
        <v>214.17</v>
      </c>
      <c r="G85" s="40"/>
      <c r="H85" s="48">
        <v>1399.94</v>
      </c>
      <c r="I85" s="42">
        <v>0.17499999999999999</v>
      </c>
      <c r="J85" s="41">
        <f t="shared" si="11"/>
        <v>244.99</v>
      </c>
      <c r="K85" s="40"/>
      <c r="L85" s="49">
        <v>959.79700000000003</v>
      </c>
      <c r="M85" s="44">
        <v>0.17499999999999999</v>
      </c>
      <c r="N85" s="43">
        <f t="shared" si="12"/>
        <v>167.96</v>
      </c>
      <c r="O85" s="52" t="s">
        <v>138</v>
      </c>
    </row>
    <row r="86" spans="1:22" ht="15" customHeight="1" x14ac:dyDescent="0.2">
      <c r="A86" s="27" t="s">
        <v>139</v>
      </c>
      <c r="B86" s="37">
        <v>1</v>
      </c>
      <c r="C86" s="53">
        <v>30</v>
      </c>
      <c r="D86" s="39">
        <v>6</v>
      </c>
      <c r="E86" s="39">
        <v>6</v>
      </c>
      <c r="F86" s="37">
        <f t="shared" si="10"/>
        <v>6</v>
      </c>
      <c r="G86" s="40"/>
      <c r="H86" s="41">
        <v>1</v>
      </c>
      <c r="I86" s="42">
        <v>6</v>
      </c>
      <c r="J86" s="41">
        <f t="shared" si="11"/>
        <v>6</v>
      </c>
      <c r="K86" s="40"/>
      <c r="L86" s="43">
        <v>1</v>
      </c>
      <c r="M86" s="44">
        <v>6</v>
      </c>
      <c r="N86" s="43">
        <f t="shared" si="12"/>
        <v>6</v>
      </c>
    </row>
    <row r="87" spans="1:22" ht="15" customHeight="1" x14ac:dyDescent="0.2">
      <c r="A87" s="27" t="s">
        <v>140</v>
      </c>
      <c r="B87" s="37">
        <v>30</v>
      </c>
      <c r="C87" s="53">
        <v>30</v>
      </c>
      <c r="D87" s="39">
        <v>1.274E-2</v>
      </c>
      <c r="E87" s="39">
        <v>1.274E-2</v>
      </c>
      <c r="F87" s="37">
        <f t="shared" si="10"/>
        <v>0.38</v>
      </c>
      <c r="G87" s="40"/>
      <c r="H87" s="41">
        <v>30</v>
      </c>
      <c r="I87" s="42">
        <v>6.2899999999999996E-3</v>
      </c>
      <c r="J87" s="41">
        <f t="shared" si="11"/>
        <v>0.19</v>
      </c>
      <c r="K87" s="40"/>
      <c r="L87" s="43">
        <v>30</v>
      </c>
      <c r="M87" s="44">
        <v>6.2899999999999996E-3</v>
      </c>
      <c r="N87" s="43">
        <f t="shared" si="12"/>
        <v>0.19</v>
      </c>
    </row>
    <row r="88" spans="1:22" ht="15" customHeight="1" x14ac:dyDescent="0.2">
      <c r="A88" s="27" t="s">
        <v>141</v>
      </c>
      <c r="B88" s="37">
        <v>31.32</v>
      </c>
      <c r="C88" s="38"/>
      <c r="D88" s="39">
        <v>1</v>
      </c>
      <c r="E88" s="39">
        <v>1</v>
      </c>
      <c r="F88" s="37">
        <f t="shared" si="10"/>
        <v>31.32</v>
      </c>
      <c r="G88" s="40"/>
      <c r="H88" s="41">
        <v>27.75</v>
      </c>
      <c r="I88" s="42">
        <v>1</v>
      </c>
      <c r="J88" s="41">
        <f t="shared" si="11"/>
        <v>27.75</v>
      </c>
      <c r="K88" s="40"/>
      <c r="L88" s="43">
        <v>26.26</v>
      </c>
      <c r="M88" s="44">
        <v>1</v>
      </c>
      <c r="N88" s="43">
        <f t="shared" si="12"/>
        <v>26.26</v>
      </c>
    </row>
    <row r="89" spans="1:22" ht="15" customHeight="1" x14ac:dyDescent="0.2">
      <c r="A89" s="54" t="s">
        <v>142</v>
      </c>
      <c r="B89" s="55"/>
      <c r="C89" s="55"/>
      <c r="D89" s="55"/>
      <c r="E89" s="55"/>
      <c r="F89" s="56">
        <f>ROUND((SUM(F77:F88)-F88)*1.21+F88,2)</f>
        <v>741.18</v>
      </c>
      <c r="G89" s="55"/>
      <c r="H89" s="55"/>
      <c r="I89" s="55"/>
      <c r="J89" s="57">
        <f>ROUND((SUM(J77:J88)-J88)*1.21+J88,2)</f>
        <v>791.24</v>
      </c>
      <c r="K89" s="55"/>
      <c r="L89" s="55"/>
      <c r="M89" s="55"/>
      <c r="N89" s="58">
        <f>ROUND((SUM(N77:N88)-N88)*1.21+N88,2)</f>
        <v>624.5</v>
      </c>
    </row>
    <row r="90" spans="1:22" ht="15" customHeight="1" x14ac:dyDescent="0.2">
      <c r="A90" s="59" t="s">
        <v>143</v>
      </c>
      <c r="B90" s="129">
        <f>(SUM(F77:F85)-372.2018)/SUM(F77:F85)</f>
        <v>0.35858240849245193</v>
      </c>
      <c r="C90" s="129"/>
      <c r="D90" s="129"/>
      <c r="E90" s="129"/>
      <c r="F90" s="129"/>
      <c r="G90" s="60"/>
      <c r="H90" s="130"/>
      <c r="I90" s="130"/>
      <c r="J90" s="130"/>
      <c r="K90" s="60"/>
      <c r="L90" s="131" t="str">
        <f>IF(B90&gt;=0.3,"APROBAR",IF(B90&gt;=0.2,"REVISAR","RECHAZAR"))</f>
        <v>APROBAR</v>
      </c>
      <c r="M90" s="131"/>
      <c r="N90" s="131"/>
    </row>
    <row r="92" spans="1:22" ht="15" customHeight="1" x14ac:dyDescent="0.2">
      <c r="A92" s="7" t="s">
        <v>183</v>
      </c>
      <c r="B92" s="7"/>
      <c r="C92" s="7"/>
      <c r="D92" s="7"/>
      <c r="E92" s="7"/>
      <c r="F92" s="7"/>
      <c r="G92" s="7"/>
      <c r="H92" s="7"/>
      <c r="I92" s="6" t="s">
        <v>184</v>
      </c>
      <c r="J92" s="6"/>
      <c r="K92" s="6"/>
      <c r="L92" s="6"/>
      <c r="M92" s="6"/>
      <c r="N92" s="6"/>
      <c r="R92" s="5" t="s">
        <v>110</v>
      </c>
      <c r="S92" s="5"/>
      <c r="T92" s="5"/>
      <c r="U92" s="5"/>
      <c r="V92" s="5"/>
    </row>
    <row r="93" spans="1:22" ht="15" customHeight="1" x14ac:dyDescent="0.2">
      <c r="A93" s="32" t="s">
        <v>111</v>
      </c>
      <c r="B93" s="4" t="s">
        <v>112</v>
      </c>
      <c r="C93" s="4"/>
      <c r="D93" s="4"/>
      <c r="E93" s="4"/>
      <c r="F93" s="4"/>
      <c r="G93" s="33"/>
      <c r="H93" s="3" t="s">
        <v>185</v>
      </c>
      <c r="I93" s="3"/>
      <c r="J93" s="3"/>
      <c r="K93" s="33"/>
      <c r="L93" s="2" t="s">
        <v>186</v>
      </c>
      <c r="M93" s="2"/>
      <c r="N93" s="2"/>
      <c r="R93" s="1" t="s">
        <v>187</v>
      </c>
      <c r="S93" s="1"/>
      <c r="T93" s="1"/>
      <c r="U93" s="1"/>
      <c r="V93" s="1"/>
    </row>
    <row r="94" spans="1:22" ht="15" customHeight="1" x14ac:dyDescent="0.2">
      <c r="A94" s="33"/>
      <c r="B94" s="34" t="s">
        <v>116</v>
      </c>
      <c r="C94" s="34" t="s">
        <v>117</v>
      </c>
      <c r="D94" s="34" t="s">
        <v>118</v>
      </c>
      <c r="E94" s="34" t="s">
        <v>119</v>
      </c>
      <c r="F94" s="34" t="s">
        <v>120</v>
      </c>
      <c r="G94" s="33"/>
      <c r="H94" s="35" t="s">
        <v>116</v>
      </c>
      <c r="I94" s="35" t="s">
        <v>119</v>
      </c>
      <c r="J94" s="35" t="s">
        <v>120</v>
      </c>
      <c r="K94" s="33"/>
      <c r="L94" s="36" t="s">
        <v>116</v>
      </c>
      <c r="M94" s="36" t="s">
        <v>119</v>
      </c>
      <c r="N94" s="36" t="s">
        <v>120</v>
      </c>
      <c r="R94" s="124" t="s">
        <v>188</v>
      </c>
      <c r="S94" s="124"/>
      <c r="T94" s="124"/>
      <c r="U94" s="124"/>
      <c r="V94" s="124"/>
    </row>
    <row r="95" spans="1:22" ht="15" customHeight="1" x14ac:dyDescent="0.2">
      <c r="A95" s="27" t="s">
        <v>122</v>
      </c>
      <c r="B95" s="37">
        <v>17.32</v>
      </c>
      <c r="C95" s="38">
        <v>30</v>
      </c>
      <c r="D95" s="39">
        <v>1.7378400000000001</v>
      </c>
      <c r="E95" s="39">
        <v>2.5541999999999998</v>
      </c>
      <c r="F95" s="37">
        <f t="shared" ref="F95:F106" si="13">ROUND(B95*E95,2)</f>
        <v>44.24</v>
      </c>
      <c r="G95" s="40"/>
      <c r="H95" s="41">
        <v>17.32</v>
      </c>
      <c r="I95" s="42">
        <v>2.5541999999999998</v>
      </c>
      <c r="J95" s="41">
        <f t="shared" ref="J95:J106" si="14">ROUND(H95*I95,2)</f>
        <v>44.24</v>
      </c>
      <c r="K95" s="40"/>
      <c r="L95" s="43">
        <v>17.32</v>
      </c>
      <c r="M95" s="44">
        <v>2.5541999999999998</v>
      </c>
      <c r="N95" s="43">
        <f t="shared" ref="N95:N106" si="15">ROUND(L95*M95,2)</f>
        <v>44.24</v>
      </c>
      <c r="R95" s="125" t="s">
        <v>189</v>
      </c>
      <c r="S95" s="125"/>
      <c r="T95" s="125"/>
      <c r="U95" s="125"/>
      <c r="V95" s="125"/>
    </row>
    <row r="96" spans="1:22" ht="15" customHeight="1" x14ac:dyDescent="0.2">
      <c r="A96" s="27" t="s">
        <v>124</v>
      </c>
      <c r="B96" s="37">
        <v>17.32</v>
      </c>
      <c r="C96" s="38">
        <v>30</v>
      </c>
      <c r="D96" s="39">
        <v>0.93569999999999998</v>
      </c>
      <c r="E96" s="39">
        <v>1.3773</v>
      </c>
      <c r="F96" s="37">
        <f t="shared" si="13"/>
        <v>23.85</v>
      </c>
      <c r="G96" s="40"/>
      <c r="H96" s="41">
        <v>17.32</v>
      </c>
      <c r="I96" s="42">
        <v>1.3773</v>
      </c>
      <c r="J96" s="41">
        <f t="shared" si="14"/>
        <v>23.85</v>
      </c>
      <c r="K96" s="40"/>
      <c r="L96" s="43">
        <v>17.32</v>
      </c>
      <c r="M96" s="44">
        <v>1.3773</v>
      </c>
      <c r="N96" s="43">
        <f t="shared" si="15"/>
        <v>23.85</v>
      </c>
      <c r="R96" s="126" t="s">
        <v>190</v>
      </c>
      <c r="S96" s="126"/>
      <c r="T96" s="126"/>
      <c r="U96" s="126"/>
      <c r="V96" s="126"/>
    </row>
    <row r="97" spans="1:22" ht="15" customHeight="1" x14ac:dyDescent="0.2">
      <c r="A97" s="27" t="s">
        <v>126</v>
      </c>
      <c r="B97" s="37">
        <v>17.32</v>
      </c>
      <c r="C97" s="38">
        <v>30</v>
      </c>
      <c r="D97" s="39">
        <v>0.43136999999999998</v>
      </c>
      <c r="E97" s="39">
        <v>0.62860000000000005</v>
      </c>
      <c r="F97" s="37">
        <f t="shared" si="13"/>
        <v>10.89</v>
      </c>
      <c r="G97" s="40"/>
      <c r="H97" s="41">
        <v>17.32</v>
      </c>
      <c r="I97" s="42">
        <v>0.62860000000000005</v>
      </c>
      <c r="J97" s="41">
        <f t="shared" si="14"/>
        <v>10.89</v>
      </c>
      <c r="K97" s="40"/>
      <c r="L97" s="43">
        <v>17.32</v>
      </c>
      <c r="M97" s="44">
        <v>0.62860000000000005</v>
      </c>
      <c r="N97" s="43">
        <f t="shared" si="15"/>
        <v>10.89</v>
      </c>
      <c r="R97" s="126" t="s">
        <v>191</v>
      </c>
      <c r="S97" s="126"/>
      <c r="T97" s="126"/>
      <c r="U97" s="126"/>
      <c r="V97" s="126"/>
    </row>
    <row r="98" spans="1:22" ht="15" customHeight="1" x14ac:dyDescent="0.2">
      <c r="A98" s="27" t="s">
        <v>128</v>
      </c>
      <c r="B98" s="37">
        <v>17.32</v>
      </c>
      <c r="C98" s="38">
        <v>30</v>
      </c>
      <c r="D98" s="39">
        <v>0.38244</v>
      </c>
      <c r="E98" s="39">
        <v>0.55610000000000004</v>
      </c>
      <c r="F98" s="37">
        <f t="shared" si="13"/>
        <v>9.6300000000000008</v>
      </c>
      <c r="G98" s="40"/>
      <c r="H98" s="41">
        <v>17.32</v>
      </c>
      <c r="I98" s="42">
        <v>0.55610000000000004</v>
      </c>
      <c r="J98" s="41">
        <f t="shared" si="14"/>
        <v>9.6300000000000008</v>
      </c>
      <c r="K98" s="40"/>
      <c r="L98" s="43">
        <v>17.32</v>
      </c>
      <c r="M98" s="44">
        <v>0.55610000000000004</v>
      </c>
      <c r="N98" s="43">
        <f t="shared" si="15"/>
        <v>9.6300000000000008</v>
      </c>
      <c r="R98" s="132" t="s">
        <v>162</v>
      </c>
      <c r="S98" s="132"/>
      <c r="T98" s="132"/>
      <c r="U98" s="132"/>
      <c r="V98" s="132"/>
    </row>
    <row r="99" spans="1:22" ht="15" customHeight="1" x14ac:dyDescent="0.2">
      <c r="A99" s="27" t="s">
        <v>130</v>
      </c>
      <c r="B99" s="37">
        <v>17.32</v>
      </c>
      <c r="C99" s="38">
        <v>30</v>
      </c>
      <c r="D99" s="39">
        <v>0.26963999999999999</v>
      </c>
      <c r="E99" s="39">
        <v>0.38679999999999998</v>
      </c>
      <c r="F99" s="37">
        <f t="shared" si="13"/>
        <v>6.7</v>
      </c>
      <c r="G99" s="40"/>
      <c r="H99" s="41">
        <v>17.32</v>
      </c>
      <c r="I99" s="42">
        <v>0.38679999999999998</v>
      </c>
      <c r="J99" s="41">
        <f t="shared" si="14"/>
        <v>6.7</v>
      </c>
      <c r="K99" s="40"/>
      <c r="L99" s="43">
        <v>17.32</v>
      </c>
      <c r="M99" s="44">
        <v>0.38679999999999998</v>
      </c>
      <c r="N99" s="43">
        <f t="shared" si="15"/>
        <v>6.7</v>
      </c>
      <c r="R99" s="128" t="s">
        <v>131</v>
      </c>
      <c r="S99" s="128"/>
      <c r="T99" s="128"/>
      <c r="U99" s="128"/>
      <c r="V99" s="128"/>
    </row>
    <row r="100" spans="1:22" ht="15" customHeight="1" x14ac:dyDescent="0.2">
      <c r="A100" s="27" t="s">
        <v>132</v>
      </c>
      <c r="B100" s="37">
        <v>17.32</v>
      </c>
      <c r="C100" s="38">
        <v>30</v>
      </c>
      <c r="D100" s="39">
        <v>0.18156</v>
      </c>
      <c r="E100" s="39">
        <v>0.26529999999999998</v>
      </c>
      <c r="F100" s="37">
        <f t="shared" si="13"/>
        <v>4.59</v>
      </c>
      <c r="G100" s="40"/>
      <c r="H100" s="41">
        <v>17.32</v>
      </c>
      <c r="I100" s="42">
        <v>0.26529999999999998</v>
      </c>
      <c r="J100" s="41">
        <f t="shared" si="14"/>
        <v>4.59</v>
      </c>
      <c r="K100" s="40"/>
      <c r="L100" s="43">
        <v>17.32</v>
      </c>
      <c r="M100" s="44">
        <v>0.26529999999999998</v>
      </c>
      <c r="N100" s="43">
        <f t="shared" si="15"/>
        <v>4.59</v>
      </c>
    </row>
    <row r="101" spans="1:22" ht="15" customHeight="1" x14ac:dyDescent="0.2">
      <c r="A101" s="45" t="s">
        <v>133</v>
      </c>
      <c r="B101" s="46">
        <f>IF($P$101="",678.02,ROUND(678.02*((357.0888/(1-$P$101))-99.9)/436.56,2))</f>
        <v>678.02</v>
      </c>
      <c r="C101" s="38"/>
      <c r="D101" s="47">
        <v>0.121236</v>
      </c>
      <c r="E101" s="39">
        <v>0.17</v>
      </c>
      <c r="F101" s="37">
        <f t="shared" si="13"/>
        <v>115.26</v>
      </c>
      <c r="G101" s="40"/>
      <c r="H101" s="48">
        <v>1040.1510000000001</v>
      </c>
      <c r="I101" s="42">
        <v>0.17499999999999999</v>
      </c>
      <c r="J101" s="41">
        <f t="shared" si="14"/>
        <v>182.03</v>
      </c>
      <c r="K101" s="40"/>
      <c r="L101" s="49">
        <v>578.02</v>
      </c>
      <c r="M101" s="44">
        <v>0.17499999999999999</v>
      </c>
      <c r="N101" s="43">
        <f t="shared" si="15"/>
        <v>101.15</v>
      </c>
      <c r="O101" s="50" t="s">
        <v>134</v>
      </c>
      <c r="P101" s="51"/>
    </row>
    <row r="102" spans="1:22" ht="15" customHeight="1" x14ac:dyDescent="0.2">
      <c r="A102" s="45" t="s">
        <v>135</v>
      </c>
      <c r="B102" s="46">
        <f>IF($P$101="",629.871,ROUND(629.871*((357.0888/(1-$P$101))-99.9)/436.56,2))</f>
        <v>629.87099999999998</v>
      </c>
      <c r="C102" s="38"/>
      <c r="D102" s="47">
        <v>0.114444</v>
      </c>
      <c r="E102" s="39">
        <v>0.17</v>
      </c>
      <c r="F102" s="37">
        <f t="shared" si="13"/>
        <v>107.08</v>
      </c>
      <c r="G102" s="40"/>
      <c r="H102" s="48">
        <v>770.55100000000004</v>
      </c>
      <c r="I102" s="42">
        <v>0.17499999999999999</v>
      </c>
      <c r="J102" s="41">
        <f t="shared" si="14"/>
        <v>134.85</v>
      </c>
      <c r="K102" s="40"/>
      <c r="L102" s="49">
        <v>429.87099999999998</v>
      </c>
      <c r="M102" s="44">
        <v>0.17499999999999999</v>
      </c>
      <c r="N102" s="43">
        <f t="shared" si="15"/>
        <v>75.23</v>
      </c>
      <c r="O102" s="52" t="s">
        <v>136</v>
      </c>
    </row>
    <row r="103" spans="1:22" ht="15" customHeight="1" x14ac:dyDescent="0.2">
      <c r="A103" s="45" t="s">
        <v>137</v>
      </c>
      <c r="B103" s="46">
        <f>IF($P$101="",1260.09,ROUND(1260.09*((357.0888/(1-$P$101))-99.9)/436.56,2))</f>
        <v>1260.0899999999999</v>
      </c>
      <c r="C103" s="38"/>
      <c r="D103" s="47">
        <v>0.106808</v>
      </c>
      <c r="E103" s="39">
        <v>0.17</v>
      </c>
      <c r="F103" s="37">
        <f t="shared" si="13"/>
        <v>214.22</v>
      </c>
      <c r="G103" s="40"/>
      <c r="H103" s="48">
        <v>2191.12</v>
      </c>
      <c r="I103" s="42">
        <v>0.17499999999999999</v>
      </c>
      <c r="J103" s="41">
        <f t="shared" si="14"/>
        <v>383.45</v>
      </c>
      <c r="K103" s="40"/>
      <c r="L103" s="49">
        <v>1060.0899999999999</v>
      </c>
      <c r="M103" s="44">
        <v>0.17499999999999999</v>
      </c>
      <c r="N103" s="43">
        <f t="shared" si="15"/>
        <v>185.52</v>
      </c>
      <c r="O103" s="52" t="s">
        <v>138</v>
      </c>
    </row>
    <row r="104" spans="1:22" ht="15" customHeight="1" x14ac:dyDescent="0.2">
      <c r="A104" s="27" t="s">
        <v>139</v>
      </c>
      <c r="B104" s="37">
        <v>1</v>
      </c>
      <c r="C104" s="53">
        <v>30</v>
      </c>
      <c r="D104" s="39">
        <v>6</v>
      </c>
      <c r="E104" s="39">
        <v>6</v>
      </c>
      <c r="F104" s="37">
        <f t="shared" si="13"/>
        <v>6</v>
      </c>
      <c r="G104" s="40"/>
      <c r="H104" s="41">
        <v>1</v>
      </c>
      <c r="I104" s="42">
        <v>6</v>
      </c>
      <c r="J104" s="41">
        <f t="shared" si="14"/>
        <v>6</v>
      </c>
      <c r="K104" s="40"/>
      <c r="L104" s="43">
        <v>1</v>
      </c>
      <c r="M104" s="44">
        <v>6</v>
      </c>
      <c r="N104" s="43">
        <f t="shared" si="15"/>
        <v>6</v>
      </c>
    </row>
    <row r="105" spans="1:22" ht="15" customHeight="1" x14ac:dyDescent="0.2">
      <c r="A105" s="27" t="s">
        <v>140</v>
      </c>
      <c r="B105" s="37">
        <v>30</v>
      </c>
      <c r="C105" s="53">
        <v>30</v>
      </c>
      <c r="D105" s="39">
        <v>6.2899999999999996E-3</v>
      </c>
      <c r="E105" s="39">
        <v>6.2899999999999996E-3</v>
      </c>
      <c r="F105" s="37">
        <f t="shared" si="13"/>
        <v>0.19</v>
      </c>
      <c r="G105" s="40"/>
      <c r="H105" s="41">
        <v>30</v>
      </c>
      <c r="I105" s="42">
        <v>1.274E-2</v>
      </c>
      <c r="J105" s="41">
        <f t="shared" si="14"/>
        <v>0.38</v>
      </c>
      <c r="K105" s="40"/>
      <c r="L105" s="43">
        <v>30</v>
      </c>
      <c r="M105" s="44">
        <v>6.2899999999999996E-3</v>
      </c>
      <c r="N105" s="43">
        <f t="shared" si="15"/>
        <v>0.19</v>
      </c>
    </row>
    <row r="106" spans="1:22" ht="15" customHeight="1" x14ac:dyDescent="0.2">
      <c r="A106" s="27" t="s">
        <v>141</v>
      </c>
      <c r="B106" s="37">
        <v>29.01</v>
      </c>
      <c r="C106" s="38"/>
      <c r="D106" s="39">
        <v>1</v>
      </c>
      <c r="E106" s="39">
        <v>1</v>
      </c>
      <c r="F106" s="37">
        <f t="shared" si="13"/>
        <v>29.01</v>
      </c>
      <c r="G106" s="40"/>
      <c r="H106" s="41">
        <v>42.63</v>
      </c>
      <c r="I106" s="42">
        <v>1</v>
      </c>
      <c r="J106" s="41">
        <f t="shared" si="14"/>
        <v>42.63</v>
      </c>
      <c r="K106" s="40"/>
      <c r="L106" s="43">
        <v>24.84</v>
      </c>
      <c r="M106" s="44">
        <v>1</v>
      </c>
      <c r="N106" s="43">
        <f t="shared" si="15"/>
        <v>24.84</v>
      </c>
    </row>
    <row r="107" spans="1:22" ht="15" customHeight="1" x14ac:dyDescent="0.2">
      <c r="A107" s="54" t="s">
        <v>142</v>
      </c>
      <c r="B107" s="55"/>
      <c r="C107" s="55"/>
      <c r="D107" s="55"/>
      <c r="E107" s="55"/>
      <c r="F107" s="56">
        <f>ROUND((SUM(F95:F106)-F106)*1.21+F106,2)</f>
        <v>685.62</v>
      </c>
      <c r="G107" s="55"/>
      <c r="H107" s="55"/>
      <c r="I107" s="55"/>
      <c r="J107" s="57">
        <f>ROUND((SUM(J95:J106)-J106)*1.21+J106,2)</f>
        <v>1018.63</v>
      </c>
      <c r="K107" s="55"/>
      <c r="L107" s="55"/>
      <c r="M107" s="55"/>
      <c r="N107" s="58">
        <f>ROUND((SUM(N95:N106)-N106)*1.21+N106,2)</f>
        <v>591.11</v>
      </c>
    </row>
    <row r="108" spans="1:22" ht="15" customHeight="1" x14ac:dyDescent="0.2">
      <c r="A108" s="59" t="s">
        <v>143</v>
      </c>
      <c r="B108" s="129">
        <f>(SUM(F95:F103)-357.0888)/SUM(F95:F103)</f>
        <v>0.33436080975282412</v>
      </c>
      <c r="C108" s="129"/>
      <c r="D108" s="129"/>
      <c r="E108" s="129"/>
      <c r="F108" s="129"/>
      <c r="G108" s="60"/>
      <c r="H108" s="130"/>
      <c r="I108" s="130"/>
      <c r="J108" s="130"/>
      <c r="K108" s="60"/>
      <c r="L108" s="131" t="str">
        <f>IF(B108&gt;=0.3,"APROBAR",IF(B108&gt;=0.2,"REVISAR","RECHAZAR"))</f>
        <v>APROBAR</v>
      </c>
      <c r="M108" s="131"/>
      <c r="N108" s="131"/>
    </row>
    <row r="110" spans="1:22" ht="15" customHeight="1" x14ac:dyDescent="0.2">
      <c r="A110" s="7" t="s">
        <v>192</v>
      </c>
      <c r="B110" s="7"/>
      <c r="C110" s="7"/>
      <c r="D110" s="7"/>
      <c r="E110" s="7"/>
      <c r="F110" s="7"/>
      <c r="G110" s="7"/>
      <c r="H110" s="7"/>
      <c r="I110" s="6" t="s">
        <v>193</v>
      </c>
      <c r="J110" s="6"/>
      <c r="K110" s="6"/>
      <c r="L110" s="6"/>
      <c r="M110" s="6"/>
      <c r="N110" s="6"/>
      <c r="R110" s="5" t="s">
        <v>110</v>
      </c>
      <c r="S110" s="5"/>
      <c r="T110" s="5"/>
      <c r="U110" s="5"/>
      <c r="V110" s="5"/>
    </row>
    <row r="111" spans="1:22" ht="15" customHeight="1" x14ac:dyDescent="0.2">
      <c r="A111" s="32" t="s">
        <v>111</v>
      </c>
      <c r="B111" s="4" t="s">
        <v>112</v>
      </c>
      <c r="C111" s="4"/>
      <c r="D111" s="4"/>
      <c r="E111" s="4"/>
      <c r="F111" s="4"/>
      <c r="G111" s="33"/>
      <c r="H111" s="3" t="s">
        <v>194</v>
      </c>
      <c r="I111" s="3"/>
      <c r="J111" s="3"/>
      <c r="K111" s="33"/>
      <c r="L111" s="2" t="s">
        <v>195</v>
      </c>
      <c r="M111" s="2"/>
      <c r="N111" s="2"/>
      <c r="R111" s="1" t="s">
        <v>196</v>
      </c>
      <c r="S111" s="1"/>
      <c r="T111" s="1"/>
      <c r="U111" s="1"/>
      <c r="V111" s="1"/>
    </row>
    <row r="112" spans="1:22" ht="15" customHeight="1" x14ac:dyDescent="0.2">
      <c r="A112" s="33"/>
      <c r="B112" s="34" t="s">
        <v>116</v>
      </c>
      <c r="C112" s="34" t="s">
        <v>117</v>
      </c>
      <c r="D112" s="34" t="s">
        <v>118</v>
      </c>
      <c r="E112" s="34" t="s">
        <v>119</v>
      </c>
      <c r="F112" s="34" t="s">
        <v>120</v>
      </c>
      <c r="G112" s="33"/>
      <c r="H112" s="35" t="s">
        <v>116</v>
      </c>
      <c r="I112" s="35" t="s">
        <v>119</v>
      </c>
      <c r="J112" s="35" t="s">
        <v>120</v>
      </c>
      <c r="K112" s="33"/>
      <c r="L112" s="36" t="s">
        <v>116</v>
      </c>
      <c r="M112" s="36" t="s">
        <v>119</v>
      </c>
      <c r="N112" s="36" t="s">
        <v>120</v>
      </c>
      <c r="R112" s="124" t="s">
        <v>197</v>
      </c>
      <c r="S112" s="124"/>
      <c r="T112" s="124"/>
      <c r="U112" s="124"/>
      <c r="V112" s="124"/>
    </row>
    <row r="113" spans="1:22" ht="15" customHeight="1" x14ac:dyDescent="0.2">
      <c r="A113" s="27" t="s">
        <v>122</v>
      </c>
      <c r="B113" s="37">
        <v>17.32</v>
      </c>
      <c r="C113" s="38">
        <v>30</v>
      </c>
      <c r="D113" s="39">
        <v>1.7378400000000001</v>
      </c>
      <c r="E113" s="39">
        <v>2.5541999999999998</v>
      </c>
      <c r="F113" s="37">
        <f t="shared" ref="F113:F124" si="16">ROUND(B113*E113,2)</f>
        <v>44.24</v>
      </c>
      <c r="G113" s="40"/>
      <c r="H113" s="41">
        <v>17.32</v>
      </c>
      <c r="I113" s="42">
        <v>2.5541999999999998</v>
      </c>
      <c r="J113" s="41">
        <f t="shared" ref="J113:J124" si="17">ROUND(H113*I113,2)</f>
        <v>44.24</v>
      </c>
      <c r="K113" s="40"/>
      <c r="L113" s="43">
        <v>17.32</v>
      </c>
      <c r="M113" s="44">
        <v>2.5541999999999998</v>
      </c>
      <c r="N113" s="43">
        <f t="shared" ref="N113:N124" si="18">ROUND(L113*M113,2)</f>
        <v>44.24</v>
      </c>
      <c r="R113" s="125" t="s">
        <v>198</v>
      </c>
      <c r="S113" s="125"/>
      <c r="T113" s="125"/>
      <c r="U113" s="125"/>
      <c r="V113" s="125"/>
    </row>
    <row r="114" spans="1:22" ht="15" customHeight="1" x14ac:dyDescent="0.2">
      <c r="A114" s="27" t="s">
        <v>124</v>
      </c>
      <c r="B114" s="37">
        <v>17.32</v>
      </c>
      <c r="C114" s="38">
        <v>30</v>
      </c>
      <c r="D114" s="39">
        <v>0.93569999999999998</v>
      </c>
      <c r="E114" s="39">
        <v>1.3773</v>
      </c>
      <c r="F114" s="37">
        <f t="shared" si="16"/>
        <v>23.85</v>
      </c>
      <c r="G114" s="40"/>
      <c r="H114" s="41">
        <v>17.32</v>
      </c>
      <c r="I114" s="42">
        <v>1.3773</v>
      </c>
      <c r="J114" s="41">
        <f t="shared" si="17"/>
        <v>23.85</v>
      </c>
      <c r="K114" s="40"/>
      <c r="L114" s="43">
        <v>17.32</v>
      </c>
      <c r="M114" s="44">
        <v>1.3773</v>
      </c>
      <c r="N114" s="43">
        <f t="shared" si="18"/>
        <v>23.85</v>
      </c>
      <c r="R114" s="126" t="s">
        <v>199</v>
      </c>
      <c r="S114" s="126"/>
      <c r="T114" s="126"/>
      <c r="U114" s="126"/>
      <c r="V114" s="126"/>
    </row>
    <row r="115" spans="1:22" ht="15" customHeight="1" x14ac:dyDescent="0.2">
      <c r="A115" s="27" t="s">
        <v>126</v>
      </c>
      <c r="B115" s="37">
        <v>17.32</v>
      </c>
      <c r="C115" s="38">
        <v>30</v>
      </c>
      <c r="D115" s="39">
        <v>0.43136999999999998</v>
      </c>
      <c r="E115" s="39">
        <v>0.62860000000000005</v>
      </c>
      <c r="F115" s="37">
        <f t="shared" si="16"/>
        <v>10.89</v>
      </c>
      <c r="G115" s="40"/>
      <c r="H115" s="41">
        <v>17.32</v>
      </c>
      <c r="I115" s="42">
        <v>0.62860000000000005</v>
      </c>
      <c r="J115" s="41">
        <f t="shared" si="17"/>
        <v>10.89</v>
      </c>
      <c r="K115" s="40"/>
      <c r="L115" s="43">
        <v>17.32</v>
      </c>
      <c r="M115" s="44">
        <v>0.62860000000000005</v>
      </c>
      <c r="N115" s="43">
        <f t="shared" si="18"/>
        <v>10.89</v>
      </c>
      <c r="R115" s="126" t="s">
        <v>200</v>
      </c>
      <c r="S115" s="126"/>
      <c r="T115" s="126"/>
      <c r="U115" s="126"/>
      <c r="V115" s="126"/>
    </row>
    <row r="116" spans="1:22" ht="15" customHeight="1" x14ac:dyDescent="0.2">
      <c r="A116" s="27" t="s">
        <v>128</v>
      </c>
      <c r="B116" s="37">
        <v>17.32</v>
      </c>
      <c r="C116" s="38">
        <v>30</v>
      </c>
      <c r="D116" s="39">
        <v>0.38244</v>
      </c>
      <c r="E116" s="39">
        <v>0.55610000000000004</v>
      </c>
      <c r="F116" s="37">
        <f t="shared" si="16"/>
        <v>9.6300000000000008</v>
      </c>
      <c r="G116" s="40"/>
      <c r="H116" s="41">
        <v>17.32</v>
      </c>
      <c r="I116" s="42">
        <v>0.55610000000000004</v>
      </c>
      <c r="J116" s="41">
        <f t="shared" si="17"/>
        <v>9.6300000000000008</v>
      </c>
      <c r="K116" s="40"/>
      <c r="L116" s="43">
        <v>17.32</v>
      </c>
      <c r="M116" s="44">
        <v>0.55610000000000004</v>
      </c>
      <c r="N116" s="43">
        <f t="shared" si="18"/>
        <v>9.6300000000000008</v>
      </c>
      <c r="R116" s="132" t="s">
        <v>162</v>
      </c>
      <c r="S116" s="132"/>
      <c r="T116" s="132"/>
      <c r="U116" s="132"/>
      <c r="V116" s="132"/>
    </row>
    <row r="117" spans="1:22" ht="15" customHeight="1" x14ac:dyDescent="0.2">
      <c r="A117" s="27" t="s">
        <v>130</v>
      </c>
      <c r="B117" s="37">
        <v>17.32</v>
      </c>
      <c r="C117" s="38">
        <v>30</v>
      </c>
      <c r="D117" s="39">
        <v>0.26963999999999999</v>
      </c>
      <c r="E117" s="39">
        <v>0.38679999999999998</v>
      </c>
      <c r="F117" s="37">
        <f t="shared" si="16"/>
        <v>6.7</v>
      </c>
      <c r="G117" s="40"/>
      <c r="H117" s="41">
        <v>17.32</v>
      </c>
      <c r="I117" s="42">
        <v>0.38679999999999998</v>
      </c>
      <c r="J117" s="41">
        <f t="shared" si="17"/>
        <v>6.7</v>
      </c>
      <c r="K117" s="40"/>
      <c r="L117" s="43">
        <v>17.32</v>
      </c>
      <c r="M117" s="44">
        <v>0.38679999999999998</v>
      </c>
      <c r="N117" s="43">
        <f t="shared" si="18"/>
        <v>6.7</v>
      </c>
      <c r="R117" s="128" t="s">
        <v>131</v>
      </c>
      <c r="S117" s="128"/>
      <c r="T117" s="128"/>
      <c r="U117" s="128"/>
      <c r="V117" s="128"/>
    </row>
    <row r="118" spans="1:22" ht="15" customHeight="1" x14ac:dyDescent="0.2">
      <c r="A118" s="27" t="s">
        <v>132</v>
      </c>
      <c r="B118" s="37">
        <v>17.32</v>
      </c>
      <c r="C118" s="38">
        <v>30</v>
      </c>
      <c r="D118" s="39">
        <v>0.18156</v>
      </c>
      <c r="E118" s="39">
        <v>0.26529999999999998</v>
      </c>
      <c r="F118" s="37">
        <f t="shared" si="16"/>
        <v>4.59</v>
      </c>
      <c r="G118" s="40"/>
      <c r="H118" s="41">
        <v>17.32</v>
      </c>
      <c r="I118" s="42">
        <v>0.26529999999999998</v>
      </c>
      <c r="J118" s="41">
        <f t="shared" si="17"/>
        <v>4.59</v>
      </c>
      <c r="K118" s="40"/>
      <c r="L118" s="43">
        <v>17.32</v>
      </c>
      <c r="M118" s="44">
        <v>0.26529999999999998</v>
      </c>
      <c r="N118" s="43">
        <f t="shared" si="18"/>
        <v>4.59</v>
      </c>
    </row>
    <row r="119" spans="1:22" ht="15" customHeight="1" x14ac:dyDescent="0.2">
      <c r="A119" s="45" t="s">
        <v>133</v>
      </c>
      <c r="B119" s="46">
        <f>IF($P$119="",345.67,ROUND(345.67*((184.7297/(1-$P$119))-99.9)/174.43,2))</f>
        <v>345.67</v>
      </c>
      <c r="C119" s="38"/>
      <c r="D119" s="47">
        <v>0.121236</v>
      </c>
      <c r="E119" s="39">
        <v>0.17</v>
      </c>
      <c r="F119" s="37">
        <f t="shared" si="16"/>
        <v>58.76</v>
      </c>
      <c r="G119" s="40"/>
      <c r="H119" s="48">
        <v>245.96</v>
      </c>
      <c r="I119" s="42">
        <v>0.17499999999999999</v>
      </c>
      <c r="J119" s="41">
        <f t="shared" si="17"/>
        <v>43.04</v>
      </c>
      <c r="K119" s="40"/>
      <c r="L119" s="49">
        <v>240</v>
      </c>
      <c r="M119" s="44">
        <v>0.17499999999999999</v>
      </c>
      <c r="N119" s="43">
        <f t="shared" si="18"/>
        <v>42</v>
      </c>
      <c r="O119" s="50" t="s">
        <v>134</v>
      </c>
      <c r="P119" s="51"/>
    </row>
    <row r="120" spans="1:22" ht="15" customHeight="1" x14ac:dyDescent="0.2">
      <c r="A120" s="45" t="s">
        <v>135</v>
      </c>
      <c r="B120" s="46">
        <f>IF($P$119="",252.842,ROUND(252.842*((184.7297/(1-$P$119))-99.9)/174.43,2))</f>
        <v>252.84200000000001</v>
      </c>
      <c r="C120" s="38"/>
      <c r="D120" s="47">
        <v>0.114444</v>
      </c>
      <c r="E120" s="39">
        <v>0.17</v>
      </c>
      <c r="F120" s="37">
        <f t="shared" si="16"/>
        <v>42.98</v>
      </c>
      <c r="G120" s="40"/>
      <c r="H120" s="48">
        <v>461.61700000000002</v>
      </c>
      <c r="I120" s="42">
        <v>0.17499999999999999</v>
      </c>
      <c r="J120" s="41">
        <f t="shared" si="17"/>
        <v>80.78</v>
      </c>
      <c r="K120" s="40"/>
      <c r="L120" s="49">
        <v>152.84200000000001</v>
      </c>
      <c r="M120" s="44">
        <v>0.17499999999999999</v>
      </c>
      <c r="N120" s="43">
        <f t="shared" si="18"/>
        <v>26.75</v>
      </c>
      <c r="O120" s="52" t="s">
        <v>136</v>
      </c>
    </row>
    <row r="121" spans="1:22" ht="15" customHeight="1" x14ac:dyDescent="0.2">
      <c r="A121" s="45" t="s">
        <v>137</v>
      </c>
      <c r="B121" s="46">
        <f>IF($P$119="",427.591,ROUND(427.591*((184.7297/(1-$P$119))-99.9)/174.43,2))</f>
        <v>427.59100000000001</v>
      </c>
      <c r="C121" s="38"/>
      <c r="D121" s="47">
        <v>0.106808</v>
      </c>
      <c r="E121" s="39">
        <v>0.17</v>
      </c>
      <c r="F121" s="37">
        <f t="shared" si="16"/>
        <v>72.69</v>
      </c>
      <c r="G121" s="40"/>
      <c r="H121" s="48">
        <v>618.221</v>
      </c>
      <c r="I121" s="42">
        <v>0.17499999999999999</v>
      </c>
      <c r="J121" s="41">
        <f t="shared" si="17"/>
        <v>108.19</v>
      </c>
      <c r="K121" s="40"/>
      <c r="L121" s="49">
        <v>327.59100000000001</v>
      </c>
      <c r="M121" s="44">
        <v>0.17499999999999999</v>
      </c>
      <c r="N121" s="43">
        <f t="shared" si="18"/>
        <v>57.33</v>
      </c>
      <c r="O121" s="52" t="s">
        <v>138</v>
      </c>
    </row>
    <row r="122" spans="1:22" ht="15" customHeight="1" x14ac:dyDescent="0.2">
      <c r="A122" s="27" t="s">
        <v>139</v>
      </c>
      <c r="B122" s="37">
        <v>1</v>
      </c>
      <c r="C122" s="53">
        <v>30</v>
      </c>
      <c r="D122" s="39">
        <v>6</v>
      </c>
      <c r="E122" s="39">
        <v>6</v>
      </c>
      <c r="F122" s="37">
        <f t="shared" si="16"/>
        <v>6</v>
      </c>
      <c r="G122" s="40"/>
      <c r="H122" s="41">
        <v>1</v>
      </c>
      <c r="I122" s="42">
        <v>6</v>
      </c>
      <c r="J122" s="41">
        <f t="shared" si="17"/>
        <v>6</v>
      </c>
      <c r="K122" s="40"/>
      <c r="L122" s="43">
        <v>1</v>
      </c>
      <c r="M122" s="44">
        <v>6</v>
      </c>
      <c r="N122" s="43">
        <f t="shared" si="18"/>
        <v>6</v>
      </c>
    </row>
    <row r="123" spans="1:22" ht="15" customHeight="1" x14ac:dyDescent="0.2">
      <c r="A123" s="27" t="s">
        <v>140</v>
      </c>
      <c r="B123" s="37">
        <v>30</v>
      </c>
      <c r="C123" s="53">
        <v>30</v>
      </c>
      <c r="D123" s="39">
        <v>1.274E-2</v>
      </c>
      <c r="E123" s="39">
        <v>1.274E-2</v>
      </c>
      <c r="F123" s="37">
        <f t="shared" si="16"/>
        <v>0.38</v>
      </c>
      <c r="G123" s="40"/>
      <c r="H123" s="41">
        <v>30</v>
      </c>
      <c r="I123" s="42">
        <v>1.274E-2</v>
      </c>
      <c r="J123" s="41">
        <f t="shared" si="17"/>
        <v>0.38</v>
      </c>
      <c r="K123" s="40"/>
      <c r="L123" s="43">
        <v>30</v>
      </c>
      <c r="M123" s="44">
        <v>6.2899999999999996E-3</v>
      </c>
      <c r="N123" s="43">
        <f t="shared" si="18"/>
        <v>0.19</v>
      </c>
    </row>
    <row r="124" spans="1:22" ht="15" customHeight="1" x14ac:dyDescent="0.2">
      <c r="A124" s="27" t="s">
        <v>141</v>
      </c>
      <c r="B124" s="37">
        <v>14.83</v>
      </c>
      <c r="C124" s="38"/>
      <c r="D124" s="39">
        <v>1</v>
      </c>
      <c r="E124" s="39">
        <v>1</v>
      </c>
      <c r="F124" s="37">
        <f t="shared" si="16"/>
        <v>14.83</v>
      </c>
      <c r="G124" s="40"/>
      <c r="H124" s="41">
        <v>17.91</v>
      </c>
      <c r="I124" s="42">
        <v>1</v>
      </c>
      <c r="J124" s="41">
        <f t="shared" si="17"/>
        <v>17.91</v>
      </c>
      <c r="K124" s="40"/>
      <c r="L124" s="43">
        <v>9.41</v>
      </c>
      <c r="M124" s="44">
        <v>1</v>
      </c>
      <c r="N124" s="43">
        <f t="shared" si="18"/>
        <v>9.41</v>
      </c>
    </row>
    <row r="125" spans="1:22" ht="15" customHeight="1" x14ac:dyDescent="0.2">
      <c r="A125" s="54" t="s">
        <v>142</v>
      </c>
      <c r="B125" s="55"/>
      <c r="C125" s="55"/>
      <c r="D125" s="55"/>
      <c r="E125" s="55"/>
      <c r="F125" s="56">
        <f>ROUND((SUM(F113:F124)-F124)*1.21+F124,2)</f>
        <v>354.49</v>
      </c>
      <c r="G125" s="55"/>
      <c r="H125" s="55"/>
      <c r="I125" s="55"/>
      <c r="J125" s="57">
        <f>ROUND((SUM(J113:J124)-J124)*1.21+J124,2)</f>
        <v>427.24</v>
      </c>
      <c r="K125" s="55"/>
      <c r="L125" s="55"/>
      <c r="M125" s="55"/>
      <c r="N125" s="58">
        <f>ROUND((SUM(N113:N124)-N124)*1.21+N124,2)</f>
        <v>290.33999999999997</v>
      </c>
    </row>
    <row r="126" spans="1:22" ht="15" customHeight="1" x14ac:dyDescent="0.2">
      <c r="A126" s="59" t="s">
        <v>143</v>
      </c>
      <c r="B126" s="129">
        <f>(SUM(F113:F121)-184.7297)/SUM(F113:F121)</f>
        <v>0.3266150256989756</v>
      </c>
      <c r="C126" s="129"/>
      <c r="D126" s="129"/>
      <c r="E126" s="129"/>
      <c r="F126" s="129"/>
      <c r="G126" s="60"/>
      <c r="H126" s="130"/>
      <c r="I126" s="130"/>
      <c r="J126" s="130"/>
      <c r="K126" s="60"/>
      <c r="L126" s="131" t="str">
        <f>IF(B126&gt;=0.3,"APROBAR",IF(B126&gt;=0.2,"REVISAR","RECHAZAR"))</f>
        <v>APROBAR</v>
      </c>
      <c r="M126" s="131"/>
      <c r="N126" s="131"/>
    </row>
    <row r="128" spans="1:22" ht="15" customHeight="1" x14ac:dyDescent="0.2">
      <c r="A128" s="7" t="s">
        <v>201</v>
      </c>
      <c r="B128" s="7"/>
      <c r="C128" s="7"/>
      <c r="D128" s="7"/>
      <c r="E128" s="7"/>
      <c r="F128" s="7"/>
      <c r="G128" s="7"/>
      <c r="H128" s="7"/>
      <c r="I128" s="6" t="s">
        <v>202</v>
      </c>
      <c r="J128" s="6"/>
      <c r="K128" s="6"/>
      <c r="L128" s="6"/>
      <c r="M128" s="6"/>
      <c r="N128" s="6"/>
      <c r="R128" s="5" t="s">
        <v>110</v>
      </c>
      <c r="S128" s="5"/>
      <c r="T128" s="5"/>
      <c r="U128" s="5"/>
      <c r="V128" s="5"/>
    </row>
    <row r="129" spans="1:22" ht="15" customHeight="1" x14ac:dyDescent="0.2">
      <c r="A129" s="32" t="s">
        <v>111</v>
      </c>
      <c r="B129" s="4" t="s">
        <v>112</v>
      </c>
      <c r="C129" s="4"/>
      <c r="D129" s="4"/>
      <c r="E129" s="4"/>
      <c r="F129" s="4"/>
      <c r="G129" s="33"/>
      <c r="H129" s="3" t="s">
        <v>203</v>
      </c>
      <c r="I129" s="3"/>
      <c r="J129" s="3"/>
      <c r="K129" s="33"/>
      <c r="L129" s="2" t="s">
        <v>204</v>
      </c>
      <c r="M129" s="2"/>
      <c r="N129" s="2"/>
      <c r="R129" s="1" t="s">
        <v>205</v>
      </c>
      <c r="S129" s="1"/>
      <c r="T129" s="1"/>
      <c r="U129" s="1"/>
      <c r="V129" s="1"/>
    </row>
    <row r="130" spans="1:22" ht="15" customHeight="1" x14ac:dyDescent="0.2">
      <c r="A130" s="33"/>
      <c r="B130" s="34" t="s">
        <v>116</v>
      </c>
      <c r="C130" s="34" t="s">
        <v>117</v>
      </c>
      <c r="D130" s="34" t="s">
        <v>118</v>
      </c>
      <c r="E130" s="34" t="s">
        <v>119</v>
      </c>
      <c r="F130" s="34" t="s">
        <v>120</v>
      </c>
      <c r="G130" s="33"/>
      <c r="H130" s="35" t="s">
        <v>116</v>
      </c>
      <c r="I130" s="35" t="s">
        <v>119</v>
      </c>
      <c r="J130" s="35" t="s">
        <v>120</v>
      </c>
      <c r="K130" s="33"/>
      <c r="L130" s="36" t="s">
        <v>116</v>
      </c>
      <c r="M130" s="36" t="s">
        <v>119</v>
      </c>
      <c r="N130" s="36" t="s">
        <v>120</v>
      </c>
      <c r="R130" s="124" t="s">
        <v>206</v>
      </c>
      <c r="S130" s="124"/>
      <c r="T130" s="124"/>
      <c r="U130" s="124"/>
      <c r="V130" s="124"/>
    </row>
    <row r="131" spans="1:22" ht="15" customHeight="1" x14ac:dyDescent="0.2">
      <c r="A131" s="27" t="s">
        <v>122</v>
      </c>
      <c r="B131" s="37">
        <v>30</v>
      </c>
      <c r="C131" s="38">
        <v>30</v>
      </c>
      <c r="D131" s="39">
        <v>1.7378400000000001</v>
      </c>
      <c r="E131" s="39">
        <v>2.3919999999999999</v>
      </c>
      <c r="F131" s="37">
        <f t="shared" ref="F131:F142" si="19">ROUND(B131*E131,2)</f>
        <v>71.760000000000005</v>
      </c>
      <c r="G131" s="40"/>
      <c r="H131" s="41">
        <v>30</v>
      </c>
      <c r="I131" s="42">
        <v>2.3919999999999999</v>
      </c>
      <c r="J131" s="41">
        <f t="shared" ref="J131:J142" si="20">ROUND(H131*I131,2)</f>
        <v>71.760000000000005</v>
      </c>
      <c r="K131" s="40"/>
      <c r="L131" s="43">
        <v>30</v>
      </c>
      <c r="M131" s="44">
        <v>1.9990000000000001</v>
      </c>
      <c r="N131" s="43">
        <f t="shared" ref="N131:N143" si="21">ROUND(L131*M131,2)</f>
        <v>59.97</v>
      </c>
      <c r="R131" s="125" t="s">
        <v>207</v>
      </c>
      <c r="S131" s="125"/>
      <c r="T131" s="125"/>
      <c r="U131" s="125"/>
      <c r="V131" s="125"/>
    </row>
    <row r="132" spans="1:22" ht="15" customHeight="1" x14ac:dyDescent="0.2">
      <c r="A132" s="27" t="s">
        <v>124</v>
      </c>
      <c r="B132" s="37">
        <v>33</v>
      </c>
      <c r="C132" s="38">
        <v>30</v>
      </c>
      <c r="D132" s="39">
        <v>0.93569999999999998</v>
      </c>
      <c r="E132" s="39">
        <v>2.0670000000000002</v>
      </c>
      <c r="F132" s="37">
        <f t="shared" si="19"/>
        <v>68.209999999999994</v>
      </c>
      <c r="G132" s="40"/>
      <c r="H132" s="41">
        <v>33</v>
      </c>
      <c r="I132" s="42">
        <v>2.0670000000000002</v>
      </c>
      <c r="J132" s="41">
        <f t="shared" si="20"/>
        <v>68.209999999999994</v>
      </c>
      <c r="K132" s="40"/>
      <c r="L132" s="43">
        <v>33</v>
      </c>
      <c r="M132" s="44">
        <v>1.8109999999999999</v>
      </c>
      <c r="N132" s="43">
        <f t="shared" si="21"/>
        <v>59.76</v>
      </c>
      <c r="R132" s="126" t="s">
        <v>208</v>
      </c>
      <c r="S132" s="126"/>
      <c r="T132" s="126"/>
      <c r="U132" s="126"/>
      <c r="V132" s="126"/>
    </row>
    <row r="133" spans="1:22" ht="15" customHeight="1" x14ac:dyDescent="0.2">
      <c r="A133" s="27" t="s">
        <v>126</v>
      </c>
      <c r="B133" s="37">
        <v>33</v>
      </c>
      <c r="C133" s="38">
        <v>30</v>
      </c>
      <c r="D133" s="39">
        <v>0.43136999999999998</v>
      </c>
      <c r="E133" s="39">
        <v>1.0760000000000001</v>
      </c>
      <c r="F133" s="37">
        <f t="shared" si="19"/>
        <v>35.51</v>
      </c>
      <c r="G133" s="40"/>
      <c r="H133" s="41">
        <v>33</v>
      </c>
      <c r="I133" s="42">
        <v>1.0760000000000001</v>
      </c>
      <c r="J133" s="41">
        <f t="shared" si="20"/>
        <v>35.51</v>
      </c>
      <c r="K133" s="40"/>
      <c r="L133" s="43">
        <v>33</v>
      </c>
      <c r="M133" s="44">
        <v>0.61609999999999998</v>
      </c>
      <c r="N133" s="43">
        <f t="shared" si="21"/>
        <v>20.329999999999998</v>
      </c>
      <c r="R133" s="126" t="s">
        <v>209</v>
      </c>
      <c r="S133" s="126"/>
      <c r="T133" s="126"/>
      <c r="U133" s="126"/>
      <c r="V133" s="126"/>
    </row>
    <row r="134" spans="1:22" ht="15" customHeight="1" x14ac:dyDescent="0.2">
      <c r="A134" s="27" t="s">
        <v>128</v>
      </c>
      <c r="B134" s="37">
        <v>33</v>
      </c>
      <c r="C134" s="38">
        <v>30</v>
      </c>
      <c r="D134" s="39">
        <v>0.38244</v>
      </c>
      <c r="E134" s="39">
        <v>0.89200000000000002</v>
      </c>
      <c r="F134" s="37">
        <f t="shared" si="19"/>
        <v>29.44</v>
      </c>
      <c r="G134" s="40"/>
      <c r="H134" s="41">
        <v>33</v>
      </c>
      <c r="I134" s="42">
        <v>0.89200000000000002</v>
      </c>
      <c r="J134" s="41">
        <f t="shared" si="20"/>
        <v>29.44</v>
      </c>
      <c r="K134" s="40"/>
      <c r="L134" s="43">
        <v>33</v>
      </c>
      <c r="M134" s="44">
        <v>0.55510000000000004</v>
      </c>
      <c r="N134" s="43">
        <f t="shared" si="21"/>
        <v>18.32</v>
      </c>
      <c r="R134" s="127" t="s">
        <v>129</v>
      </c>
      <c r="S134" s="127"/>
      <c r="T134" s="127"/>
      <c r="U134" s="127"/>
      <c r="V134" s="127"/>
    </row>
    <row r="135" spans="1:22" ht="15" customHeight="1" x14ac:dyDescent="0.2">
      <c r="A135" s="27" t="s">
        <v>130</v>
      </c>
      <c r="B135" s="37">
        <v>33</v>
      </c>
      <c r="C135" s="38">
        <v>30</v>
      </c>
      <c r="D135" s="39">
        <v>0.26963999999999999</v>
      </c>
      <c r="E135" s="39">
        <v>0.20699999999999999</v>
      </c>
      <c r="F135" s="37">
        <f t="shared" si="19"/>
        <v>6.83</v>
      </c>
      <c r="G135" s="40"/>
      <c r="H135" s="41">
        <v>33</v>
      </c>
      <c r="I135" s="42">
        <v>0.20699999999999999</v>
      </c>
      <c r="J135" s="41">
        <f t="shared" si="20"/>
        <v>6.83</v>
      </c>
      <c r="K135" s="40"/>
      <c r="L135" s="43">
        <v>33</v>
      </c>
      <c r="M135" s="44">
        <v>0.59499999999999997</v>
      </c>
      <c r="N135" s="43">
        <f t="shared" si="21"/>
        <v>19.64</v>
      </c>
      <c r="R135" s="128" t="s">
        <v>131</v>
      </c>
      <c r="S135" s="128"/>
      <c r="T135" s="128"/>
      <c r="U135" s="128"/>
      <c r="V135" s="128"/>
    </row>
    <row r="136" spans="1:22" ht="15" customHeight="1" x14ac:dyDescent="0.2">
      <c r="A136" s="27" t="s">
        <v>132</v>
      </c>
      <c r="B136" s="37">
        <v>41</v>
      </c>
      <c r="C136" s="38">
        <v>30</v>
      </c>
      <c r="D136" s="39">
        <v>0.18156</v>
      </c>
      <c r="E136" s="39">
        <v>0.124</v>
      </c>
      <c r="F136" s="37">
        <f t="shared" si="19"/>
        <v>5.08</v>
      </c>
      <c r="G136" s="40"/>
      <c r="H136" s="41">
        <v>41</v>
      </c>
      <c r="I136" s="42">
        <v>0.124</v>
      </c>
      <c r="J136" s="41">
        <f t="shared" si="20"/>
        <v>5.08</v>
      </c>
      <c r="K136" s="40"/>
      <c r="L136" s="43">
        <v>41</v>
      </c>
      <c r="M136" s="44">
        <v>0.45229999999999998</v>
      </c>
      <c r="N136" s="43">
        <f t="shared" si="21"/>
        <v>18.54</v>
      </c>
    </row>
    <row r="137" spans="1:22" ht="15" customHeight="1" x14ac:dyDescent="0.2">
      <c r="A137" s="45" t="s">
        <v>133</v>
      </c>
      <c r="B137" s="46">
        <f>IF($P$137="",3714.25,ROUND(3714.25*((1787.4848/(1-$P$137))-216.83)/1918.5,2))</f>
        <v>3714.25</v>
      </c>
      <c r="C137" s="38"/>
      <c r="D137" s="47">
        <v>0.121236</v>
      </c>
      <c r="E137" s="39">
        <v>0.13</v>
      </c>
      <c r="F137" s="37">
        <f t="shared" si="19"/>
        <v>482.85</v>
      </c>
      <c r="G137" s="40"/>
      <c r="H137" s="48">
        <v>5994.78</v>
      </c>
      <c r="I137" s="42">
        <v>0.13500000000000001</v>
      </c>
      <c r="J137" s="41">
        <f t="shared" si="20"/>
        <v>809.3</v>
      </c>
      <c r="K137" s="40"/>
      <c r="L137" s="49">
        <v>6611.6</v>
      </c>
      <c r="M137" s="44">
        <v>0.17</v>
      </c>
      <c r="N137" s="43">
        <f t="shared" si="21"/>
        <v>1123.97</v>
      </c>
      <c r="O137" s="50" t="s">
        <v>134</v>
      </c>
      <c r="P137" s="51"/>
    </row>
    <row r="138" spans="1:22" ht="15" customHeight="1" x14ac:dyDescent="0.2">
      <c r="A138" s="45" t="s">
        <v>135</v>
      </c>
      <c r="B138" s="46">
        <f>IF($P$137="",4118.82,ROUND(4118.82*((1787.4848/(1-$P$137))-216.83)/1918.5,2))</f>
        <v>4118.82</v>
      </c>
      <c r="C138" s="38"/>
      <c r="D138" s="47">
        <v>0.114444</v>
      </c>
      <c r="E138" s="39">
        <v>0.13</v>
      </c>
      <c r="F138" s="37">
        <f t="shared" si="19"/>
        <v>535.45000000000005</v>
      </c>
      <c r="G138" s="40"/>
      <c r="H138" s="48">
        <v>4872.6400000000003</v>
      </c>
      <c r="I138" s="42">
        <v>0.13500000000000001</v>
      </c>
      <c r="J138" s="41">
        <f t="shared" si="20"/>
        <v>657.81</v>
      </c>
      <c r="K138" s="40"/>
      <c r="L138" s="49">
        <v>3710.36</v>
      </c>
      <c r="M138" s="44">
        <v>0.16</v>
      </c>
      <c r="N138" s="43">
        <f t="shared" si="21"/>
        <v>593.66</v>
      </c>
      <c r="O138" s="52" t="s">
        <v>136</v>
      </c>
    </row>
    <row r="139" spans="1:22" ht="15" customHeight="1" x14ac:dyDescent="0.2">
      <c r="A139" s="45" t="s">
        <v>137</v>
      </c>
      <c r="B139" s="46">
        <f>IF($P$137="",6924.61,ROUND(6924.61*((1787.4848/(1-$P$137))-216.83)/1918.5,2))</f>
        <v>6924.61</v>
      </c>
      <c r="C139" s="38"/>
      <c r="D139" s="47">
        <v>0.106808</v>
      </c>
      <c r="E139" s="39">
        <v>0.13</v>
      </c>
      <c r="F139" s="37">
        <f t="shared" si="19"/>
        <v>900.2</v>
      </c>
      <c r="G139" s="40"/>
      <c r="H139" s="48">
        <v>7125.45</v>
      </c>
      <c r="I139" s="42">
        <v>0.13500000000000001</v>
      </c>
      <c r="J139" s="41">
        <f t="shared" si="20"/>
        <v>961.94</v>
      </c>
      <c r="K139" s="40"/>
      <c r="L139" s="49">
        <v>8406.3700000000008</v>
      </c>
      <c r="M139" s="44">
        <v>0.13</v>
      </c>
      <c r="N139" s="43">
        <f t="shared" si="21"/>
        <v>1092.83</v>
      </c>
      <c r="O139" s="52" t="s">
        <v>138</v>
      </c>
    </row>
    <row r="140" spans="1:22" ht="15" customHeight="1" x14ac:dyDescent="0.2">
      <c r="A140" s="27" t="s">
        <v>139</v>
      </c>
      <c r="B140" s="37">
        <v>1</v>
      </c>
      <c r="C140" s="53">
        <v>30</v>
      </c>
      <c r="D140" s="39">
        <v>17.614999999999998</v>
      </c>
      <c r="E140" s="39">
        <v>17.614999999999998</v>
      </c>
      <c r="F140" s="37">
        <f t="shared" si="19"/>
        <v>17.62</v>
      </c>
      <c r="G140" s="40"/>
      <c r="H140" s="41">
        <v>1</v>
      </c>
      <c r="I140" s="42">
        <v>17.614999999999998</v>
      </c>
      <c r="J140" s="41">
        <f t="shared" si="20"/>
        <v>17.62</v>
      </c>
      <c r="K140" s="40"/>
      <c r="L140" s="43">
        <v>1</v>
      </c>
      <c r="M140" s="44">
        <v>17.164999999999999</v>
      </c>
      <c r="N140" s="43">
        <f t="shared" si="21"/>
        <v>17.170000000000002</v>
      </c>
    </row>
    <row r="141" spans="1:22" ht="15" customHeight="1" x14ac:dyDescent="0.2">
      <c r="A141" s="27" t="s">
        <v>140</v>
      </c>
      <c r="B141" s="37">
        <v>30</v>
      </c>
      <c r="C141" s="53">
        <v>30</v>
      </c>
      <c r="D141" s="39">
        <v>1.274E-2</v>
      </c>
      <c r="E141" s="39">
        <v>1.274E-2</v>
      </c>
      <c r="F141" s="37">
        <f t="shared" si="19"/>
        <v>0.38</v>
      </c>
      <c r="G141" s="40"/>
      <c r="H141" s="41">
        <v>28</v>
      </c>
      <c r="I141" s="42">
        <v>1.274E-2</v>
      </c>
      <c r="J141" s="41">
        <f t="shared" si="20"/>
        <v>0.36</v>
      </c>
      <c r="K141" s="40"/>
      <c r="L141" s="43">
        <v>30</v>
      </c>
      <c r="M141" s="44">
        <v>6.2899999999999996E-3</v>
      </c>
      <c r="N141" s="43">
        <f t="shared" si="21"/>
        <v>0.19</v>
      </c>
    </row>
    <row r="142" spans="1:22" ht="15" customHeight="1" x14ac:dyDescent="0.2">
      <c r="A142" s="27" t="s">
        <v>141</v>
      </c>
      <c r="B142" s="37">
        <v>115.52</v>
      </c>
      <c r="C142" s="38"/>
      <c r="D142" s="39">
        <v>1</v>
      </c>
      <c r="E142" s="39">
        <v>1</v>
      </c>
      <c r="F142" s="37">
        <f t="shared" si="19"/>
        <v>115.52</v>
      </c>
      <c r="G142" s="40"/>
      <c r="H142" s="41">
        <v>142.52000000000001</v>
      </c>
      <c r="I142" s="42">
        <v>1</v>
      </c>
      <c r="J142" s="41">
        <f t="shared" si="20"/>
        <v>142.52000000000001</v>
      </c>
      <c r="K142" s="40"/>
      <c r="L142" s="43">
        <v>162.9</v>
      </c>
      <c r="M142" s="44">
        <v>1</v>
      </c>
      <c r="N142" s="43">
        <f t="shared" si="21"/>
        <v>162.9</v>
      </c>
    </row>
    <row r="143" spans="1:22" ht="15" customHeight="1" x14ac:dyDescent="0.2">
      <c r="A143" s="45" t="s">
        <v>172</v>
      </c>
      <c r="B143" s="38"/>
      <c r="C143" s="38"/>
      <c r="D143" s="38"/>
      <c r="E143" s="62"/>
      <c r="F143" s="38"/>
      <c r="G143" s="40"/>
      <c r="H143" s="63"/>
      <c r="I143" s="63"/>
      <c r="J143" s="63"/>
      <c r="K143" s="40"/>
      <c r="L143" s="43">
        <v>-27.356000000000002</v>
      </c>
      <c r="M143" s="44">
        <v>0.15</v>
      </c>
      <c r="N143" s="43">
        <f t="shared" si="21"/>
        <v>-4.0999999999999996</v>
      </c>
    </row>
    <row r="144" spans="1:22" ht="15" customHeight="1" x14ac:dyDescent="0.2">
      <c r="A144" s="54" t="s">
        <v>142</v>
      </c>
      <c r="B144" s="55"/>
      <c r="C144" s="55"/>
      <c r="D144" s="55"/>
      <c r="E144" s="55"/>
      <c r="F144" s="56">
        <f>ROUND((SUM(F131:F143)-F142)*1.21+F142,2)</f>
        <v>2721.05</v>
      </c>
      <c r="G144" s="55"/>
      <c r="H144" s="55"/>
      <c r="I144" s="55"/>
      <c r="J144" s="57">
        <f>ROUND((SUM(J131:J143)-J142)*1.21+J142,2)</f>
        <v>3365.79</v>
      </c>
      <c r="K144" s="55"/>
      <c r="L144" s="55"/>
      <c r="M144" s="55"/>
      <c r="N144" s="58">
        <f>ROUND((SUM(N131:N143)-N142)*1.21+N142,2)</f>
        <v>3817.44</v>
      </c>
    </row>
    <row r="145" spans="1:22" ht="15" customHeight="1" x14ac:dyDescent="0.2">
      <c r="A145" s="59" t="s">
        <v>143</v>
      </c>
      <c r="B145" s="129">
        <f>(SUM(F131:F139)-1787.4848)/SUM(F131:F139)</f>
        <v>0.16289997330623368</v>
      </c>
      <c r="C145" s="129"/>
      <c r="D145" s="129"/>
      <c r="E145" s="129"/>
      <c r="F145" s="129"/>
      <c r="G145" s="60"/>
      <c r="H145" s="130"/>
      <c r="I145" s="130"/>
      <c r="J145" s="130"/>
      <c r="K145" s="60"/>
      <c r="L145" s="131" t="str">
        <f>IF(B145&gt;=0.3,"APROBAR",IF(B145&gt;=0.2,"REVISAR","RECHAZAR"))</f>
        <v>RECHAZAR</v>
      </c>
      <c r="M145" s="131"/>
      <c r="N145" s="131"/>
    </row>
    <row r="147" spans="1:22" ht="15" customHeight="1" x14ac:dyDescent="0.2">
      <c r="A147" s="7" t="s">
        <v>210</v>
      </c>
      <c r="B147" s="7"/>
      <c r="C147" s="7"/>
      <c r="D147" s="7"/>
      <c r="E147" s="7"/>
      <c r="F147" s="7"/>
      <c r="G147" s="7"/>
      <c r="H147" s="7"/>
      <c r="I147" s="6" t="s">
        <v>211</v>
      </c>
      <c r="J147" s="6"/>
      <c r="K147" s="6"/>
      <c r="L147" s="6"/>
      <c r="M147" s="6"/>
      <c r="N147" s="6"/>
      <c r="R147" s="5" t="s">
        <v>110</v>
      </c>
      <c r="S147" s="5"/>
      <c r="T147" s="5"/>
      <c r="U147" s="5"/>
      <c r="V147" s="5"/>
    </row>
    <row r="148" spans="1:22" ht="15" customHeight="1" x14ac:dyDescent="0.2">
      <c r="A148" s="32" t="s">
        <v>111</v>
      </c>
      <c r="B148" s="4" t="s">
        <v>112</v>
      </c>
      <c r="C148" s="4"/>
      <c r="D148" s="4"/>
      <c r="E148" s="4"/>
      <c r="F148" s="4"/>
      <c r="G148" s="33"/>
      <c r="H148" s="3" t="s">
        <v>212</v>
      </c>
      <c r="I148" s="3"/>
      <c r="J148" s="3"/>
      <c r="K148" s="33"/>
      <c r="L148" s="2" t="s">
        <v>213</v>
      </c>
      <c r="M148" s="2"/>
      <c r="N148" s="2"/>
      <c r="R148" s="1" t="s">
        <v>214</v>
      </c>
      <c r="S148" s="1"/>
      <c r="T148" s="1"/>
      <c r="U148" s="1"/>
      <c r="V148" s="1"/>
    </row>
    <row r="149" spans="1:22" ht="15" customHeight="1" x14ac:dyDescent="0.2">
      <c r="A149" s="33"/>
      <c r="B149" s="34" t="s">
        <v>116</v>
      </c>
      <c r="C149" s="34" t="s">
        <v>117</v>
      </c>
      <c r="D149" s="34" t="s">
        <v>118</v>
      </c>
      <c r="E149" s="34" t="s">
        <v>119</v>
      </c>
      <c r="F149" s="34" t="s">
        <v>120</v>
      </c>
      <c r="G149" s="33"/>
      <c r="H149" s="35" t="s">
        <v>116</v>
      </c>
      <c r="I149" s="35" t="s">
        <v>119</v>
      </c>
      <c r="J149" s="35" t="s">
        <v>120</v>
      </c>
      <c r="K149" s="33"/>
      <c r="L149" s="36" t="s">
        <v>116</v>
      </c>
      <c r="M149" s="36" t="s">
        <v>119</v>
      </c>
      <c r="N149" s="36" t="s">
        <v>120</v>
      </c>
      <c r="R149" s="124" t="s">
        <v>215</v>
      </c>
      <c r="S149" s="124"/>
      <c r="T149" s="124"/>
      <c r="U149" s="124"/>
      <c r="V149" s="124"/>
    </row>
    <row r="150" spans="1:22" ht="15" customHeight="1" x14ac:dyDescent="0.2">
      <c r="A150" s="27" t="s">
        <v>122</v>
      </c>
      <c r="B150" s="37">
        <v>2</v>
      </c>
      <c r="C150" s="38">
        <v>30</v>
      </c>
      <c r="D150" s="39">
        <v>1.7378400000000001</v>
      </c>
      <c r="E150" s="39">
        <v>2.5541999999999998</v>
      </c>
      <c r="F150" s="37">
        <f t="shared" ref="F150:F161" si="22">ROUND(B150*E150,2)</f>
        <v>5.1100000000000003</v>
      </c>
      <c r="G150" s="40"/>
      <c r="H150" s="41">
        <v>2</v>
      </c>
      <c r="I150" s="42">
        <v>2.5541999999999998</v>
      </c>
      <c r="J150" s="41">
        <f t="shared" ref="J150:J161" si="23">ROUND(H150*I150,2)</f>
        <v>5.1100000000000003</v>
      </c>
      <c r="K150" s="40"/>
      <c r="L150" s="43">
        <v>2</v>
      </c>
      <c r="M150" s="44">
        <v>2.5541999999999998</v>
      </c>
      <c r="N150" s="43">
        <f t="shared" ref="N150:N161" si="24">ROUND(L150*M150,2)</f>
        <v>5.1100000000000003</v>
      </c>
      <c r="R150" s="125" t="s">
        <v>216</v>
      </c>
      <c r="S150" s="125"/>
      <c r="T150" s="125"/>
      <c r="U150" s="125"/>
      <c r="V150" s="125"/>
    </row>
    <row r="151" spans="1:22" ht="15" customHeight="1" x14ac:dyDescent="0.2">
      <c r="A151" s="27" t="s">
        <v>124</v>
      </c>
      <c r="B151" s="37">
        <v>2</v>
      </c>
      <c r="C151" s="38">
        <v>30</v>
      </c>
      <c r="D151" s="39">
        <v>0.93569999999999998</v>
      </c>
      <c r="E151" s="39">
        <v>1.3773</v>
      </c>
      <c r="F151" s="37">
        <f t="shared" si="22"/>
        <v>2.75</v>
      </c>
      <c r="G151" s="40"/>
      <c r="H151" s="41">
        <v>2</v>
      </c>
      <c r="I151" s="42">
        <v>1.3773</v>
      </c>
      <c r="J151" s="41">
        <f t="shared" si="23"/>
        <v>2.75</v>
      </c>
      <c r="K151" s="40"/>
      <c r="L151" s="43">
        <v>2</v>
      </c>
      <c r="M151" s="44">
        <v>1.3773</v>
      </c>
      <c r="N151" s="43">
        <f t="shared" si="24"/>
        <v>2.75</v>
      </c>
      <c r="R151" s="126" t="s">
        <v>217</v>
      </c>
      <c r="S151" s="126"/>
      <c r="T151" s="126"/>
      <c r="U151" s="126"/>
      <c r="V151" s="126"/>
    </row>
    <row r="152" spans="1:22" ht="15" customHeight="1" x14ac:dyDescent="0.2">
      <c r="A152" s="27" t="s">
        <v>126</v>
      </c>
      <c r="B152" s="37">
        <v>2</v>
      </c>
      <c r="C152" s="38">
        <v>30</v>
      </c>
      <c r="D152" s="39">
        <v>0.43136999999999998</v>
      </c>
      <c r="E152" s="39">
        <v>0.62860000000000005</v>
      </c>
      <c r="F152" s="37">
        <f t="shared" si="22"/>
        <v>1.26</v>
      </c>
      <c r="G152" s="40"/>
      <c r="H152" s="41">
        <v>2</v>
      </c>
      <c r="I152" s="42">
        <v>0.62860000000000005</v>
      </c>
      <c r="J152" s="41">
        <f t="shared" si="23"/>
        <v>1.26</v>
      </c>
      <c r="K152" s="40"/>
      <c r="L152" s="43">
        <v>2</v>
      </c>
      <c r="M152" s="44">
        <v>0.62860000000000005</v>
      </c>
      <c r="N152" s="43">
        <f t="shared" si="24"/>
        <v>1.26</v>
      </c>
      <c r="R152" s="126" t="s">
        <v>218</v>
      </c>
      <c r="S152" s="126"/>
      <c r="T152" s="126"/>
      <c r="U152" s="126"/>
      <c r="V152" s="126"/>
    </row>
    <row r="153" spans="1:22" ht="15" customHeight="1" x14ac:dyDescent="0.2">
      <c r="A153" s="27" t="s">
        <v>128</v>
      </c>
      <c r="B153" s="37">
        <v>2</v>
      </c>
      <c r="C153" s="38">
        <v>30</v>
      </c>
      <c r="D153" s="39">
        <v>0.38244</v>
      </c>
      <c r="E153" s="39">
        <v>0.55610000000000004</v>
      </c>
      <c r="F153" s="37">
        <f t="shared" si="22"/>
        <v>1.1100000000000001</v>
      </c>
      <c r="G153" s="40"/>
      <c r="H153" s="41">
        <v>2</v>
      </c>
      <c r="I153" s="42">
        <v>0.55610000000000004</v>
      </c>
      <c r="J153" s="41">
        <f t="shared" si="23"/>
        <v>1.1100000000000001</v>
      </c>
      <c r="K153" s="40"/>
      <c r="L153" s="43">
        <v>2</v>
      </c>
      <c r="M153" s="44">
        <v>0.55610000000000004</v>
      </c>
      <c r="N153" s="43">
        <f t="shared" si="24"/>
        <v>1.1100000000000001</v>
      </c>
      <c r="R153" s="132" t="s">
        <v>162</v>
      </c>
      <c r="S153" s="132"/>
      <c r="T153" s="132"/>
      <c r="U153" s="132"/>
      <c r="V153" s="132"/>
    </row>
    <row r="154" spans="1:22" ht="15" customHeight="1" x14ac:dyDescent="0.2">
      <c r="A154" s="27" t="s">
        <v>130</v>
      </c>
      <c r="B154" s="37">
        <v>2</v>
      </c>
      <c r="C154" s="38">
        <v>30</v>
      </c>
      <c r="D154" s="39">
        <v>0.26963999999999999</v>
      </c>
      <c r="E154" s="39">
        <v>0.38679999999999998</v>
      </c>
      <c r="F154" s="37">
        <f t="shared" si="22"/>
        <v>0.77</v>
      </c>
      <c r="G154" s="40"/>
      <c r="H154" s="41">
        <v>2</v>
      </c>
      <c r="I154" s="42">
        <v>0.38679999999999998</v>
      </c>
      <c r="J154" s="41">
        <f t="shared" si="23"/>
        <v>0.77</v>
      </c>
      <c r="K154" s="40"/>
      <c r="L154" s="43">
        <v>2</v>
      </c>
      <c r="M154" s="44">
        <v>0.38679999999999998</v>
      </c>
      <c r="N154" s="43">
        <f t="shared" si="24"/>
        <v>0.77</v>
      </c>
      <c r="R154" s="128" t="s">
        <v>131</v>
      </c>
      <c r="S154" s="128"/>
      <c r="T154" s="128"/>
      <c r="U154" s="128"/>
      <c r="V154" s="128"/>
    </row>
    <row r="155" spans="1:22" ht="15" customHeight="1" x14ac:dyDescent="0.2">
      <c r="A155" s="27" t="s">
        <v>132</v>
      </c>
      <c r="B155" s="37">
        <v>15.01</v>
      </c>
      <c r="C155" s="38">
        <v>30</v>
      </c>
      <c r="D155" s="39">
        <v>0.18156</v>
      </c>
      <c r="E155" s="39">
        <v>0.26529999999999998</v>
      </c>
      <c r="F155" s="37">
        <f t="shared" si="22"/>
        <v>3.98</v>
      </c>
      <c r="G155" s="40"/>
      <c r="H155" s="41">
        <v>15.01</v>
      </c>
      <c r="I155" s="42">
        <v>0.26529999999999998</v>
      </c>
      <c r="J155" s="41">
        <f t="shared" si="23"/>
        <v>3.98</v>
      </c>
      <c r="K155" s="40"/>
      <c r="L155" s="43">
        <v>15.01</v>
      </c>
      <c r="M155" s="44">
        <v>0.26529999999999998</v>
      </c>
      <c r="N155" s="43">
        <f t="shared" si="24"/>
        <v>3.98</v>
      </c>
    </row>
    <row r="156" spans="1:22" ht="15" customHeight="1" x14ac:dyDescent="0.2">
      <c r="A156" s="45" t="s">
        <v>133</v>
      </c>
      <c r="B156" s="46">
        <f>IF($P$156="",29.98,ROUND(29.98*((28.2654/(1-$P$156))-14.98)/25.88,2))</f>
        <v>29.98</v>
      </c>
      <c r="C156" s="38"/>
      <c r="D156" s="47">
        <v>0.12833600000000001</v>
      </c>
      <c r="E156" s="39">
        <v>0.17299999999999999</v>
      </c>
      <c r="F156" s="37">
        <f t="shared" si="22"/>
        <v>5.19</v>
      </c>
      <c r="G156" s="40"/>
      <c r="H156" s="48">
        <v>70.043999999999997</v>
      </c>
      <c r="I156" s="42">
        <v>0.18804000000000001</v>
      </c>
      <c r="J156" s="41">
        <f t="shared" si="23"/>
        <v>13.17</v>
      </c>
      <c r="K156" s="40"/>
      <c r="L156" s="49">
        <v>4.7160000000000002</v>
      </c>
      <c r="M156" s="44">
        <v>0.17299999999999999</v>
      </c>
      <c r="N156" s="43">
        <f t="shared" si="24"/>
        <v>0.82</v>
      </c>
      <c r="O156" s="50" t="s">
        <v>134</v>
      </c>
      <c r="P156" s="51"/>
    </row>
    <row r="157" spans="1:22" ht="15" customHeight="1" x14ac:dyDescent="0.2">
      <c r="A157" s="45" t="s">
        <v>135</v>
      </c>
      <c r="B157" s="46">
        <f>IF($P$156="",14.188,ROUND(14.188*((28.2654/(1-$P$156))-14.98)/25.88,2))</f>
        <v>14.188000000000001</v>
      </c>
      <c r="C157" s="38"/>
      <c r="D157" s="47">
        <v>0.121544</v>
      </c>
      <c r="E157" s="39">
        <v>0.17069999999999999</v>
      </c>
      <c r="F157" s="37">
        <f t="shared" si="22"/>
        <v>2.42</v>
      </c>
      <c r="G157" s="40"/>
      <c r="H157" s="48">
        <v>52.462000000000003</v>
      </c>
      <c r="I157" s="42">
        <v>0.17505999999999999</v>
      </c>
      <c r="J157" s="41">
        <f t="shared" si="23"/>
        <v>9.18</v>
      </c>
      <c r="K157" s="40"/>
      <c r="L157" s="49">
        <v>2.67</v>
      </c>
      <c r="M157" s="44">
        <v>0.17069999999999999</v>
      </c>
      <c r="N157" s="43">
        <f t="shared" si="24"/>
        <v>0.46</v>
      </c>
      <c r="O157" s="52" t="s">
        <v>136</v>
      </c>
    </row>
    <row r="158" spans="1:22" ht="15" customHeight="1" x14ac:dyDescent="0.2">
      <c r="A158" s="45" t="s">
        <v>137</v>
      </c>
      <c r="B158" s="46">
        <f>IF($P$156="",109.481,ROUND(109.481*((28.2654/(1-$P$156))-14.98)/25.88,2))</f>
        <v>109.48099999999999</v>
      </c>
      <c r="C158" s="38"/>
      <c r="D158" s="47">
        <v>0.11380800000000001</v>
      </c>
      <c r="E158" s="39">
        <v>0.16689999999999999</v>
      </c>
      <c r="F158" s="37">
        <f t="shared" si="22"/>
        <v>18.27</v>
      </c>
      <c r="G158" s="40"/>
      <c r="H158" s="48">
        <v>168.16300000000001</v>
      </c>
      <c r="I158" s="42">
        <v>0.16689999999999999</v>
      </c>
      <c r="J158" s="41">
        <f t="shared" si="23"/>
        <v>28.07</v>
      </c>
      <c r="K158" s="40"/>
      <c r="L158" s="49">
        <v>21.757999999999999</v>
      </c>
      <c r="M158" s="44">
        <v>0.16689999999999999</v>
      </c>
      <c r="N158" s="43">
        <f t="shared" si="24"/>
        <v>3.63</v>
      </c>
      <c r="O158" s="52" t="s">
        <v>138</v>
      </c>
    </row>
    <row r="159" spans="1:22" ht="15" customHeight="1" x14ac:dyDescent="0.2">
      <c r="A159" s="27" t="s">
        <v>139</v>
      </c>
      <c r="B159" s="37">
        <v>1</v>
      </c>
      <c r="C159" s="53">
        <v>30</v>
      </c>
      <c r="D159" s="39">
        <v>17.614999999999998</v>
      </c>
      <c r="E159" s="39">
        <v>17.614999999999998</v>
      </c>
      <c r="F159" s="37">
        <f t="shared" si="22"/>
        <v>17.62</v>
      </c>
      <c r="G159" s="40"/>
      <c r="H159" s="41">
        <v>1</v>
      </c>
      <c r="I159" s="42">
        <v>17.614999999999998</v>
      </c>
      <c r="J159" s="41">
        <f t="shared" si="23"/>
        <v>17.62</v>
      </c>
      <c r="K159" s="40"/>
      <c r="L159" s="43">
        <v>1</v>
      </c>
      <c r="M159" s="44">
        <v>17.614999999999998</v>
      </c>
      <c r="N159" s="43">
        <f t="shared" si="24"/>
        <v>17.62</v>
      </c>
    </row>
    <row r="160" spans="1:22" ht="15" customHeight="1" x14ac:dyDescent="0.2">
      <c r="A160" s="27" t="s">
        <v>140</v>
      </c>
      <c r="B160" s="37">
        <v>30</v>
      </c>
      <c r="C160" s="53">
        <v>30</v>
      </c>
      <c r="D160" s="39">
        <v>1.274E-2</v>
      </c>
      <c r="E160" s="39">
        <v>1.274E-2</v>
      </c>
      <c r="F160" s="37">
        <f t="shared" si="22"/>
        <v>0.38</v>
      </c>
      <c r="G160" s="40"/>
      <c r="H160" s="41">
        <v>30</v>
      </c>
      <c r="I160" s="42">
        <v>1.274E-2</v>
      </c>
      <c r="J160" s="41">
        <f t="shared" si="23"/>
        <v>0.38</v>
      </c>
      <c r="K160" s="40"/>
      <c r="L160" s="43">
        <v>30</v>
      </c>
      <c r="M160" s="44">
        <v>6.2899999999999996E-3</v>
      </c>
      <c r="N160" s="43">
        <f t="shared" si="24"/>
        <v>0.19</v>
      </c>
    </row>
    <row r="161" spans="1:22" ht="15" customHeight="1" x14ac:dyDescent="0.2">
      <c r="A161" s="27" t="s">
        <v>141</v>
      </c>
      <c r="B161" s="37">
        <v>0.78</v>
      </c>
      <c r="C161" s="38"/>
      <c r="D161" s="39">
        <v>1</v>
      </c>
      <c r="E161" s="39">
        <v>1</v>
      </c>
      <c r="F161" s="37">
        <f t="shared" si="22"/>
        <v>0.78</v>
      </c>
      <c r="G161" s="40"/>
      <c r="H161" s="41">
        <v>2.5299999999999998</v>
      </c>
      <c r="I161" s="42">
        <v>1</v>
      </c>
      <c r="J161" s="41">
        <f t="shared" si="23"/>
        <v>2.5299999999999998</v>
      </c>
      <c r="K161" s="40"/>
      <c r="L161" s="43">
        <v>0.78</v>
      </c>
      <c r="M161" s="44">
        <v>1</v>
      </c>
      <c r="N161" s="43">
        <f t="shared" si="24"/>
        <v>0.78</v>
      </c>
    </row>
    <row r="162" spans="1:22" ht="15" customHeight="1" x14ac:dyDescent="0.2">
      <c r="A162" s="54" t="s">
        <v>142</v>
      </c>
      <c r="B162" s="55"/>
      <c r="C162" s="55"/>
      <c r="D162" s="55"/>
      <c r="E162" s="55"/>
      <c r="F162" s="56">
        <f>ROUND((SUM(F150:F161)-F161)*1.21+F161,2)</f>
        <v>72</v>
      </c>
      <c r="G162" s="55"/>
      <c r="H162" s="55"/>
      <c r="I162" s="55"/>
      <c r="J162" s="57">
        <f>ROUND((SUM(J150:J161)-J161)*1.21+J161,2)</f>
        <v>103.44</v>
      </c>
      <c r="K162" s="55"/>
      <c r="L162" s="55"/>
      <c r="M162" s="55"/>
      <c r="N162" s="58">
        <f>ROUND((SUM(N150:N161)-N161)*1.21+N161,2)</f>
        <v>46.4</v>
      </c>
    </row>
    <row r="163" spans="1:22" ht="15" customHeight="1" x14ac:dyDescent="0.2">
      <c r="A163" s="59" t="s">
        <v>143</v>
      </c>
      <c r="B163" s="129">
        <f>(SUM(F150:F158)-28.2654)/SUM(F150:F158)</f>
        <v>0.30823788546255504</v>
      </c>
      <c r="C163" s="129"/>
      <c r="D163" s="129"/>
      <c r="E163" s="129"/>
      <c r="F163" s="129"/>
      <c r="G163" s="60"/>
      <c r="H163" s="130"/>
      <c r="I163" s="130"/>
      <c r="J163" s="130"/>
      <c r="K163" s="60"/>
      <c r="L163" s="131" t="str">
        <f>IF(B163&gt;=0.3,"APROBAR",IF(B163&gt;=0.2,"REVISAR","RECHAZAR"))</f>
        <v>APROBAR</v>
      </c>
      <c r="M163" s="131"/>
      <c r="N163" s="131"/>
    </row>
    <row r="165" spans="1:22" ht="15" customHeight="1" x14ac:dyDescent="0.2">
      <c r="A165" s="7" t="s">
        <v>219</v>
      </c>
      <c r="B165" s="7"/>
      <c r="C165" s="7"/>
      <c r="D165" s="7"/>
      <c r="E165" s="7"/>
      <c r="F165" s="7"/>
      <c r="G165" s="7"/>
      <c r="H165" s="7"/>
      <c r="I165" s="6" t="s">
        <v>220</v>
      </c>
      <c r="J165" s="6"/>
      <c r="K165" s="6"/>
      <c r="L165" s="6"/>
      <c r="M165" s="6"/>
      <c r="N165" s="6"/>
      <c r="R165" s="5" t="s">
        <v>110</v>
      </c>
      <c r="S165" s="5"/>
      <c r="T165" s="5"/>
      <c r="U165" s="5"/>
      <c r="V165" s="5"/>
    </row>
    <row r="166" spans="1:22" ht="15" customHeight="1" x14ac:dyDescent="0.2">
      <c r="A166" s="32" t="s">
        <v>111</v>
      </c>
      <c r="B166" s="4" t="s">
        <v>112</v>
      </c>
      <c r="C166" s="4"/>
      <c r="D166" s="4"/>
      <c r="E166" s="4"/>
      <c r="F166" s="4"/>
      <c r="G166" s="33"/>
      <c r="H166" s="3" t="s">
        <v>221</v>
      </c>
      <c r="I166" s="3"/>
      <c r="J166" s="3"/>
      <c r="K166" s="33"/>
      <c r="L166" s="2" t="s">
        <v>222</v>
      </c>
      <c r="M166" s="2"/>
      <c r="N166" s="2"/>
      <c r="R166" s="1" t="s">
        <v>223</v>
      </c>
      <c r="S166" s="1"/>
      <c r="T166" s="1"/>
      <c r="U166" s="1"/>
      <c r="V166" s="1"/>
    </row>
    <row r="167" spans="1:22" ht="15" customHeight="1" x14ac:dyDescent="0.2">
      <c r="A167" s="33"/>
      <c r="B167" s="34" t="s">
        <v>116</v>
      </c>
      <c r="C167" s="34" t="s">
        <v>117</v>
      </c>
      <c r="D167" s="34" t="s">
        <v>118</v>
      </c>
      <c r="E167" s="34" t="s">
        <v>119</v>
      </c>
      <c r="F167" s="34" t="s">
        <v>120</v>
      </c>
      <c r="G167" s="33"/>
      <c r="H167" s="35" t="s">
        <v>116</v>
      </c>
      <c r="I167" s="35" t="s">
        <v>119</v>
      </c>
      <c r="J167" s="35" t="s">
        <v>120</v>
      </c>
      <c r="K167" s="33"/>
      <c r="L167" s="36" t="s">
        <v>116</v>
      </c>
      <c r="M167" s="36" t="s">
        <v>119</v>
      </c>
      <c r="N167" s="36" t="s">
        <v>120</v>
      </c>
      <c r="R167" s="124" t="s">
        <v>224</v>
      </c>
      <c r="S167" s="124"/>
      <c r="T167" s="124"/>
      <c r="U167" s="124"/>
      <c r="V167" s="124"/>
    </row>
    <row r="168" spans="1:22" ht="15" customHeight="1" x14ac:dyDescent="0.2">
      <c r="A168" s="27" t="s">
        <v>122</v>
      </c>
      <c r="B168" s="37">
        <v>16.78</v>
      </c>
      <c r="C168" s="38">
        <v>30</v>
      </c>
      <c r="D168" s="39">
        <v>1.76631</v>
      </c>
      <c r="E168" s="39">
        <v>2.1</v>
      </c>
      <c r="F168" s="37">
        <f t="shared" ref="F168:F179" si="25">ROUND(B168*E168,2)</f>
        <v>35.24</v>
      </c>
      <c r="G168" s="40"/>
      <c r="H168" s="41">
        <v>16.78</v>
      </c>
      <c r="I168" s="42">
        <v>2.1</v>
      </c>
      <c r="J168" s="41">
        <f t="shared" ref="J168:J179" si="26">ROUND(H168*I168,2)</f>
        <v>35.24</v>
      </c>
      <c r="K168" s="40"/>
      <c r="L168" s="43">
        <v>16.78</v>
      </c>
      <c r="M168" s="44">
        <v>2.1</v>
      </c>
      <c r="N168" s="43">
        <f t="shared" ref="N168:N179" si="27">ROUND(L168*M168,2)</f>
        <v>35.24</v>
      </c>
      <c r="R168" s="125" t="s">
        <v>225</v>
      </c>
      <c r="S168" s="125"/>
      <c r="T168" s="125"/>
      <c r="U168" s="125"/>
      <c r="V168" s="125"/>
    </row>
    <row r="169" spans="1:22" ht="15" customHeight="1" x14ac:dyDescent="0.2">
      <c r="A169" s="27" t="s">
        <v>124</v>
      </c>
      <c r="B169" s="37">
        <v>16.78</v>
      </c>
      <c r="C169" s="38">
        <v>30</v>
      </c>
      <c r="D169" s="39">
        <v>1.0849800000000001</v>
      </c>
      <c r="E169" s="39">
        <v>1.91</v>
      </c>
      <c r="F169" s="37">
        <f t="shared" si="25"/>
        <v>32.049999999999997</v>
      </c>
      <c r="G169" s="40"/>
      <c r="H169" s="41">
        <v>16.78</v>
      </c>
      <c r="I169" s="42">
        <v>1.91</v>
      </c>
      <c r="J169" s="41">
        <f t="shared" si="26"/>
        <v>32.049999999999997</v>
      </c>
      <c r="K169" s="40"/>
      <c r="L169" s="43">
        <v>16.78</v>
      </c>
      <c r="M169" s="44">
        <v>1.91</v>
      </c>
      <c r="N169" s="43">
        <f t="shared" si="27"/>
        <v>32.049999999999997</v>
      </c>
      <c r="R169" s="126" t="s">
        <v>226</v>
      </c>
      <c r="S169" s="126"/>
      <c r="T169" s="126"/>
      <c r="U169" s="126"/>
      <c r="V169" s="126"/>
    </row>
    <row r="170" spans="1:22" ht="15" customHeight="1" x14ac:dyDescent="0.2">
      <c r="A170" s="27" t="s">
        <v>126</v>
      </c>
      <c r="B170" s="37">
        <v>16.78</v>
      </c>
      <c r="C170" s="38">
        <v>30</v>
      </c>
      <c r="D170" s="39">
        <v>0.49970999999999999</v>
      </c>
      <c r="E170" s="39">
        <v>0.71</v>
      </c>
      <c r="F170" s="37">
        <f t="shared" si="25"/>
        <v>11.91</v>
      </c>
      <c r="G170" s="40"/>
      <c r="H170" s="41">
        <v>16.78</v>
      </c>
      <c r="I170" s="42">
        <v>0.71</v>
      </c>
      <c r="J170" s="41">
        <f t="shared" si="26"/>
        <v>11.91</v>
      </c>
      <c r="K170" s="40"/>
      <c r="L170" s="43">
        <v>16.78</v>
      </c>
      <c r="M170" s="44">
        <v>0.71</v>
      </c>
      <c r="N170" s="43">
        <f t="shared" si="27"/>
        <v>11.91</v>
      </c>
      <c r="R170" s="126" t="s">
        <v>227</v>
      </c>
      <c r="S170" s="126"/>
      <c r="T170" s="126"/>
      <c r="U170" s="126"/>
      <c r="V170" s="126"/>
    </row>
    <row r="171" spans="1:22" ht="15" customHeight="1" x14ac:dyDescent="0.2">
      <c r="A171" s="27" t="s">
        <v>128</v>
      </c>
      <c r="B171" s="37">
        <v>16.78</v>
      </c>
      <c r="C171" s="38">
        <v>30</v>
      </c>
      <c r="D171" s="39">
        <v>0.41658000000000001</v>
      </c>
      <c r="E171" s="39">
        <v>0.56999999999999995</v>
      </c>
      <c r="F171" s="37">
        <f t="shared" si="25"/>
        <v>9.56</v>
      </c>
      <c r="G171" s="40"/>
      <c r="H171" s="41">
        <v>16.78</v>
      </c>
      <c r="I171" s="42">
        <v>0.56999999999999995</v>
      </c>
      <c r="J171" s="41">
        <f t="shared" si="26"/>
        <v>9.56</v>
      </c>
      <c r="K171" s="40"/>
      <c r="L171" s="43">
        <v>16.78</v>
      </c>
      <c r="M171" s="44">
        <v>0.56999999999999995</v>
      </c>
      <c r="N171" s="43">
        <f t="shared" si="27"/>
        <v>9.56</v>
      </c>
      <c r="R171" s="132" t="s">
        <v>162</v>
      </c>
      <c r="S171" s="132"/>
      <c r="T171" s="132"/>
      <c r="U171" s="132"/>
      <c r="V171" s="132"/>
    </row>
    <row r="172" spans="1:22" ht="15" customHeight="1" x14ac:dyDescent="0.2">
      <c r="A172" s="27" t="s">
        <v>130</v>
      </c>
      <c r="B172" s="37">
        <v>16.78</v>
      </c>
      <c r="C172" s="38">
        <v>30</v>
      </c>
      <c r="D172" s="39">
        <v>0.33309</v>
      </c>
      <c r="E172" s="39">
        <v>0.55000000000000004</v>
      </c>
      <c r="F172" s="37">
        <f t="shared" si="25"/>
        <v>9.23</v>
      </c>
      <c r="G172" s="40"/>
      <c r="H172" s="41">
        <v>16.78</v>
      </c>
      <c r="I172" s="42">
        <v>0.55000000000000004</v>
      </c>
      <c r="J172" s="41">
        <f t="shared" si="26"/>
        <v>9.23</v>
      </c>
      <c r="K172" s="40"/>
      <c r="L172" s="43">
        <v>16.78</v>
      </c>
      <c r="M172" s="44">
        <v>0.55000000000000004</v>
      </c>
      <c r="N172" s="43">
        <f t="shared" si="27"/>
        <v>9.23</v>
      </c>
      <c r="R172" s="128" t="s">
        <v>131</v>
      </c>
      <c r="S172" s="128"/>
      <c r="T172" s="128"/>
      <c r="U172" s="128"/>
      <c r="V172" s="128"/>
    </row>
    <row r="173" spans="1:22" ht="15" customHeight="1" x14ac:dyDescent="0.2">
      <c r="A173" s="27" t="s">
        <v>132</v>
      </c>
      <c r="B173" s="37">
        <v>16.78</v>
      </c>
      <c r="C173" s="38">
        <v>30</v>
      </c>
      <c r="D173" s="39">
        <v>0.24417</v>
      </c>
      <c r="E173" s="39">
        <v>0.45</v>
      </c>
      <c r="F173" s="37">
        <f t="shared" si="25"/>
        <v>7.55</v>
      </c>
      <c r="G173" s="40"/>
      <c r="H173" s="41">
        <v>16.78</v>
      </c>
      <c r="I173" s="42">
        <v>0.45</v>
      </c>
      <c r="J173" s="41">
        <f t="shared" si="26"/>
        <v>7.55</v>
      </c>
      <c r="K173" s="40"/>
      <c r="L173" s="43">
        <v>16.78</v>
      </c>
      <c r="M173" s="44">
        <v>0.45</v>
      </c>
      <c r="N173" s="43">
        <f t="shared" si="27"/>
        <v>7.55</v>
      </c>
    </row>
    <row r="174" spans="1:22" ht="15" customHeight="1" x14ac:dyDescent="0.2">
      <c r="A174" s="45" t="s">
        <v>133</v>
      </c>
      <c r="B174" s="46">
        <f>IF($P$174="",595.877,ROUND(595.877*((328.3749/(1-$P$174))-105.54)/273.24,2))</f>
        <v>595.87699999999995</v>
      </c>
      <c r="C174" s="38"/>
      <c r="D174" s="47">
        <v>0.130768</v>
      </c>
      <c r="E174" s="39">
        <v>0.14099999999999999</v>
      </c>
      <c r="F174" s="37">
        <f t="shared" si="25"/>
        <v>84.02</v>
      </c>
      <c r="G174" s="40"/>
      <c r="H174" s="48">
        <v>1076.27</v>
      </c>
      <c r="I174" s="42">
        <v>0.14099999999999999</v>
      </c>
      <c r="J174" s="41">
        <f t="shared" si="26"/>
        <v>151.75</v>
      </c>
      <c r="K174" s="40"/>
      <c r="L174" s="49">
        <v>560.74</v>
      </c>
      <c r="M174" s="44">
        <v>0.15833</v>
      </c>
      <c r="N174" s="43">
        <f t="shared" si="27"/>
        <v>88.78</v>
      </c>
      <c r="O174" s="50" t="s">
        <v>134</v>
      </c>
      <c r="P174" s="51"/>
    </row>
    <row r="175" spans="1:22" ht="15" customHeight="1" x14ac:dyDescent="0.2">
      <c r="A175" s="45" t="s">
        <v>135</v>
      </c>
      <c r="B175" s="46">
        <f>IF($P$174="",615.733,ROUND(615.733*((328.3749/(1-$P$174))-105.54)/273.24,2))</f>
        <v>615.73299999999995</v>
      </c>
      <c r="C175" s="38"/>
      <c r="D175" s="47">
        <v>0.130768</v>
      </c>
      <c r="E175" s="39">
        <v>0.14099999999999999</v>
      </c>
      <c r="F175" s="37">
        <f t="shared" si="25"/>
        <v>86.82</v>
      </c>
      <c r="G175" s="40"/>
      <c r="H175" s="48">
        <v>802.70699999999999</v>
      </c>
      <c r="I175" s="42">
        <v>0.14099999999999999</v>
      </c>
      <c r="J175" s="41">
        <f t="shared" si="26"/>
        <v>113.18</v>
      </c>
      <c r="K175" s="40"/>
      <c r="L175" s="49">
        <v>340.70600000000002</v>
      </c>
      <c r="M175" s="44">
        <v>0.1535</v>
      </c>
      <c r="N175" s="43">
        <f t="shared" si="27"/>
        <v>52.3</v>
      </c>
      <c r="O175" s="52" t="s">
        <v>136</v>
      </c>
    </row>
    <row r="176" spans="1:22" ht="15" customHeight="1" x14ac:dyDescent="0.2">
      <c r="A176" s="45" t="s">
        <v>137</v>
      </c>
      <c r="B176" s="46">
        <f>IF($P$174="",742.023,ROUND(742.023*((328.3749/(1-$P$174))-105.54)/273.24,2))</f>
        <v>742.02300000000002</v>
      </c>
      <c r="C176" s="38"/>
      <c r="D176" s="47">
        <v>0.130768</v>
      </c>
      <c r="E176" s="39">
        <v>0.13800000000000001</v>
      </c>
      <c r="F176" s="37">
        <f t="shared" si="25"/>
        <v>102.4</v>
      </c>
      <c r="G176" s="40"/>
      <c r="H176" s="48">
        <v>583.01400000000001</v>
      </c>
      <c r="I176" s="42">
        <v>0.13800000000000001</v>
      </c>
      <c r="J176" s="41">
        <f t="shared" si="26"/>
        <v>80.459999999999994</v>
      </c>
      <c r="K176" s="40"/>
      <c r="L176" s="49">
        <v>1515.8489999999999</v>
      </c>
      <c r="M176" s="44">
        <v>0.15</v>
      </c>
      <c r="N176" s="43">
        <f t="shared" si="27"/>
        <v>227.38</v>
      </c>
      <c r="O176" s="52" t="s">
        <v>138</v>
      </c>
    </row>
    <row r="177" spans="1:22" ht="15" customHeight="1" x14ac:dyDescent="0.2">
      <c r="A177" s="27" t="s">
        <v>139</v>
      </c>
      <c r="B177" s="37">
        <v>1</v>
      </c>
      <c r="C177" s="53">
        <v>30</v>
      </c>
      <c r="D177" s="39">
        <v>4</v>
      </c>
      <c r="E177" s="39">
        <v>4</v>
      </c>
      <c r="F177" s="37">
        <f t="shared" si="25"/>
        <v>4</v>
      </c>
      <c r="G177" s="40"/>
      <c r="H177" s="41">
        <v>1</v>
      </c>
      <c r="I177" s="42">
        <v>4</v>
      </c>
      <c r="J177" s="41">
        <f t="shared" si="26"/>
        <v>4</v>
      </c>
      <c r="K177" s="40"/>
      <c r="L177" s="43">
        <v>1</v>
      </c>
      <c r="M177" s="44">
        <v>1</v>
      </c>
      <c r="N177" s="43">
        <f t="shared" si="27"/>
        <v>1</v>
      </c>
    </row>
    <row r="178" spans="1:22" ht="15" customHeight="1" x14ac:dyDescent="0.2">
      <c r="A178" s="27" t="s">
        <v>140</v>
      </c>
      <c r="B178" s="37">
        <v>30</v>
      </c>
      <c r="C178" s="53">
        <v>30</v>
      </c>
      <c r="D178" s="39">
        <v>1.274E-2</v>
      </c>
      <c r="E178" s="39">
        <v>1.274E-2</v>
      </c>
      <c r="F178" s="37">
        <f t="shared" si="25"/>
        <v>0.38</v>
      </c>
      <c r="G178" s="40"/>
      <c r="H178" s="41">
        <v>30</v>
      </c>
      <c r="I178" s="42">
        <v>1.274E-2</v>
      </c>
      <c r="J178" s="41">
        <f t="shared" si="26"/>
        <v>0.38</v>
      </c>
      <c r="K178" s="40"/>
      <c r="L178" s="43">
        <v>30</v>
      </c>
      <c r="M178" s="44">
        <v>1.274E-2</v>
      </c>
      <c r="N178" s="43">
        <f t="shared" si="27"/>
        <v>0.38</v>
      </c>
    </row>
    <row r="179" spans="1:22" ht="15" customHeight="1" x14ac:dyDescent="0.2">
      <c r="A179" s="27" t="s">
        <v>141</v>
      </c>
      <c r="B179" s="37">
        <v>16.670000000000002</v>
      </c>
      <c r="C179" s="38"/>
      <c r="D179" s="39">
        <v>1</v>
      </c>
      <c r="E179" s="39">
        <v>1</v>
      </c>
      <c r="F179" s="37">
        <f t="shared" si="25"/>
        <v>16.670000000000002</v>
      </c>
      <c r="G179" s="40"/>
      <c r="H179" s="41">
        <v>26.9</v>
      </c>
      <c r="I179" s="42">
        <v>1</v>
      </c>
      <c r="J179" s="41">
        <f t="shared" si="26"/>
        <v>26.9</v>
      </c>
      <c r="K179" s="40"/>
      <c r="L179" s="43">
        <v>17.91</v>
      </c>
      <c r="M179" s="44">
        <v>1</v>
      </c>
      <c r="N179" s="43">
        <f t="shared" si="27"/>
        <v>17.91</v>
      </c>
    </row>
    <row r="180" spans="1:22" ht="15" customHeight="1" x14ac:dyDescent="0.2">
      <c r="A180" s="54" t="s">
        <v>142</v>
      </c>
      <c r="B180" s="55"/>
      <c r="C180" s="55"/>
      <c r="D180" s="55"/>
      <c r="E180" s="55"/>
      <c r="F180" s="56">
        <f>ROUND((SUM(F168:F179)-F179)*1.21+F179,2)</f>
        <v>480.29</v>
      </c>
      <c r="G180" s="55"/>
      <c r="H180" s="55"/>
      <c r="I180" s="55"/>
      <c r="J180" s="57">
        <f>ROUND((SUM(J168:J179)-J179)*1.21+J179,2)</f>
        <v>577.83000000000004</v>
      </c>
      <c r="K180" s="55"/>
      <c r="L180" s="55"/>
      <c r="M180" s="55"/>
      <c r="N180" s="58">
        <f>ROUND((SUM(N168:N179)-N179)*1.21+N179,2)</f>
        <v>593.12</v>
      </c>
    </row>
    <row r="181" spans="1:22" ht="15" customHeight="1" x14ac:dyDescent="0.2">
      <c r="A181" s="59" t="s">
        <v>143</v>
      </c>
      <c r="B181" s="129">
        <f>(SUM(F168:F176)-328.3749)/SUM(F168:F176)</f>
        <v>0.13307223190242345</v>
      </c>
      <c r="C181" s="129"/>
      <c r="D181" s="129"/>
      <c r="E181" s="129"/>
      <c r="F181" s="129"/>
      <c r="G181" s="60"/>
      <c r="H181" s="130"/>
      <c r="I181" s="130"/>
      <c r="J181" s="130"/>
      <c r="K181" s="60"/>
      <c r="L181" s="131" t="str">
        <f>IF(B181&gt;=0.3,"APROBAR",IF(B181&gt;=0.2,"REVISAR","RECHAZAR"))</f>
        <v>RECHAZAR</v>
      </c>
      <c r="M181" s="131"/>
      <c r="N181" s="131"/>
    </row>
    <row r="183" spans="1:22" ht="15" customHeight="1" x14ac:dyDescent="0.2">
      <c r="A183" s="7" t="s">
        <v>228</v>
      </c>
      <c r="B183" s="7"/>
      <c r="C183" s="7"/>
      <c r="D183" s="7"/>
      <c r="E183" s="7"/>
      <c r="F183" s="7"/>
      <c r="G183" s="7"/>
      <c r="H183" s="7"/>
      <c r="I183" s="6" t="s">
        <v>229</v>
      </c>
      <c r="J183" s="6"/>
      <c r="K183" s="6"/>
      <c r="L183" s="6"/>
      <c r="M183" s="6"/>
      <c r="N183" s="6"/>
      <c r="R183" s="5" t="s">
        <v>110</v>
      </c>
      <c r="S183" s="5"/>
      <c r="T183" s="5"/>
      <c r="U183" s="5"/>
      <c r="V183" s="5"/>
    </row>
    <row r="184" spans="1:22" ht="15" customHeight="1" x14ac:dyDescent="0.2">
      <c r="A184" s="32" t="s">
        <v>111</v>
      </c>
      <c r="B184" s="4" t="s">
        <v>112</v>
      </c>
      <c r="C184" s="4"/>
      <c r="D184" s="4"/>
      <c r="E184" s="4"/>
      <c r="F184" s="4"/>
      <c r="G184" s="33"/>
      <c r="H184" s="3" t="s">
        <v>230</v>
      </c>
      <c r="I184" s="3"/>
      <c r="J184" s="3"/>
      <c r="K184" s="33"/>
      <c r="L184" s="2" t="s">
        <v>231</v>
      </c>
      <c r="M184" s="2"/>
      <c r="N184" s="2"/>
      <c r="R184" s="1" t="s">
        <v>232</v>
      </c>
      <c r="S184" s="1"/>
      <c r="T184" s="1"/>
      <c r="U184" s="1"/>
      <c r="V184" s="1"/>
    </row>
    <row r="185" spans="1:22" ht="15" customHeight="1" x14ac:dyDescent="0.2">
      <c r="A185" s="33"/>
      <c r="B185" s="34" t="s">
        <v>116</v>
      </c>
      <c r="C185" s="34" t="s">
        <v>117</v>
      </c>
      <c r="D185" s="34" t="s">
        <v>118</v>
      </c>
      <c r="E185" s="34" t="s">
        <v>119</v>
      </c>
      <c r="F185" s="34" t="s">
        <v>120</v>
      </c>
      <c r="G185" s="33"/>
      <c r="H185" s="35" t="s">
        <v>116</v>
      </c>
      <c r="I185" s="35" t="s">
        <v>119</v>
      </c>
      <c r="J185" s="35" t="s">
        <v>120</v>
      </c>
      <c r="K185" s="33"/>
      <c r="L185" s="36" t="s">
        <v>116</v>
      </c>
      <c r="M185" s="36" t="s">
        <v>119</v>
      </c>
      <c r="N185" s="36" t="s">
        <v>120</v>
      </c>
      <c r="R185" s="124" t="s">
        <v>233</v>
      </c>
      <c r="S185" s="124"/>
      <c r="T185" s="124"/>
      <c r="U185" s="124"/>
      <c r="V185" s="124"/>
    </row>
    <row r="186" spans="1:22" ht="15" customHeight="1" x14ac:dyDescent="0.2">
      <c r="A186" s="27" t="s">
        <v>122</v>
      </c>
      <c r="B186" s="37">
        <v>12</v>
      </c>
      <c r="C186" s="38">
        <v>30</v>
      </c>
      <c r="D186" s="39">
        <v>1.7378400000000001</v>
      </c>
      <c r="E186" s="39">
        <v>2.5541999999999998</v>
      </c>
      <c r="F186" s="37">
        <f t="shared" ref="F186:F197" si="28">ROUND(B186*E186,2)</f>
        <v>30.65</v>
      </c>
      <c r="G186" s="40"/>
      <c r="H186" s="41">
        <v>12</v>
      </c>
      <c r="I186" s="42">
        <v>2.5541999999999998</v>
      </c>
      <c r="J186" s="41">
        <f t="shared" ref="J186:J197" si="29">ROUND(H186*I186,2)</f>
        <v>30.65</v>
      </c>
      <c r="K186" s="40"/>
      <c r="L186" s="43">
        <v>12</v>
      </c>
      <c r="M186" s="44">
        <v>2.5541999999999998</v>
      </c>
      <c r="N186" s="43">
        <f t="shared" ref="N186:N197" si="30">ROUND(L186*M186,2)</f>
        <v>30.65</v>
      </c>
      <c r="R186" s="125" t="s">
        <v>234</v>
      </c>
      <c r="S186" s="125"/>
      <c r="T186" s="125"/>
      <c r="U186" s="125"/>
      <c r="V186" s="125"/>
    </row>
    <row r="187" spans="1:22" ht="15" customHeight="1" x14ac:dyDescent="0.2">
      <c r="A187" s="27" t="s">
        <v>124</v>
      </c>
      <c r="B187" s="37">
        <v>12</v>
      </c>
      <c r="C187" s="38">
        <v>30</v>
      </c>
      <c r="D187" s="39">
        <v>0.93569999999999998</v>
      </c>
      <c r="E187" s="39">
        <v>1.3773</v>
      </c>
      <c r="F187" s="37">
        <f t="shared" si="28"/>
        <v>16.53</v>
      </c>
      <c r="G187" s="40"/>
      <c r="H187" s="41">
        <v>12</v>
      </c>
      <c r="I187" s="42">
        <v>1.3773</v>
      </c>
      <c r="J187" s="41">
        <f t="shared" si="29"/>
        <v>16.53</v>
      </c>
      <c r="K187" s="40"/>
      <c r="L187" s="43">
        <v>12</v>
      </c>
      <c r="M187" s="44">
        <v>1.3773</v>
      </c>
      <c r="N187" s="43">
        <f t="shared" si="30"/>
        <v>16.53</v>
      </c>
      <c r="R187" s="126" t="s">
        <v>235</v>
      </c>
      <c r="S187" s="126"/>
      <c r="T187" s="126"/>
      <c r="U187" s="126"/>
      <c r="V187" s="126"/>
    </row>
    <row r="188" spans="1:22" ht="15" customHeight="1" x14ac:dyDescent="0.2">
      <c r="A188" s="27" t="s">
        <v>126</v>
      </c>
      <c r="B188" s="37">
        <v>12</v>
      </c>
      <c r="C188" s="38">
        <v>30</v>
      </c>
      <c r="D188" s="39">
        <v>0.43136999999999998</v>
      </c>
      <c r="E188" s="39">
        <v>0.62860000000000005</v>
      </c>
      <c r="F188" s="37">
        <f t="shared" si="28"/>
        <v>7.54</v>
      </c>
      <c r="G188" s="40"/>
      <c r="H188" s="41">
        <v>12</v>
      </c>
      <c r="I188" s="42">
        <v>0.62860000000000005</v>
      </c>
      <c r="J188" s="41">
        <f t="shared" si="29"/>
        <v>7.54</v>
      </c>
      <c r="K188" s="40"/>
      <c r="L188" s="43">
        <v>12</v>
      </c>
      <c r="M188" s="44">
        <v>0.62860000000000005</v>
      </c>
      <c r="N188" s="43">
        <f t="shared" si="30"/>
        <v>7.54</v>
      </c>
      <c r="R188" s="126" t="s">
        <v>236</v>
      </c>
      <c r="S188" s="126"/>
      <c r="T188" s="126"/>
      <c r="U188" s="126"/>
      <c r="V188" s="126"/>
    </row>
    <row r="189" spans="1:22" ht="15" customHeight="1" x14ac:dyDescent="0.2">
      <c r="A189" s="27" t="s">
        <v>128</v>
      </c>
      <c r="B189" s="37">
        <v>12</v>
      </c>
      <c r="C189" s="38">
        <v>30</v>
      </c>
      <c r="D189" s="39">
        <v>0.38244</v>
      </c>
      <c r="E189" s="39">
        <v>0.55610000000000004</v>
      </c>
      <c r="F189" s="37">
        <f t="shared" si="28"/>
        <v>6.67</v>
      </c>
      <c r="G189" s="40"/>
      <c r="H189" s="41">
        <v>12</v>
      </c>
      <c r="I189" s="42">
        <v>0.55610000000000004</v>
      </c>
      <c r="J189" s="41">
        <f t="shared" si="29"/>
        <v>6.67</v>
      </c>
      <c r="K189" s="40"/>
      <c r="L189" s="43">
        <v>12</v>
      </c>
      <c r="M189" s="44">
        <v>0.55610000000000004</v>
      </c>
      <c r="N189" s="43">
        <f t="shared" si="30"/>
        <v>6.67</v>
      </c>
      <c r="R189" s="132" t="s">
        <v>162</v>
      </c>
      <c r="S189" s="132"/>
      <c r="T189" s="132"/>
      <c r="U189" s="132"/>
      <c r="V189" s="132"/>
    </row>
    <row r="190" spans="1:22" ht="15" customHeight="1" x14ac:dyDescent="0.2">
      <c r="A190" s="27" t="s">
        <v>130</v>
      </c>
      <c r="B190" s="37">
        <v>12</v>
      </c>
      <c r="C190" s="38">
        <v>30</v>
      </c>
      <c r="D190" s="39">
        <v>0.26963999999999999</v>
      </c>
      <c r="E190" s="39">
        <v>0.38679999999999998</v>
      </c>
      <c r="F190" s="37">
        <f t="shared" si="28"/>
        <v>4.6399999999999997</v>
      </c>
      <c r="G190" s="40"/>
      <c r="H190" s="41">
        <v>12</v>
      </c>
      <c r="I190" s="42">
        <v>0.38679999999999998</v>
      </c>
      <c r="J190" s="41">
        <f t="shared" si="29"/>
        <v>4.6399999999999997</v>
      </c>
      <c r="K190" s="40"/>
      <c r="L190" s="43">
        <v>12</v>
      </c>
      <c r="M190" s="44">
        <v>0.38679999999999998</v>
      </c>
      <c r="N190" s="43">
        <f t="shared" si="30"/>
        <v>4.6399999999999997</v>
      </c>
      <c r="R190" s="128" t="s">
        <v>131</v>
      </c>
      <c r="S190" s="128"/>
      <c r="T190" s="128"/>
      <c r="U190" s="128"/>
      <c r="V190" s="128"/>
    </row>
    <row r="191" spans="1:22" ht="15" customHeight="1" x14ac:dyDescent="0.2">
      <c r="A191" s="27" t="s">
        <v>132</v>
      </c>
      <c r="B191" s="37">
        <v>15.000999999999999</v>
      </c>
      <c r="C191" s="38">
        <v>30</v>
      </c>
      <c r="D191" s="39">
        <v>0.18156</v>
      </c>
      <c r="E191" s="39">
        <v>0.26529999999999998</v>
      </c>
      <c r="F191" s="37">
        <f t="shared" si="28"/>
        <v>3.98</v>
      </c>
      <c r="G191" s="40"/>
      <c r="H191" s="41">
        <v>15.000999999999999</v>
      </c>
      <c r="I191" s="42">
        <v>0.26529999999999998</v>
      </c>
      <c r="J191" s="41">
        <f t="shared" si="29"/>
        <v>3.98</v>
      </c>
      <c r="K191" s="40"/>
      <c r="L191" s="43">
        <v>15.000999999999999</v>
      </c>
      <c r="M191" s="44">
        <v>0.26529999999999998</v>
      </c>
      <c r="N191" s="43">
        <f t="shared" si="30"/>
        <v>3.98</v>
      </c>
    </row>
    <row r="192" spans="1:22" ht="15" customHeight="1" x14ac:dyDescent="0.2">
      <c r="A192" s="45" t="s">
        <v>133</v>
      </c>
      <c r="B192" s="46">
        <f>IF($P$192="",12.402,ROUND(12.402*((52.3084/(1-$P$192))-70.01)/4.49,2))</f>
        <v>12.401999999999999</v>
      </c>
      <c r="C192" s="38"/>
      <c r="D192" s="47">
        <v>0.13033900000000001</v>
      </c>
      <c r="E192" s="39">
        <v>0.13</v>
      </c>
      <c r="F192" s="37">
        <f t="shared" si="28"/>
        <v>1.61</v>
      </c>
      <c r="G192" s="40"/>
      <c r="H192" s="48">
        <v>19.021000000000001</v>
      </c>
      <c r="I192" s="42">
        <v>0.18804000000000001</v>
      </c>
      <c r="J192" s="41">
        <f t="shared" si="29"/>
        <v>3.58</v>
      </c>
      <c r="K192" s="40"/>
      <c r="L192" s="49">
        <v>8.0500000000000007</v>
      </c>
      <c r="M192" s="44">
        <v>0.17299999999999999</v>
      </c>
      <c r="N192" s="43">
        <f t="shared" si="30"/>
        <v>1.39</v>
      </c>
      <c r="O192" s="50" t="s">
        <v>134</v>
      </c>
      <c r="P192" s="51"/>
    </row>
    <row r="193" spans="1:22" ht="15" customHeight="1" x14ac:dyDescent="0.2">
      <c r="A193" s="45" t="s">
        <v>135</v>
      </c>
      <c r="B193" s="46">
        <f>IF($P$192="",7.552,ROUND(7.552*((52.3084/(1-$P$192))-70.01)/4.49,2))</f>
        <v>7.5519999999999996</v>
      </c>
      <c r="C193" s="38"/>
      <c r="D193" s="47">
        <v>0.13033900000000001</v>
      </c>
      <c r="E193" s="39">
        <v>0.13</v>
      </c>
      <c r="F193" s="37">
        <f t="shared" si="28"/>
        <v>0.98</v>
      </c>
      <c r="G193" s="40"/>
      <c r="H193" s="48">
        <v>6.86</v>
      </c>
      <c r="I193" s="42">
        <v>0.17505999999999999</v>
      </c>
      <c r="J193" s="41">
        <f t="shared" si="29"/>
        <v>1.2</v>
      </c>
      <c r="K193" s="40"/>
      <c r="L193" s="49">
        <v>12.656000000000001</v>
      </c>
      <c r="M193" s="44">
        <v>0.17069999999999999</v>
      </c>
      <c r="N193" s="43">
        <f t="shared" si="30"/>
        <v>2.16</v>
      </c>
      <c r="O193" s="52" t="s">
        <v>136</v>
      </c>
    </row>
    <row r="194" spans="1:22" ht="15" customHeight="1" x14ac:dyDescent="0.2">
      <c r="A194" s="45" t="s">
        <v>137</v>
      </c>
      <c r="B194" s="46">
        <f>IF($P$192="",14.609,ROUND(14.609*((52.3084/(1-$P$192))-70.01)/4.49,2))</f>
        <v>14.609</v>
      </c>
      <c r="C194" s="38"/>
      <c r="D194" s="47">
        <v>0.13033900000000001</v>
      </c>
      <c r="E194" s="39">
        <v>0.13</v>
      </c>
      <c r="F194" s="37">
        <f t="shared" si="28"/>
        <v>1.9</v>
      </c>
      <c r="G194" s="40"/>
      <c r="H194" s="48">
        <v>28.042000000000002</v>
      </c>
      <c r="I194" s="42">
        <v>0.16689999999999999</v>
      </c>
      <c r="J194" s="41">
        <f t="shared" si="29"/>
        <v>4.68</v>
      </c>
      <c r="K194" s="40"/>
      <c r="L194" s="49">
        <v>17.827999999999999</v>
      </c>
      <c r="M194" s="44">
        <v>0.16689999999999999</v>
      </c>
      <c r="N194" s="43">
        <f t="shared" si="30"/>
        <v>2.98</v>
      </c>
      <c r="O194" s="52" t="s">
        <v>138</v>
      </c>
    </row>
    <row r="195" spans="1:22" ht="15" customHeight="1" x14ac:dyDescent="0.2">
      <c r="A195" s="27" t="s">
        <v>139</v>
      </c>
      <c r="B195" s="37">
        <v>1</v>
      </c>
      <c r="C195" s="53">
        <v>30</v>
      </c>
      <c r="D195" s="39">
        <v>17.614999999999998</v>
      </c>
      <c r="E195" s="39">
        <v>17.614999999999998</v>
      </c>
      <c r="F195" s="37">
        <f t="shared" si="28"/>
        <v>17.62</v>
      </c>
      <c r="G195" s="40"/>
      <c r="H195" s="41">
        <v>1</v>
      </c>
      <c r="I195" s="42">
        <v>17.614999999999998</v>
      </c>
      <c r="J195" s="41">
        <f t="shared" si="29"/>
        <v>17.62</v>
      </c>
      <c r="K195" s="40"/>
      <c r="L195" s="43">
        <v>1</v>
      </c>
      <c r="M195" s="44">
        <v>17.614999999999998</v>
      </c>
      <c r="N195" s="43">
        <f t="shared" si="30"/>
        <v>17.62</v>
      </c>
    </row>
    <row r="196" spans="1:22" ht="15" customHeight="1" x14ac:dyDescent="0.2">
      <c r="A196" s="27" t="s">
        <v>140</v>
      </c>
      <c r="B196" s="37">
        <v>30</v>
      </c>
      <c r="C196" s="53">
        <v>30</v>
      </c>
      <c r="D196" s="39">
        <v>1.274E-2</v>
      </c>
      <c r="E196" s="39">
        <v>1.274E-2</v>
      </c>
      <c r="F196" s="37">
        <f t="shared" si="28"/>
        <v>0.38</v>
      </c>
      <c r="G196" s="40"/>
      <c r="H196" s="41">
        <v>30</v>
      </c>
      <c r="I196" s="42">
        <v>1.274E-2</v>
      </c>
      <c r="J196" s="41">
        <f t="shared" si="29"/>
        <v>0.38</v>
      </c>
      <c r="K196" s="40"/>
      <c r="L196" s="43">
        <v>30</v>
      </c>
      <c r="M196" s="44">
        <v>6.2899999999999996E-3</v>
      </c>
      <c r="N196" s="43">
        <f t="shared" si="30"/>
        <v>0.19</v>
      </c>
    </row>
    <row r="197" spans="1:22" ht="15" customHeight="1" x14ac:dyDescent="0.2">
      <c r="A197" s="27" t="s">
        <v>141</v>
      </c>
      <c r="B197" s="37">
        <v>3.92</v>
      </c>
      <c r="C197" s="38"/>
      <c r="D197" s="39">
        <v>1</v>
      </c>
      <c r="E197" s="39">
        <v>1</v>
      </c>
      <c r="F197" s="37">
        <f t="shared" si="28"/>
        <v>3.92</v>
      </c>
      <c r="G197" s="40"/>
      <c r="H197" s="41">
        <v>4.08</v>
      </c>
      <c r="I197" s="42">
        <v>1</v>
      </c>
      <c r="J197" s="41">
        <f t="shared" si="29"/>
        <v>4.08</v>
      </c>
      <c r="K197" s="40"/>
      <c r="L197" s="43">
        <v>3.95</v>
      </c>
      <c r="M197" s="44">
        <v>1</v>
      </c>
      <c r="N197" s="43">
        <f t="shared" si="30"/>
        <v>3.95</v>
      </c>
    </row>
    <row r="198" spans="1:22" ht="15" customHeight="1" x14ac:dyDescent="0.2">
      <c r="A198" s="54" t="s">
        <v>142</v>
      </c>
      <c r="B198" s="55"/>
      <c r="C198" s="55"/>
      <c r="D198" s="55"/>
      <c r="E198" s="55"/>
      <c r="F198" s="56">
        <f>ROUND((SUM(F186:F197)-F197)*1.21+F197,2)</f>
        <v>115.85</v>
      </c>
      <c r="G198" s="55"/>
      <c r="H198" s="55"/>
      <c r="I198" s="55"/>
      <c r="J198" s="57">
        <f>ROUND((SUM(J186:J197)-J197)*1.21+J197,2)</f>
        <v>122.02</v>
      </c>
      <c r="K198" s="55"/>
      <c r="L198" s="55"/>
      <c r="M198" s="55"/>
      <c r="N198" s="58">
        <f>ROUND((SUM(N186:N197)-N197)*1.21+N197,2)</f>
        <v>118.11</v>
      </c>
    </row>
    <row r="199" spans="1:22" ht="15" customHeight="1" x14ac:dyDescent="0.2">
      <c r="A199" s="59" t="s">
        <v>143</v>
      </c>
      <c r="B199" s="129">
        <f>(SUM(F186:F194)-52.3084)/SUM(F186:F194)</f>
        <v>0.29787382550335584</v>
      </c>
      <c r="C199" s="129"/>
      <c r="D199" s="129"/>
      <c r="E199" s="129"/>
      <c r="F199" s="129"/>
      <c r="G199" s="60"/>
      <c r="H199" s="130"/>
      <c r="I199" s="130"/>
      <c r="J199" s="130"/>
      <c r="K199" s="60"/>
      <c r="L199" s="131" t="str">
        <f>IF(B199&gt;=0.3,"APROBAR",IF(B199&gt;=0.2,"REVISAR","RECHAZAR"))</f>
        <v>REVISAR</v>
      </c>
      <c r="M199" s="131"/>
      <c r="N199" s="131"/>
    </row>
    <row r="201" spans="1:22" ht="15" customHeight="1" x14ac:dyDescent="0.2">
      <c r="A201" s="7" t="s">
        <v>237</v>
      </c>
      <c r="B201" s="7"/>
      <c r="C201" s="7"/>
      <c r="D201" s="7"/>
      <c r="E201" s="7"/>
      <c r="F201" s="7"/>
      <c r="G201" s="7"/>
      <c r="H201" s="7"/>
      <c r="I201" s="6" t="s">
        <v>238</v>
      </c>
      <c r="J201" s="6"/>
      <c r="K201" s="6"/>
      <c r="L201" s="6"/>
      <c r="M201" s="6"/>
      <c r="N201" s="6"/>
      <c r="R201" s="5" t="s">
        <v>110</v>
      </c>
      <c r="S201" s="5"/>
      <c r="T201" s="5"/>
      <c r="U201" s="5"/>
      <c r="V201" s="5"/>
    </row>
    <row r="202" spans="1:22" ht="15" customHeight="1" x14ac:dyDescent="0.2">
      <c r="A202" s="32" t="s">
        <v>111</v>
      </c>
      <c r="B202" s="4" t="s">
        <v>112</v>
      </c>
      <c r="C202" s="4"/>
      <c r="D202" s="4"/>
      <c r="E202" s="4"/>
      <c r="F202" s="4"/>
      <c r="G202" s="33"/>
      <c r="H202" s="3" t="s">
        <v>239</v>
      </c>
      <c r="I202" s="3"/>
      <c r="J202" s="3"/>
      <c r="K202" s="33"/>
      <c r="L202" s="2" t="s">
        <v>240</v>
      </c>
      <c r="M202" s="2"/>
      <c r="N202" s="2"/>
      <c r="R202" s="1" t="s">
        <v>241</v>
      </c>
      <c r="S202" s="1"/>
      <c r="T202" s="1"/>
      <c r="U202" s="1"/>
      <c r="V202" s="1"/>
    </row>
    <row r="203" spans="1:22" ht="15" customHeight="1" x14ac:dyDescent="0.2">
      <c r="A203" s="33"/>
      <c r="B203" s="34" t="s">
        <v>116</v>
      </c>
      <c r="C203" s="34" t="s">
        <v>117</v>
      </c>
      <c r="D203" s="34" t="s">
        <v>118</v>
      </c>
      <c r="E203" s="34" t="s">
        <v>119</v>
      </c>
      <c r="F203" s="34" t="s">
        <v>120</v>
      </c>
      <c r="G203" s="33"/>
      <c r="H203" s="35" t="s">
        <v>116</v>
      </c>
      <c r="I203" s="35" t="s">
        <v>119</v>
      </c>
      <c r="J203" s="35" t="s">
        <v>120</v>
      </c>
      <c r="K203" s="33"/>
      <c r="L203" s="36" t="s">
        <v>116</v>
      </c>
      <c r="M203" s="36" t="s">
        <v>119</v>
      </c>
      <c r="N203" s="36" t="s">
        <v>120</v>
      </c>
      <c r="R203" s="124" t="s">
        <v>242</v>
      </c>
      <c r="S203" s="124"/>
      <c r="T203" s="124"/>
      <c r="U203" s="124"/>
      <c r="V203" s="124"/>
    </row>
    <row r="204" spans="1:22" ht="15" customHeight="1" x14ac:dyDescent="0.2">
      <c r="A204" s="27" t="s">
        <v>122</v>
      </c>
      <c r="B204" s="37">
        <v>16.5</v>
      </c>
      <c r="C204" s="38">
        <v>30</v>
      </c>
      <c r="D204" s="39">
        <v>1.7378400000000001</v>
      </c>
      <c r="E204" s="39">
        <v>2.5541999999999998</v>
      </c>
      <c r="F204" s="37">
        <f t="shared" ref="F204:F215" si="31">ROUND(B204*E204,2)</f>
        <v>42.14</v>
      </c>
      <c r="G204" s="40"/>
      <c r="H204" s="41">
        <v>16.5</v>
      </c>
      <c r="I204" s="42">
        <v>2.5541999999999998</v>
      </c>
      <c r="J204" s="41">
        <f t="shared" ref="J204:J215" si="32">ROUND(H204*I204,2)</f>
        <v>42.14</v>
      </c>
      <c r="K204" s="40"/>
      <c r="L204" s="43">
        <v>16.5</v>
      </c>
      <c r="M204" s="44">
        <v>2.5541999999999998</v>
      </c>
      <c r="N204" s="43">
        <f t="shared" ref="N204:N215" si="33">ROUND(L204*M204,2)</f>
        <v>42.14</v>
      </c>
      <c r="R204" s="125" t="s">
        <v>243</v>
      </c>
      <c r="S204" s="125"/>
      <c r="T204" s="125"/>
      <c r="U204" s="125"/>
      <c r="V204" s="125"/>
    </row>
    <row r="205" spans="1:22" ht="15" customHeight="1" x14ac:dyDescent="0.2">
      <c r="A205" s="27" t="s">
        <v>124</v>
      </c>
      <c r="B205" s="37">
        <v>16.5</v>
      </c>
      <c r="C205" s="38">
        <v>30</v>
      </c>
      <c r="D205" s="39">
        <v>0.93569999999999998</v>
      </c>
      <c r="E205" s="39">
        <v>1.3773299999999999</v>
      </c>
      <c r="F205" s="37">
        <f t="shared" si="31"/>
        <v>22.73</v>
      </c>
      <c r="G205" s="40"/>
      <c r="H205" s="41">
        <v>16.5</v>
      </c>
      <c r="I205" s="42">
        <v>1.3773299999999999</v>
      </c>
      <c r="J205" s="41">
        <f t="shared" si="32"/>
        <v>22.73</v>
      </c>
      <c r="K205" s="40"/>
      <c r="L205" s="43">
        <v>16.5</v>
      </c>
      <c r="M205" s="44">
        <v>1.3773299999999999</v>
      </c>
      <c r="N205" s="43">
        <f t="shared" si="33"/>
        <v>22.73</v>
      </c>
      <c r="R205" s="126" t="s">
        <v>244</v>
      </c>
      <c r="S205" s="126"/>
      <c r="T205" s="126"/>
      <c r="U205" s="126"/>
      <c r="V205" s="126"/>
    </row>
    <row r="206" spans="1:22" ht="15" customHeight="1" x14ac:dyDescent="0.2">
      <c r="A206" s="27" t="s">
        <v>126</v>
      </c>
      <c r="B206" s="37">
        <v>16.5</v>
      </c>
      <c r="C206" s="38">
        <v>30</v>
      </c>
      <c r="D206" s="39">
        <v>0.43136999999999998</v>
      </c>
      <c r="E206" s="39">
        <v>0.62868000000000002</v>
      </c>
      <c r="F206" s="37">
        <f t="shared" si="31"/>
        <v>10.37</v>
      </c>
      <c r="G206" s="40"/>
      <c r="H206" s="41">
        <v>16.5</v>
      </c>
      <c r="I206" s="42">
        <v>0.62868000000000002</v>
      </c>
      <c r="J206" s="41">
        <f t="shared" si="32"/>
        <v>10.37</v>
      </c>
      <c r="K206" s="40"/>
      <c r="L206" s="43">
        <v>16.5</v>
      </c>
      <c r="M206" s="44">
        <v>0.62868000000000002</v>
      </c>
      <c r="N206" s="43">
        <f t="shared" si="33"/>
        <v>10.37</v>
      </c>
      <c r="R206" s="126" t="s">
        <v>245</v>
      </c>
      <c r="S206" s="126"/>
      <c r="T206" s="126"/>
      <c r="U206" s="126"/>
      <c r="V206" s="126"/>
    </row>
    <row r="207" spans="1:22" ht="15" customHeight="1" x14ac:dyDescent="0.2">
      <c r="A207" s="27" t="s">
        <v>128</v>
      </c>
      <c r="B207" s="37">
        <v>16.5</v>
      </c>
      <c r="C207" s="38">
        <v>30</v>
      </c>
      <c r="D207" s="39">
        <v>0.38244</v>
      </c>
      <c r="E207" s="39">
        <v>0.55610000000000004</v>
      </c>
      <c r="F207" s="37">
        <f t="shared" si="31"/>
        <v>9.18</v>
      </c>
      <c r="G207" s="40"/>
      <c r="H207" s="41">
        <v>16.5</v>
      </c>
      <c r="I207" s="42">
        <v>0.55610000000000004</v>
      </c>
      <c r="J207" s="41">
        <f t="shared" si="32"/>
        <v>9.18</v>
      </c>
      <c r="K207" s="40"/>
      <c r="L207" s="43">
        <v>16.5</v>
      </c>
      <c r="M207" s="44">
        <v>0.55610000000000004</v>
      </c>
      <c r="N207" s="43">
        <f t="shared" si="33"/>
        <v>9.18</v>
      </c>
      <c r="R207" s="132" t="s">
        <v>162</v>
      </c>
      <c r="S207" s="132"/>
      <c r="T207" s="132"/>
      <c r="U207" s="132"/>
      <c r="V207" s="132"/>
    </row>
    <row r="208" spans="1:22" ht="15" customHeight="1" x14ac:dyDescent="0.2">
      <c r="A208" s="27" t="s">
        <v>130</v>
      </c>
      <c r="B208" s="37">
        <v>16.5</v>
      </c>
      <c r="C208" s="38">
        <v>30</v>
      </c>
      <c r="D208" s="39">
        <v>0.26963999999999999</v>
      </c>
      <c r="E208" s="39">
        <v>0.38679999999999998</v>
      </c>
      <c r="F208" s="37">
        <f t="shared" si="31"/>
        <v>6.38</v>
      </c>
      <c r="G208" s="40"/>
      <c r="H208" s="41">
        <v>16.5</v>
      </c>
      <c r="I208" s="42">
        <v>0.38679999999999998</v>
      </c>
      <c r="J208" s="41">
        <f t="shared" si="32"/>
        <v>6.38</v>
      </c>
      <c r="K208" s="40"/>
      <c r="L208" s="43">
        <v>16.5</v>
      </c>
      <c r="M208" s="44">
        <v>0.38679999999999998</v>
      </c>
      <c r="N208" s="43">
        <f t="shared" si="33"/>
        <v>6.38</v>
      </c>
      <c r="R208" s="128" t="s">
        <v>131</v>
      </c>
      <c r="S208" s="128"/>
      <c r="T208" s="128"/>
      <c r="U208" s="128"/>
      <c r="V208" s="128"/>
    </row>
    <row r="209" spans="1:22" ht="15" customHeight="1" x14ac:dyDescent="0.2">
      <c r="A209" s="27" t="s">
        <v>132</v>
      </c>
      <c r="B209" s="37">
        <v>16.5</v>
      </c>
      <c r="C209" s="38">
        <v>30</v>
      </c>
      <c r="D209" s="39">
        <v>0.18156</v>
      </c>
      <c r="E209" s="39">
        <v>0.26529999999999998</v>
      </c>
      <c r="F209" s="37">
        <f t="shared" si="31"/>
        <v>4.38</v>
      </c>
      <c r="G209" s="40"/>
      <c r="H209" s="41">
        <v>16.5</v>
      </c>
      <c r="I209" s="42">
        <v>0.26529999999999998</v>
      </c>
      <c r="J209" s="41">
        <f t="shared" si="32"/>
        <v>4.38</v>
      </c>
      <c r="K209" s="40"/>
      <c r="L209" s="43">
        <v>16.5</v>
      </c>
      <c r="M209" s="44">
        <v>0.26529999999999998</v>
      </c>
      <c r="N209" s="43">
        <f t="shared" si="33"/>
        <v>4.38</v>
      </c>
    </row>
    <row r="210" spans="1:22" ht="15" customHeight="1" x14ac:dyDescent="0.2">
      <c r="A210" s="45" t="s">
        <v>133</v>
      </c>
      <c r="B210" s="46">
        <f>IF($P$210="",968.977,ROUND(968.977*((407.3317/(1-$P$210))-95.18)/394.43,2))</f>
        <v>968.97699999999998</v>
      </c>
      <c r="C210" s="38"/>
      <c r="D210" s="47">
        <v>0.121236</v>
      </c>
      <c r="E210" s="39">
        <v>0.13</v>
      </c>
      <c r="F210" s="37">
        <f t="shared" si="31"/>
        <v>125.97</v>
      </c>
      <c r="G210" s="40"/>
      <c r="H210" s="48">
        <v>809.23099999999999</v>
      </c>
      <c r="I210" s="42">
        <v>0.13</v>
      </c>
      <c r="J210" s="41">
        <f t="shared" si="32"/>
        <v>105.2</v>
      </c>
      <c r="K210" s="40"/>
      <c r="L210" s="49">
        <v>893.41600000000005</v>
      </c>
      <c r="M210" s="44">
        <v>0.16</v>
      </c>
      <c r="N210" s="43">
        <f t="shared" si="33"/>
        <v>142.94999999999999</v>
      </c>
      <c r="O210" s="50" t="s">
        <v>134</v>
      </c>
      <c r="P210" s="51"/>
    </row>
    <row r="211" spans="1:22" ht="15" customHeight="1" x14ac:dyDescent="0.2">
      <c r="A211" s="45" t="s">
        <v>135</v>
      </c>
      <c r="B211" s="46">
        <f>IF($P$210="",563.416,ROUND(563.416*((407.3317/(1-$P$210))-95.18)/394.43,2))</f>
        <v>563.41600000000005</v>
      </c>
      <c r="C211" s="38"/>
      <c r="D211" s="47">
        <v>0.114444</v>
      </c>
      <c r="E211" s="39">
        <v>0.13</v>
      </c>
      <c r="F211" s="37">
        <f t="shared" si="31"/>
        <v>73.239999999999995</v>
      </c>
      <c r="G211" s="40"/>
      <c r="H211" s="48">
        <v>545.07500000000005</v>
      </c>
      <c r="I211" s="42">
        <v>0.13</v>
      </c>
      <c r="J211" s="41">
        <f t="shared" si="32"/>
        <v>70.86</v>
      </c>
      <c r="K211" s="40"/>
      <c r="L211" s="49">
        <v>522.73699999999997</v>
      </c>
      <c r="M211" s="44">
        <v>0.158</v>
      </c>
      <c r="N211" s="43">
        <f t="shared" si="33"/>
        <v>82.59</v>
      </c>
      <c r="O211" s="52" t="s">
        <v>136</v>
      </c>
    </row>
    <row r="212" spans="1:22" ht="15" customHeight="1" x14ac:dyDescent="0.2">
      <c r="A212" s="45" t="s">
        <v>137</v>
      </c>
      <c r="B212" s="46">
        <f>IF($P$210="",1501.67,ROUND(1501.67*((407.3317/(1-$P$210))-95.18)/394.43,2))</f>
        <v>1501.67</v>
      </c>
      <c r="C212" s="38"/>
      <c r="D212" s="47">
        <v>0.106808</v>
      </c>
      <c r="E212" s="39">
        <v>0.13</v>
      </c>
      <c r="F212" s="37">
        <f t="shared" si="31"/>
        <v>195.22</v>
      </c>
      <c r="G212" s="40"/>
      <c r="H212" s="48">
        <v>1059.201</v>
      </c>
      <c r="I212" s="42">
        <v>0.13</v>
      </c>
      <c r="J212" s="41">
        <f t="shared" si="32"/>
        <v>137.69999999999999</v>
      </c>
      <c r="K212" s="40"/>
      <c r="L212" s="49">
        <v>1211.58</v>
      </c>
      <c r="M212" s="44">
        <v>0.156</v>
      </c>
      <c r="N212" s="43">
        <f t="shared" si="33"/>
        <v>189.01</v>
      </c>
      <c r="O212" s="52" t="s">
        <v>138</v>
      </c>
    </row>
    <row r="213" spans="1:22" ht="15" customHeight="1" x14ac:dyDescent="0.2">
      <c r="A213" s="27" t="s">
        <v>139</v>
      </c>
      <c r="B213" s="37">
        <v>1</v>
      </c>
      <c r="C213" s="53">
        <v>30</v>
      </c>
      <c r="D213" s="39">
        <v>17.614999999999998</v>
      </c>
      <c r="E213" s="39">
        <v>17.614999999999998</v>
      </c>
      <c r="F213" s="37">
        <f t="shared" si="31"/>
        <v>17.62</v>
      </c>
      <c r="G213" s="40"/>
      <c r="H213" s="41">
        <v>1</v>
      </c>
      <c r="I213" s="42">
        <v>17.614999999999998</v>
      </c>
      <c r="J213" s="41">
        <f t="shared" si="32"/>
        <v>17.62</v>
      </c>
      <c r="K213" s="40"/>
      <c r="L213" s="43">
        <v>1</v>
      </c>
      <c r="M213" s="44">
        <v>17.614999999999998</v>
      </c>
      <c r="N213" s="43">
        <f t="shared" si="33"/>
        <v>17.62</v>
      </c>
    </row>
    <row r="214" spans="1:22" ht="15" customHeight="1" x14ac:dyDescent="0.2">
      <c r="A214" s="27" t="s">
        <v>140</v>
      </c>
      <c r="B214" s="37">
        <v>30</v>
      </c>
      <c r="C214" s="53">
        <v>30</v>
      </c>
      <c r="D214" s="39">
        <v>1.274E-2</v>
      </c>
      <c r="E214" s="39">
        <v>1.274E-2</v>
      </c>
      <c r="F214" s="37">
        <f t="shared" si="31"/>
        <v>0.38</v>
      </c>
      <c r="G214" s="40"/>
      <c r="H214" s="41">
        <v>30</v>
      </c>
      <c r="I214" s="42">
        <v>1.9120000000000002E-2</v>
      </c>
      <c r="J214" s="41">
        <f t="shared" si="32"/>
        <v>0.56999999999999995</v>
      </c>
      <c r="K214" s="40"/>
      <c r="L214" s="43">
        <v>30</v>
      </c>
      <c r="M214" s="44">
        <v>1.274E-2</v>
      </c>
      <c r="N214" s="43">
        <f t="shared" si="33"/>
        <v>0.38</v>
      </c>
    </row>
    <row r="215" spans="1:22" ht="15" customHeight="1" x14ac:dyDescent="0.2">
      <c r="A215" s="27" t="s">
        <v>141</v>
      </c>
      <c r="B215" s="37">
        <v>27.36</v>
      </c>
      <c r="C215" s="38"/>
      <c r="D215" s="39">
        <v>1</v>
      </c>
      <c r="E215" s="39">
        <v>1</v>
      </c>
      <c r="F215" s="37">
        <f t="shared" si="31"/>
        <v>27.36</v>
      </c>
      <c r="G215" s="40"/>
      <c r="H215" s="41">
        <v>25.78</v>
      </c>
      <c r="I215" s="42">
        <v>1</v>
      </c>
      <c r="J215" s="41">
        <f t="shared" si="32"/>
        <v>25.78</v>
      </c>
      <c r="K215" s="40"/>
      <c r="L215" s="43">
        <v>30.51</v>
      </c>
      <c r="M215" s="44">
        <v>1</v>
      </c>
      <c r="N215" s="43">
        <f t="shared" si="33"/>
        <v>30.51</v>
      </c>
    </row>
    <row r="216" spans="1:22" ht="15" customHeight="1" x14ac:dyDescent="0.2">
      <c r="A216" s="54" t="s">
        <v>142</v>
      </c>
      <c r="B216" s="55"/>
      <c r="C216" s="55"/>
      <c r="D216" s="55"/>
      <c r="E216" s="55"/>
      <c r="F216" s="56">
        <f>ROUND((SUM(F204:F215)-F215)*1.21+F215,2)</f>
        <v>641.57000000000005</v>
      </c>
      <c r="G216" s="55"/>
      <c r="H216" s="55"/>
      <c r="I216" s="55"/>
      <c r="J216" s="57">
        <f>ROUND((SUM(J204:J215)-J215)*1.21+J215,2)</f>
        <v>542.61</v>
      </c>
      <c r="K216" s="55"/>
      <c r="L216" s="55"/>
      <c r="M216" s="55"/>
      <c r="N216" s="58">
        <f>ROUND((SUM(N204:N215)-N215)*1.21+N215,2)</f>
        <v>669.06</v>
      </c>
    </row>
    <row r="217" spans="1:22" ht="15" customHeight="1" x14ac:dyDescent="0.2">
      <c r="A217" s="59" t="s">
        <v>143</v>
      </c>
      <c r="B217" s="129">
        <f>(SUM(F204:F212)-407.3317)/SUM(F204:F212)</f>
        <v>0.16804865096709626</v>
      </c>
      <c r="C217" s="129"/>
      <c r="D217" s="129"/>
      <c r="E217" s="129"/>
      <c r="F217" s="129"/>
      <c r="G217" s="60"/>
      <c r="H217" s="130"/>
      <c r="I217" s="130"/>
      <c r="J217" s="130"/>
      <c r="K217" s="60"/>
      <c r="L217" s="131" t="str">
        <f>IF(B217&gt;=0.3,"APROBAR",IF(B217&gt;=0.2,"REVISAR","RECHAZAR"))</f>
        <v>RECHAZAR</v>
      </c>
      <c r="M217" s="131"/>
      <c r="N217" s="131"/>
    </row>
    <row r="219" spans="1:22" ht="15" customHeight="1" x14ac:dyDescent="0.2">
      <c r="A219" s="7" t="s">
        <v>246</v>
      </c>
      <c r="B219" s="7"/>
      <c r="C219" s="7"/>
      <c r="D219" s="7"/>
      <c r="E219" s="7"/>
      <c r="F219" s="7"/>
      <c r="G219" s="7"/>
      <c r="H219" s="7"/>
      <c r="I219" s="6" t="s">
        <v>247</v>
      </c>
      <c r="J219" s="6"/>
      <c r="K219" s="6"/>
      <c r="L219" s="6"/>
      <c r="M219" s="6"/>
      <c r="N219" s="6"/>
      <c r="R219" s="5" t="s">
        <v>110</v>
      </c>
      <c r="S219" s="5"/>
      <c r="T219" s="5"/>
      <c r="U219" s="5"/>
      <c r="V219" s="5"/>
    </row>
    <row r="220" spans="1:22" ht="15" customHeight="1" x14ac:dyDescent="0.2">
      <c r="A220" s="32" t="s">
        <v>111</v>
      </c>
      <c r="B220" s="4" t="s">
        <v>112</v>
      </c>
      <c r="C220" s="4"/>
      <c r="D220" s="4"/>
      <c r="E220" s="4"/>
      <c r="F220" s="4"/>
      <c r="G220" s="33"/>
      <c r="H220" s="3" t="s">
        <v>248</v>
      </c>
      <c r="I220" s="3"/>
      <c r="J220" s="3"/>
      <c r="K220" s="33"/>
      <c r="L220" s="2" t="s">
        <v>249</v>
      </c>
      <c r="M220" s="2"/>
      <c r="N220" s="2"/>
      <c r="R220" s="1" t="s">
        <v>250</v>
      </c>
      <c r="S220" s="1"/>
      <c r="T220" s="1"/>
      <c r="U220" s="1"/>
      <c r="V220" s="1"/>
    </row>
    <row r="221" spans="1:22" ht="15" customHeight="1" x14ac:dyDescent="0.2">
      <c r="A221" s="33"/>
      <c r="B221" s="34" t="s">
        <v>116</v>
      </c>
      <c r="C221" s="34" t="s">
        <v>117</v>
      </c>
      <c r="D221" s="34" t="s">
        <v>118</v>
      </c>
      <c r="E221" s="34" t="s">
        <v>119</v>
      </c>
      <c r="F221" s="34" t="s">
        <v>120</v>
      </c>
      <c r="G221" s="33"/>
      <c r="H221" s="35" t="s">
        <v>116</v>
      </c>
      <c r="I221" s="35" t="s">
        <v>119</v>
      </c>
      <c r="J221" s="35" t="s">
        <v>120</v>
      </c>
      <c r="K221" s="33"/>
      <c r="L221" s="36" t="s">
        <v>116</v>
      </c>
      <c r="M221" s="36" t="s">
        <v>119</v>
      </c>
      <c r="N221" s="36" t="s">
        <v>120</v>
      </c>
      <c r="R221" s="124" t="s">
        <v>251</v>
      </c>
      <c r="S221" s="124"/>
      <c r="T221" s="124"/>
      <c r="U221" s="124"/>
      <c r="V221" s="124"/>
    </row>
    <row r="222" spans="1:22" ht="15" customHeight="1" x14ac:dyDescent="0.2">
      <c r="A222" s="27" t="s">
        <v>122</v>
      </c>
      <c r="B222" s="37">
        <v>9</v>
      </c>
      <c r="C222" s="38">
        <v>30</v>
      </c>
      <c r="D222" s="39">
        <v>1.7178</v>
      </c>
      <c r="E222" s="39">
        <v>2.5541999999999998</v>
      </c>
      <c r="F222" s="37">
        <f t="shared" ref="F222:F233" si="34">ROUND(B222*E222,2)</f>
        <v>22.99</v>
      </c>
      <c r="G222" s="40"/>
      <c r="H222" s="41">
        <v>9</v>
      </c>
      <c r="I222" s="42">
        <v>2.5541999999999998</v>
      </c>
      <c r="J222" s="41">
        <f t="shared" ref="J222:J233" si="35">ROUND(H222*I222,2)</f>
        <v>22.99</v>
      </c>
      <c r="K222" s="40"/>
      <c r="L222" s="43">
        <v>9</v>
      </c>
      <c r="M222" s="44">
        <v>2.5541999999999998</v>
      </c>
      <c r="N222" s="43">
        <f t="shared" ref="N222:N233" si="36">ROUND(L222*M222,2)</f>
        <v>22.99</v>
      </c>
      <c r="R222" s="125" t="s">
        <v>252</v>
      </c>
      <c r="S222" s="125"/>
      <c r="T222" s="125"/>
      <c r="U222" s="125"/>
      <c r="V222" s="125"/>
    </row>
    <row r="223" spans="1:22" ht="15" customHeight="1" x14ac:dyDescent="0.2">
      <c r="A223" s="27" t="s">
        <v>124</v>
      </c>
      <c r="B223" s="37">
        <v>10</v>
      </c>
      <c r="C223" s="38">
        <v>30</v>
      </c>
      <c r="D223" s="39">
        <v>1.06026</v>
      </c>
      <c r="E223" s="39">
        <v>1.3773299999999999</v>
      </c>
      <c r="F223" s="37">
        <f t="shared" si="34"/>
        <v>13.77</v>
      </c>
      <c r="G223" s="40"/>
      <c r="H223" s="41">
        <v>10</v>
      </c>
      <c r="I223" s="42">
        <v>1.3773299999999999</v>
      </c>
      <c r="J223" s="41">
        <f t="shared" si="35"/>
        <v>13.77</v>
      </c>
      <c r="K223" s="40"/>
      <c r="L223" s="43">
        <v>10</v>
      </c>
      <c r="M223" s="44">
        <v>1.3773299999999999</v>
      </c>
      <c r="N223" s="43">
        <f t="shared" si="36"/>
        <v>13.77</v>
      </c>
      <c r="R223" s="126" t="s">
        <v>253</v>
      </c>
      <c r="S223" s="126"/>
      <c r="T223" s="126"/>
      <c r="U223" s="126"/>
      <c r="V223" s="126"/>
    </row>
    <row r="224" spans="1:22" ht="15" customHeight="1" x14ac:dyDescent="0.2">
      <c r="A224" s="27" t="s">
        <v>126</v>
      </c>
      <c r="B224" s="37">
        <v>10</v>
      </c>
      <c r="C224" s="38">
        <v>30</v>
      </c>
      <c r="D224" s="39">
        <v>0.48492000000000002</v>
      </c>
      <c r="E224" s="39">
        <v>0.62868000000000002</v>
      </c>
      <c r="F224" s="37">
        <f t="shared" si="34"/>
        <v>6.29</v>
      </c>
      <c r="G224" s="40"/>
      <c r="H224" s="41">
        <v>10</v>
      </c>
      <c r="I224" s="42">
        <v>0.62868000000000002</v>
      </c>
      <c r="J224" s="41">
        <f t="shared" si="35"/>
        <v>6.29</v>
      </c>
      <c r="K224" s="40"/>
      <c r="L224" s="43">
        <v>10</v>
      </c>
      <c r="M224" s="44">
        <v>0.62868000000000002</v>
      </c>
      <c r="N224" s="43">
        <f t="shared" si="36"/>
        <v>6.29</v>
      </c>
      <c r="R224" s="126" t="s">
        <v>254</v>
      </c>
      <c r="S224" s="126"/>
      <c r="T224" s="126"/>
      <c r="U224" s="126"/>
      <c r="V224" s="126"/>
    </row>
    <row r="225" spans="1:22" ht="15" customHeight="1" x14ac:dyDescent="0.2">
      <c r="A225" s="27" t="s">
        <v>128</v>
      </c>
      <c r="B225" s="37">
        <v>10</v>
      </c>
      <c r="C225" s="38">
        <v>30</v>
      </c>
      <c r="D225" s="39">
        <v>0.40275</v>
      </c>
      <c r="E225" s="39">
        <v>0.55610000000000004</v>
      </c>
      <c r="F225" s="37">
        <f t="shared" si="34"/>
        <v>5.56</v>
      </c>
      <c r="G225" s="40"/>
      <c r="H225" s="41">
        <v>10</v>
      </c>
      <c r="I225" s="42">
        <v>0.55610000000000004</v>
      </c>
      <c r="J225" s="41">
        <f t="shared" si="35"/>
        <v>5.56</v>
      </c>
      <c r="K225" s="40"/>
      <c r="L225" s="43">
        <v>10</v>
      </c>
      <c r="M225" s="44">
        <v>0.55610000000000004</v>
      </c>
      <c r="N225" s="43">
        <f t="shared" si="36"/>
        <v>5.56</v>
      </c>
      <c r="R225" s="132" t="s">
        <v>162</v>
      </c>
      <c r="S225" s="132"/>
      <c r="T225" s="132"/>
      <c r="U225" s="132"/>
      <c r="V225" s="132"/>
    </row>
    <row r="226" spans="1:22" ht="15" customHeight="1" x14ac:dyDescent="0.2">
      <c r="A226" s="27" t="s">
        <v>130</v>
      </c>
      <c r="B226" s="37">
        <v>10</v>
      </c>
      <c r="C226" s="38">
        <v>30</v>
      </c>
      <c r="D226" s="39">
        <v>0.32055</v>
      </c>
      <c r="E226" s="39">
        <v>0.38679999999999998</v>
      </c>
      <c r="F226" s="37">
        <f t="shared" si="34"/>
        <v>3.87</v>
      </c>
      <c r="G226" s="40"/>
      <c r="H226" s="41">
        <v>10</v>
      </c>
      <c r="I226" s="42">
        <v>0.38679999999999998</v>
      </c>
      <c r="J226" s="41">
        <f t="shared" si="35"/>
        <v>3.87</v>
      </c>
      <c r="K226" s="40"/>
      <c r="L226" s="43">
        <v>10</v>
      </c>
      <c r="M226" s="44">
        <v>0.38679999999999998</v>
      </c>
      <c r="N226" s="43">
        <f t="shared" si="36"/>
        <v>3.87</v>
      </c>
      <c r="R226" s="128" t="s">
        <v>131</v>
      </c>
      <c r="S226" s="128"/>
      <c r="T226" s="128"/>
      <c r="U226" s="128"/>
      <c r="V226" s="128"/>
    </row>
    <row r="227" spans="1:22" ht="15" customHeight="1" x14ac:dyDescent="0.2">
      <c r="A227" s="27" t="s">
        <v>132</v>
      </c>
      <c r="B227" s="37">
        <v>23.1</v>
      </c>
      <c r="C227" s="38">
        <v>30</v>
      </c>
      <c r="D227" s="39">
        <v>0.23835000000000001</v>
      </c>
      <c r="E227" s="39">
        <v>0.26529999999999998</v>
      </c>
      <c r="F227" s="37">
        <f t="shared" si="34"/>
        <v>6.13</v>
      </c>
      <c r="G227" s="40"/>
      <c r="H227" s="41">
        <v>23.1</v>
      </c>
      <c r="I227" s="42">
        <v>0.26529999999999998</v>
      </c>
      <c r="J227" s="41">
        <f t="shared" si="35"/>
        <v>6.13</v>
      </c>
      <c r="K227" s="40"/>
      <c r="L227" s="43">
        <v>23.1</v>
      </c>
      <c r="M227" s="44">
        <v>0.26529999999999998</v>
      </c>
      <c r="N227" s="43">
        <f t="shared" si="36"/>
        <v>6.13</v>
      </c>
    </row>
    <row r="228" spans="1:22" ht="15" customHeight="1" x14ac:dyDescent="0.2">
      <c r="A228" s="45" t="s">
        <v>133</v>
      </c>
      <c r="B228" s="46">
        <f>IF($P$228="",134.003,ROUND(134.003*((91.4788/(1-$P$228))-58.61)/51.18,2))</f>
        <v>134.00299999999999</v>
      </c>
      <c r="C228" s="38"/>
      <c r="D228" s="47">
        <v>0.12989999999999999</v>
      </c>
      <c r="E228" s="39">
        <v>0.13900000000000001</v>
      </c>
      <c r="F228" s="37">
        <f t="shared" si="34"/>
        <v>18.63</v>
      </c>
      <c r="G228" s="40"/>
      <c r="H228" s="48">
        <v>615.96199999999999</v>
      </c>
      <c r="I228" s="42">
        <v>0.14899999999999999</v>
      </c>
      <c r="J228" s="41">
        <f t="shared" si="35"/>
        <v>91.78</v>
      </c>
      <c r="K228" s="40"/>
      <c r="L228" s="49">
        <v>343.86700000000002</v>
      </c>
      <c r="M228" s="44">
        <v>0.18290000000000001</v>
      </c>
      <c r="N228" s="43">
        <f t="shared" si="36"/>
        <v>62.89</v>
      </c>
      <c r="O228" s="50" t="s">
        <v>134</v>
      </c>
      <c r="P228" s="51"/>
    </row>
    <row r="229" spans="1:22" ht="15" customHeight="1" x14ac:dyDescent="0.2">
      <c r="A229" s="45" t="s">
        <v>135</v>
      </c>
      <c r="B229" s="46">
        <f>IF($P$228="",111.408,ROUND(111.408*((91.4788/(1-$P$228))-58.61)/51.18,2))</f>
        <v>111.408</v>
      </c>
      <c r="C229" s="38"/>
      <c r="D229" s="47">
        <v>0.12989999999999999</v>
      </c>
      <c r="E229" s="39">
        <v>0.13900000000000001</v>
      </c>
      <c r="F229" s="37">
        <f t="shared" si="34"/>
        <v>15.49</v>
      </c>
      <c r="G229" s="40"/>
      <c r="H229" s="48">
        <v>425.80399999999997</v>
      </c>
      <c r="I229" s="42">
        <v>0.13900000000000001</v>
      </c>
      <c r="J229" s="41">
        <f t="shared" si="35"/>
        <v>59.19</v>
      </c>
      <c r="K229" s="40"/>
      <c r="L229" s="49">
        <v>262.57400000000001</v>
      </c>
      <c r="M229" s="44">
        <v>0.1615</v>
      </c>
      <c r="N229" s="43">
        <f t="shared" si="36"/>
        <v>42.41</v>
      </c>
      <c r="O229" s="52" t="s">
        <v>136</v>
      </c>
    </row>
    <row r="230" spans="1:22" ht="15" customHeight="1" x14ac:dyDescent="0.2">
      <c r="A230" s="45" t="s">
        <v>137</v>
      </c>
      <c r="B230" s="46">
        <f>IF($P$228="",122.75,ROUND(122.75*((91.4788/(1-$P$228))-58.61)/51.18,2))</f>
        <v>122.75</v>
      </c>
      <c r="C230" s="38"/>
      <c r="D230" s="47">
        <v>0.12989999999999999</v>
      </c>
      <c r="E230" s="39">
        <v>0.13900000000000001</v>
      </c>
      <c r="F230" s="37">
        <f t="shared" si="34"/>
        <v>17.059999999999999</v>
      </c>
      <c r="G230" s="40"/>
      <c r="H230" s="48">
        <v>372.62</v>
      </c>
      <c r="I230" s="42">
        <v>0.13900000000000001</v>
      </c>
      <c r="J230" s="41">
        <f t="shared" si="35"/>
        <v>51.79</v>
      </c>
      <c r="K230" s="40"/>
      <c r="L230" s="49">
        <v>294.22500000000002</v>
      </c>
      <c r="M230" s="44">
        <v>0.156</v>
      </c>
      <c r="N230" s="43">
        <f t="shared" si="36"/>
        <v>45.9</v>
      </c>
      <c r="O230" s="52" t="s">
        <v>138</v>
      </c>
    </row>
    <row r="231" spans="1:22" ht="15" customHeight="1" x14ac:dyDescent="0.2">
      <c r="A231" s="27" t="s">
        <v>139</v>
      </c>
      <c r="B231" s="37">
        <v>1</v>
      </c>
      <c r="C231" s="53">
        <v>30</v>
      </c>
      <c r="D231" s="39">
        <v>17.614999999999998</v>
      </c>
      <c r="E231" s="39">
        <v>17.614999999999998</v>
      </c>
      <c r="F231" s="37">
        <f t="shared" si="34"/>
        <v>17.62</v>
      </c>
      <c r="G231" s="40"/>
      <c r="H231" s="41">
        <v>1</v>
      </c>
      <c r="I231" s="42">
        <v>17.614999999999998</v>
      </c>
      <c r="J231" s="41">
        <f t="shared" si="35"/>
        <v>17.62</v>
      </c>
      <c r="K231" s="40"/>
      <c r="L231" s="43">
        <v>1</v>
      </c>
      <c r="M231" s="44">
        <v>17.614999999999998</v>
      </c>
      <c r="N231" s="43">
        <f t="shared" si="36"/>
        <v>17.62</v>
      </c>
    </row>
    <row r="232" spans="1:22" ht="15" customHeight="1" x14ac:dyDescent="0.2">
      <c r="A232" s="27" t="s">
        <v>140</v>
      </c>
      <c r="B232" s="37">
        <v>30</v>
      </c>
      <c r="C232" s="53">
        <v>30</v>
      </c>
      <c r="D232" s="39">
        <v>1.274E-2</v>
      </c>
      <c r="E232" s="39">
        <v>1.274E-2</v>
      </c>
      <c r="F232" s="37">
        <f t="shared" si="34"/>
        <v>0.38</v>
      </c>
      <c r="G232" s="40"/>
      <c r="H232" s="41">
        <v>30</v>
      </c>
      <c r="I232" s="42">
        <v>1.274E-2</v>
      </c>
      <c r="J232" s="41">
        <f t="shared" si="35"/>
        <v>0.38</v>
      </c>
      <c r="K232" s="40"/>
      <c r="L232" s="43">
        <v>30</v>
      </c>
      <c r="M232" s="44">
        <v>6.2899999999999996E-3</v>
      </c>
      <c r="N232" s="43">
        <f t="shared" si="36"/>
        <v>0.19</v>
      </c>
    </row>
    <row r="233" spans="1:22" ht="15" customHeight="1" x14ac:dyDescent="0.2">
      <c r="A233" s="27" t="s">
        <v>141</v>
      </c>
      <c r="B233" s="37">
        <v>6.85</v>
      </c>
      <c r="C233" s="38"/>
      <c r="D233" s="39">
        <v>1</v>
      </c>
      <c r="E233" s="39">
        <v>1</v>
      </c>
      <c r="F233" s="37">
        <f t="shared" si="34"/>
        <v>6.85</v>
      </c>
      <c r="G233" s="40"/>
      <c r="H233" s="41">
        <v>15.15</v>
      </c>
      <c r="I233" s="42">
        <v>1</v>
      </c>
      <c r="J233" s="41">
        <f t="shared" si="35"/>
        <v>15.15</v>
      </c>
      <c r="K233" s="40"/>
      <c r="L233" s="43">
        <v>12.42</v>
      </c>
      <c r="M233" s="44">
        <v>1</v>
      </c>
      <c r="N233" s="43">
        <f t="shared" si="36"/>
        <v>12.42</v>
      </c>
    </row>
    <row r="234" spans="1:22" ht="15" customHeight="1" x14ac:dyDescent="0.2">
      <c r="A234" s="54" t="s">
        <v>142</v>
      </c>
      <c r="B234" s="55"/>
      <c r="C234" s="55"/>
      <c r="D234" s="55"/>
      <c r="E234" s="55"/>
      <c r="F234" s="56">
        <f>ROUND((SUM(F222:F233)-F233)*1.21+F233,2)</f>
        <v>161.47999999999999</v>
      </c>
      <c r="G234" s="55"/>
      <c r="H234" s="55"/>
      <c r="I234" s="55"/>
      <c r="J234" s="57">
        <f>ROUND((SUM(J222:J233)-J233)*1.21+J233,2)</f>
        <v>353.19</v>
      </c>
      <c r="K234" s="55"/>
      <c r="L234" s="55"/>
      <c r="M234" s="55"/>
      <c r="N234" s="58">
        <f>ROUND((SUM(N222:N233)-N233)*1.21+N233,2)</f>
        <v>287.83999999999997</v>
      </c>
    </row>
    <row r="235" spans="1:22" ht="15" customHeight="1" x14ac:dyDescent="0.2">
      <c r="A235" s="59" t="s">
        <v>143</v>
      </c>
      <c r="B235" s="129">
        <f>(SUM(F222:F230)-91.4788)/SUM(F222:F230)</f>
        <v>0.16678386009654783</v>
      </c>
      <c r="C235" s="129"/>
      <c r="D235" s="129"/>
      <c r="E235" s="129"/>
      <c r="F235" s="129"/>
      <c r="G235" s="60"/>
      <c r="H235" s="130"/>
      <c r="I235" s="130"/>
      <c r="J235" s="130"/>
      <c r="K235" s="60"/>
      <c r="L235" s="131" t="str">
        <f>IF(B235&gt;=0.3,"APROBAR",IF(B235&gt;=0.2,"REVISAR","RECHAZAR"))</f>
        <v>RECHAZAR</v>
      </c>
      <c r="M235" s="131"/>
      <c r="N235" s="131"/>
    </row>
    <row r="237" spans="1:22" ht="15" customHeight="1" x14ac:dyDescent="0.2">
      <c r="A237" s="7" t="s">
        <v>255</v>
      </c>
      <c r="B237" s="7"/>
      <c r="C237" s="7"/>
      <c r="D237" s="7"/>
      <c r="E237" s="7"/>
      <c r="F237" s="7"/>
      <c r="G237" s="7"/>
      <c r="H237" s="7"/>
      <c r="I237" s="6" t="s">
        <v>256</v>
      </c>
      <c r="J237" s="6"/>
      <c r="K237" s="6"/>
      <c r="L237" s="6"/>
      <c r="M237" s="6"/>
      <c r="N237" s="6"/>
      <c r="R237" s="5" t="s">
        <v>110</v>
      </c>
      <c r="S237" s="5"/>
      <c r="T237" s="5"/>
      <c r="U237" s="5"/>
      <c r="V237" s="5"/>
    </row>
    <row r="238" spans="1:22" ht="15" customHeight="1" x14ac:dyDescent="0.2">
      <c r="A238" s="32" t="s">
        <v>111</v>
      </c>
      <c r="B238" s="4" t="s">
        <v>112</v>
      </c>
      <c r="C238" s="4"/>
      <c r="D238" s="4"/>
      <c r="E238" s="4"/>
      <c r="F238" s="4"/>
      <c r="G238" s="33"/>
      <c r="H238" s="3" t="s">
        <v>257</v>
      </c>
      <c r="I238" s="3"/>
      <c r="J238" s="3"/>
      <c r="K238" s="33"/>
      <c r="L238" s="2" t="s">
        <v>258</v>
      </c>
      <c r="M238" s="2"/>
      <c r="N238" s="2"/>
      <c r="R238" s="1" t="s">
        <v>259</v>
      </c>
      <c r="S238" s="1"/>
      <c r="T238" s="1"/>
      <c r="U238" s="1"/>
      <c r="V238" s="1"/>
    </row>
    <row r="239" spans="1:22" ht="15" customHeight="1" x14ac:dyDescent="0.2">
      <c r="A239" s="33"/>
      <c r="B239" s="34" t="s">
        <v>116</v>
      </c>
      <c r="C239" s="34" t="s">
        <v>117</v>
      </c>
      <c r="D239" s="34" t="s">
        <v>118</v>
      </c>
      <c r="E239" s="34" t="s">
        <v>119</v>
      </c>
      <c r="F239" s="34" t="s">
        <v>120</v>
      </c>
      <c r="G239" s="33"/>
      <c r="H239" s="35" t="s">
        <v>116</v>
      </c>
      <c r="I239" s="35" t="s">
        <v>119</v>
      </c>
      <c r="J239" s="35" t="s">
        <v>120</v>
      </c>
      <c r="K239" s="33"/>
      <c r="L239" s="36" t="s">
        <v>116</v>
      </c>
      <c r="M239" s="36" t="s">
        <v>119</v>
      </c>
      <c r="N239" s="36" t="s">
        <v>120</v>
      </c>
      <c r="R239" s="124" t="s">
        <v>260</v>
      </c>
      <c r="S239" s="124"/>
      <c r="T239" s="124"/>
      <c r="U239" s="124"/>
      <c r="V239" s="124"/>
    </row>
    <row r="240" spans="1:22" ht="15" customHeight="1" x14ac:dyDescent="0.2">
      <c r="A240" s="27" t="s">
        <v>122</v>
      </c>
      <c r="B240" s="37">
        <v>4.2</v>
      </c>
      <c r="C240" s="38">
        <v>30</v>
      </c>
      <c r="D240" s="39">
        <v>1.7378400000000001</v>
      </c>
      <c r="E240" s="39">
        <v>2.5541999999999998</v>
      </c>
      <c r="F240" s="37">
        <f t="shared" ref="F240:F251" si="37">ROUND(B240*E240,2)</f>
        <v>10.73</v>
      </c>
      <c r="G240" s="40"/>
      <c r="H240" s="41">
        <v>4.2</v>
      </c>
      <c r="I240" s="42">
        <v>2.5541999999999998</v>
      </c>
      <c r="J240" s="41">
        <f t="shared" ref="J240:J251" si="38">ROUND(H240*I240,2)</f>
        <v>10.73</v>
      </c>
      <c r="K240" s="40"/>
      <c r="L240" s="43">
        <v>4.2</v>
      </c>
      <c r="M240" s="44">
        <v>2.5541999999999998</v>
      </c>
      <c r="N240" s="43">
        <f t="shared" ref="N240:N251" si="39">ROUND(L240*M240,2)</f>
        <v>10.73</v>
      </c>
      <c r="R240" s="125" t="s">
        <v>261</v>
      </c>
      <c r="S240" s="125"/>
      <c r="T240" s="125"/>
      <c r="U240" s="125"/>
      <c r="V240" s="125"/>
    </row>
    <row r="241" spans="1:22" ht="15" customHeight="1" x14ac:dyDescent="0.2">
      <c r="A241" s="27" t="s">
        <v>124</v>
      </c>
      <c r="B241" s="37">
        <v>4.2</v>
      </c>
      <c r="C241" s="38">
        <v>30</v>
      </c>
      <c r="D241" s="39">
        <v>0.93569999999999998</v>
      </c>
      <c r="E241" s="39">
        <v>1.3773299999999999</v>
      </c>
      <c r="F241" s="37">
        <f t="shared" si="37"/>
        <v>5.78</v>
      </c>
      <c r="G241" s="40"/>
      <c r="H241" s="41">
        <v>4.2</v>
      </c>
      <c r="I241" s="42">
        <v>1.3773299999999999</v>
      </c>
      <c r="J241" s="41">
        <f t="shared" si="38"/>
        <v>5.78</v>
      </c>
      <c r="K241" s="40"/>
      <c r="L241" s="43">
        <v>4.2</v>
      </c>
      <c r="M241" s="44">
        <v>1.3773299999999999</v>
      </c>
      <c r="N241" s="43">
        <f t="shared" si="39"/>
        <v>5.78</v>
      </c>
      <c r="R241" s="126" t="s">
        <v>262</v>
      </c>
      <c r="S241" s="126"/>
      <c r="T241" s="126"/>
      <c r="U241" s="126"/>
      <c r="V241" s="126"/>
    </row>
    <row r="242" spans="1:22" ht="15" customHeight="1" x14ac:dyDescent="0.2">
      <c r="A242" s="27" t="s">
        <v>126</v>
      </c>
      <c r="B242" s="37">
        <v>4.2</v>
      </c>
      <c r="C242" s="38">
        <v>30</v>
      </c>
      <c r="D242" s="39">
        <v>0.43136999999999998</v>
      </c>
      <c r="E242" s="39">
        <v>0.62868000000000002</v>
      </c>
      <c r="F242" s="37">
        <f t="shared" si="37"/>
        <v>2.64</v>
      </c>
      <c r="G242" s="40"/>
      <c r="H242" s="41">
        <v>4.2</v>
      </c>
      <c r="I242" s="42">
        <v>0.62868000000000002</v>
      </c>
      <c r="J242" s="41">
        <f t="shared" si="38"/>
        <v>2.64</v>
      </c>
      <c r="K242" s="40"/>
      <c r="L242" s="43">
        <v>4.2</v>
      </c>
      <c r="M242" s="44">
        <v>0.62868000000000002</v>
      </c>
      <c r="N242" s="43">
        <f t="shared" si="39"/>
        <v>2.64</v>
      </c>
      <c r="R242" s="126" t="s">
        <v>263</v>
      </c>
      <c r="S242" s="126"/>
      <c r="T242" s="126"/>
      <c r="U242" s="126"/>
      <c r="V242" s="126"/>
    </row>
    <row r="243" spans="1:22" ht="15" customHeight="1" x14ac:dyDescent="0.2">
      <c r="A243" s="27" t="s">
        <v>128</v>
      </c>
      <c r="B243" s="37">
        <v>4.2</v>
      </c>
      <c r="C243" s="38">
        <v>30</v>
      </c>
      <c r="D243" s="39">
        <v>0.38244</v>
      </c>
      <c r="E243" s="39">
        <v>0.55610000000000004</v>
      </c>
      <c r="F243" s="37">
        <f t="shared" si="37"/>
        <v>2.34</v>
      </c>
      <c r="G243" s="40"/>
      <c r="H243" s="41">
        <v>4.2</v>
      </c>
      <c r="I243" s="42">
        <v>0.55610000000000004</v>
      </c>
      <c r="J243" s="41">
        <f t="shared" si="38"/>
        <v>2.34</v>
      </c>
      <c r="K243" s="40"/>
      <c r="L243" s="43">
        <v>4.2</v>
      </c>
      <c r="M243" s="44">
        <v>0.55610000000000004</v>
      </c>
      <c r="N243" s="43">
        <f t="shared" si="39"/>
        <v>2.34</v>
      </c>
      <c r="R243" s="132" t="s">
        <v>162</v>
      </c>
      <c r="S243" s="132"/>
      <c r="T243" s="132"/>
      <c r="U243" s="132"/>
      <c r="V243" s="132"/>
    </row>
    <row r="244" spans="1:22" ht="15" customHeight="1" x14ac:dyDescent="0.2">
      <c r="A244" s="27" t="s">
        <v>130</v>
      </c>
      <c r="B244" s="37">
        <v>4.2</v>
      </c>
      <c r="C244" s="38">
        <v>30</v>
      </c>
      <c r="D244" s="39">
        <v>0.26963999999999999</v>
      </c>
      <c r="E244" s="39">
        <v>0.38679999999999998</v>
      </c>
      <c r="F244" s="37">
        <f t="shared" si="37"/>
        <v>1.62</v>
      </c>
      <c r="G244" s="40"/>
      <c r="H244" s="41">
        <v>4.2</v>
      </c>
      <c r="I244" s="42">
        <v>0.38679999999999998</v>
      </c>
      <c r="J244" s="41">
        <f t="shared" si="38"/>
        <v>1.62</v>
      </c>
      <c r="K244" s="40"/>
      <c r="L244" s="43">
        <v>4.2</v>
      </c>
      <c r="M244" s="44">
        <v>0.38679999999999998</v>
      </c>
      <c r="N244" s="43">
        <f t="shared" si="39"/>
        <v>1.62</v>
      </c>
      <c r="R244" s="128" t="s">
        <v>131</v>
      </c>
      <c r="S244" s="128"/>
      <c r="T244" s="128"/>
      <c r="U244" s="128"/>
      <c r="V244" s="128"/>
    </row>
    <row r="245" spans="1:22" ht="15" customHeight="1" x14ac:dyDescent="0.2">
      <c r="A245" s="27" t="s">
        <v>132</v>
      </c>
      <c r="B245" s="37">
        <v>16.5</v>
      </c>
      <c r="C245" s="38">
        <v>30</v>
      </c>
      <c r="D245" s="39">
        <v>0.18156</v>
      </c>
      <c r="E245" s="39">
        <v>0.26529999999999998</v>
      </c>
      <c r="F245" s="37">
        <f t="shared" si="37"/>
        <v>4.38</v>
      </c>
      <c r="G245" s="40"/>
      <c r="H245" s="41">
        <v>16.5</v>
      </c>
      <c r="I245" s="42">
        <v>0.26529999999999998</v>
      </c>
      <c r="J245" s="41">
        <f t="shared" si="38"/>
        <v>4.38</v>
      </c>
      <c r="K245" s="40"/>
      <c r="L245" s="43">
        <v>16.5</v>
      </c>
      <c r="M245" s="44">
        <v>0.26529999999999998</v>
      </c>
      <c r="N245" s="43">
        <f t="shared" si="39"/>
        <v>4.38</v>
      </c>
    </row>
    <row r="246" spans="1:22" ht="15" customHeight="1" x14ac:dyDescent="0.2">
      <c r="A246" s="45" t="s">
        <v>133</v>
      </c>
      <c r="B246" s="46">
        <f>IF($P$246="",129.089,ROUND(129.089*((51.1377/(1-$P$246))-27.49)/49.42,2))</f>
        <v>129.089</v>
      </c>
      <c r="C246" s="38"/>
      <c r="D246" s="47">
        <v>0.11719300000000001</v>
      </c>
      <c r="E246" s="39">
        <v>0.18290000000000001</v>
      </c>
      <c r="F246" s="37">
        <f t="shared" si="37"/>
        <v>23.61</v>
      </c>
      <c r="G246" s="40"/>
      <c r="H246" s="48">
        <v>110.489</v>
      </c>
      <c r="I246" s="42">
        <v>0.18290000000000001</v>
      </c>
      <c r="J246" s="41">
        <f t="shared" si="38"/>
        <v>20.21</v>
      </c>
      <c r="K246" s="40"/>
      <c r="L246" s="49">
        <v>75.415000000000006</v>
      </c>
      <c r="M246" s="44">
        <v>0.18290000000000001</v>
      </c>
      <c r="N246" s="43">
        <f t="shared" si="39"/>
        <v>13.79</v>
      </c>
      <c r="O246" s="50" t="s">
        <v>134</v>
      </c>
      <c r="P246" s="51"/>
    </row>
    <row r="247" spans="1:22" ht="15" customHeight="1" x14ac:dyDescent="0.2">
      <c r="A247" s="45" t="s">
        <v>135</v>
      </c>
      <c r="B247" s="46">
        <f>IF($P$246="",62.671,ROUND(62.671*((51.1377/(1-$P$246))-27.49)/49.42,2))</f>
        <v>62.670999999999999</v>
      </c>
      <c r="C247" s="38"/>
      <c r="D247" s="47">
        <v>0.110433</v>
      </c>
      <c r="E247" s="39">
        <v>0.1615</v>
      </c>
      <c r="F247" s="37">
        <f t="shared" si="37"/>
        <v>10.119999999999999</v>
      </c>
      <c r="G247" s="40"/>
      <c r="H247" s="48">
        <v>51.750999999999998</v>
      </c>
      <c r="I247" s="42">
        <v>0.1615</v>
      </c>
      <c r="J247" s="41">
        <f t="shared" si="38"/>
        <v>8.36</v>
      </c>
      <c r="K247" s="40"/>
      <c r="L247" s="49">
        <v>31.988</v>
      </c>
      <c r="M247" s="44">
        <v>0.1615</v>
      </c>
      <c r="N247" s="43">
        <f t="shared" si="39"/>
        <v>5.17</v>
      </c>
      <c r="O247" s="52" t="s">
        <v>136</v>
      </c>
    </row>
    <row r="248" spans="1:22" ht="15" customHeight="1" x14ac:dyDescent="0.2">
      <c r="A248" s="45" t="s">
        <v>137</v>
      </c>
      <c r="B248" s="46">
        <f>IF($P$246="",100.583,ROUND(100.583*((51.1377/(1-$P$246))-27.49)/49.42,2))</f>
        <v>100.583</v>
      </c>
      <c r="C248" s="38"/>
      <c r="D248" s="47">
        <v>0.10253900000000001</v>
      </c>
      <c r="E248" s="39">
        <v>0.156</v>
      </c>
      <c r="F248" s="37">
        <f t="shared" si="37"/>
        <v>15.69</v>
      </c>
      <c r="G248" s="40"/>
      <c r="H248" s="48">
        <v>63.628</v>
      </c>
      <c r="I248" s="42">
        <v>0.156</v>
      </c>
      <c r="J248" s="41">
        <f t="shared" si="38"/>
        <v>9.93</v>
      </c>
      <c r="K248" s="40"/>
      <c r="L248" s="49">
        <v>51.978999999999999</v>
      </c>
      <c r="M248" s="44">
        <v>0.156</v>
      </c>
      <c r="N248" s="43">
        <f t="shared" si="39"/>
        <v>8.11</v>
      </c>
      <c r="O248" s="52" t="s">
        <v>138</v>
      </c>
    </row>
    <row r="249" spans="1:22" ht="15" customHeight="1" x14ac:dyDescent="0.2">
      <c r="A249" s="27" t="s">
        <v>139</v>
      </c>
      <c r="B249" s="37">
        <v>1</v>
      </c>
      <c r="C249" s="53">
        <v>30</v>
      </c>
      <c r="D249" s="39">
        <v>17.614999999999998</v>
      </c>
      <c r="E249" s="39">
        <v>17.614999999999998</v>
      </c>
      <c r="F249" s="37">
        <f t="shared" si="37"/>
        <v>17.62</v>
      </c>
      <c r="G249" s="40"/>
      <c r="H249" s="41">
        <v>1</v>
      </c>
      <c r="I249" s="42">
        <v>17.614999999999998</v>
      </c>
      <c r="J249" s="41">
        <f t="shared" si="38"/>
        <v>17.62</v>
      </c>
      <c r="K249" s="40"/>
      <c r="L249" s="43">
        <v>1</v>
      </c>
      <c r="M249" s="44">
        <v>17.614999999999998</v>
      </c>
      <c r="N249" s="43">
        <f t="shared" si="39"/>
        <v>17.62</v>
      </c>
    </row>
    <row r="250" spans="1:22" ht="15" customHeight="1" x14ac:dyDescent="0.2">
      <c r="A250" s="27" t="s">
        <v>140</v>
      </c>
      <c r="B250" s="37">
        <v>30</v>
      </c>
      <c r="C250" s="53">
        <v>30</v>
      </c>
      <c r="D250" s="39">
        <v>1.274E-2</v>
      </c>
      <c r="E250" s="39">
        <v>1.274E-2</v>
      </c>
      <c r="F250" s="37">
        <f t="shared" si="37"/>
        <v>0.38</v>
      </c>
      <c r="G250" s="40"/>
      <c r="H250" s="41">
        <v>30</v>
      </c>
      <c r="I250" s="42">
        <v>1.274E-2</v>
      </c>
      <c r="J250" s="41">
        <f t="shared" si="38"/>
        <v>0.38</v>
      </c>
      <c r="K250" s="40"/>
      <c r="L250" s="43">
        <v>30</v>
      </c>
      <c r="M250" s="44">
        <v>6.2899999999999996E-3</v>
      </c>
      <c r="N250" s="43">
        <f t="shared" si="39"/>
        <v>0.19</v>
      </c>
    </row>
    <row r="251" spans="1:22" ht="15" customHeight="1" x14ac:dyDescent="0.2">
      <c r="A251" s="27" t="s">
        <v>141</v>
      </c>
      <c r="B251" s="37">
        <v>4.4800000000000004</v>
      </c>
      <c r="C251" s="38"/>
      <c r="D251" s="39">
        <v>1</v>
      </c>
      <c r="E251" s="39">
        <v>1</v>
      </c>
      <c r="F251" s="37">
        <f t="shared" si="37"/>
        <v>4.4800000000000004</v>
      </c>
      <c r="G251" s="40"/>
      <c r="H251" s="41">
        <v>3.8</v>
      </c>
      <c r="I251" s="42">
        <v>1</v>
      </c>
      <c r="J251" s="41">
        <f t="shared" si="38"/>
        <v>3.8</v>
      </c>
      <c r="K251" s="40"/>
      <c r="L251" s="43">
        <v>2.2400000000000002</v>
      </c>
      <c r="M251" s="44">
        <v>1</v>
      </c>
      <c r="N251" s="43">
        <f t="shared" si="39"/>
        <v>2.2400000000000002</v>
      </c>
    </row>
    <row r="252" spans="1:22" ht="15" customHeight="1" x14ac:dyDescent="0.2">
      <c r="A252" s="54" t="s">
        <v>142</v>
      </c>
      <c r="B252" s="55"/>
      <c r="C252" s="55"/>
      <c r="D252" s="55"/>
      <c r="E252" s="55"/>
      <c r="F252" s="56">
        <f>ROUND((SUM(F240:F251)-F251)*1.21+F251,2)</f>
        <v>119.32</v>
      </c>
      <c r="G252" s="55"/>
      <c r="H252" s="55"/>
      <c r="I252" s="55"/>
      <c r="J252" s="57">
        <f>ROUND((SUM(J240:J251)-J251)*1.21+J251,2)</f>
        <v>105.43</v>
      </c>
      <c r="K252" s="55"/>
      <c r="L252" s="55"/>
      <c r="M252" s="55"/>
      <c r="N252" s="58">
        <f>ROUND((SUM(N240:N251)-N251)*1.21+N251,2)</f>
        <v>89.81</v>
      </c>
    </row>
    <row r="253" spans="1:22" ht="15" customHeight="1" x14ac:dyDescent="0.2">
      <c r="A253" s="59" t="s">
        <v>143</v>
      </c>
      <c r="B253" s="129">
        <f>(SUM(F240:F248)-51.1377)/SUM(F240:F248)</f>
        <v>0.33509686646729936</v>
      </c>
      <c r="C253" s="129"/>
      <c r="D253" s="129"/>
      <c r="E253" s="129"/>
      <c r="F253" s="129"/>
      <c r="G253" s="60"/>
      <c r="H253" s="130"/>
      <c r="I253" s="130"/>
      <c r="J253" s="130"/>
      <c r="K253" s="60"/>
      <c r="L253" s="131" t="str">
        <f>IF(B253&gt;=0.3,"APROBAR",IF(B253&gt;=0.2,"REVISAR","RECHAZAR"))</f>
        <v>APROBAR</v>
      </c>
      <c r="M253" s="131"/>
      <c r="N253" s="131"/>
    </row>
    <row r="255" spans="1:22" ht="15" customHeight="1" x14ac:dyDescent="0.2">
      <c r="A255" s="7" t="s">
        <v>264</v>
      </c>
      <c r="B255" s="7"/>
      <c r="C255" s="7"/>
      <c r="D255" s="7"/>
      <c r="E255" s="7"/>
      <c r="F255" s="7"/>
      <c r="G255" s="7"/>
      <c r="H255" s="7"/>
      <c r="I255" s="6" t="s">
        <v>265</v>
      </c>
      <c r="J255" s="6"/>
      <c r="K255" s="6"/>
      <c r="L255" s="6"/>
      <c r="M255" s="6"/>
      <c r="N255" s="6"/>
      <c r="R255" s="5" t="s">
        <v>110</v>
      </c>
      <c r="S255" s="5"/>
      <c r="T255" s="5"/>
      <c r="U255" s="5"/>
      <c r="V255" s="5"/>
    </row>
    <row r="256" spans="1:22" ht="15" customHeight="1" x14ac:dyDescent="0.2">
      <c r="A256" s="32" t="s">
        <v>111</v>
      </c>
      <c r="B256" s="4" t="s">
        <v>112</v>
      </c>
      <c r="C256" s="4"/>
      <c r="D256" s="4"/>
      <c r="E256" s="4"/>
      <c r="F256" s="4"/>
      <c r="G256" s="33"/>
      <c r="H256" s="3" t="s">
        <v>266</v>
      </c>
      <c r="I256" s="3"/>
      <c r="J256" s="3"/>
      <c r="K256" s="33"/>
      <c r="L256" s="2" t="s">
        <v>267</v>
      </c>
      <c r="M256" s="2"/>
      <c r="N256" s="2"/>
      <c r="R256" s="1" t="s">
        <v>268</v>
      </c>
      <c r="S256" s="1"/>
      <c r="T256" s="1"/>
      <c r="U256" s="1"/>
      <c r="V256" s="1"/>
    </row>
    <row r="257" spans="1:22" ht="15" customHeight="1" x14ac:dyDescent="0.2">
      <c r="A257" s="33"/>
      <c r="B257" s="34" t="s">
        <v>116</v>
      </c>
      <c r="C257" s="34" t="s">
        <v>117</v>
      </c>
      <c r="D257" s="34" t="s">
        <v>118</v>
      </c>
      <c r="E257" s="34" t="s">
        <v>119</v>
      </c>
      <c r="F257" s="34" t="s">
        <v>120</v>
      </c>
      <c r="G257" s="33"/>
      <c r="H257" s="35" t="s">
        <v>116</v>
      </c>
      <c r="I257" s="35" t="s">
        <v>119</v>
      </c>
      <c r="J257" s="35" t="s">
        <v>120</v>
      </c>
      <c r="K257" s="33"/>
      <c r="L257" s="36" t="s">
        <v>116</v>
      </c>
      <c r="M257" s="36" t="s">
        <v>119</v>
      </c>
      <c r="N257" s="36" t="s">
        <v>120</v>
      </c>
      <c r="R257" s="124" t="s">
        <v>269</v>
      </c>
      <c r="S257" s="124"/>
      <c r="T257" s="124"/>
      <c r="U257" s="124"/>
      <c r="V257" s="124"/>
    </row>
    <row r="258" spans="1:22" ht="15" customHeight="1" x14ac:dyDescent="0.2">
      <c r="A258" s="27" t="s">
        <v>122</v>
      </c>
      <c r="B258" s="37">
        <v>22</v>
      </c>
      <c r="C258" s="38">
        <v>30</v>
      </c>
      <c r="D258" s="39">
        <v>1.7768699999999999</v>
      </c>
      <c r="E258" s="39">
        <v>2.5541999999999998</v>
      </c>
      <c r="F258" s="37">
        <f t="shared" ref="F258:F269" si="40">ROUND(B258*E258,2)</f>
        <v>56.19</v>
      </c>
      <c r="G258" s="40"/>
      <c r="H258" s="41">
        <v>22</v>
      </c>
      <c r="I258" s="42">
        <v>2.5541999999999998</v>
      </c>
      <c r="J258" s="41">
        <f t="shared" ref="J258:J269" si="41">ROUND(H258*I258,2)</f>
        <v>56.19</v>
      </c>
      <c r="K258" s="40"/>
      <c r="L258" s="43">
        <v>22</v>
      </c>
      <c r="M258" s="44">
        <v>2.5541999999999998</v>
      </c>
      <c r="N258" s="43">
        <f t="shared" ref="N258:N269" si="42">ROUND(L258*M258,2)</f>
        <v>56.19</v>
      </c>
      <c r="R258" s="125" t="s">
        <v>270</v>
      </c>
      <c r="S258" s="125"/>
      <c r="T258" s="125"/>
      <c r="U258" s="125"/>
      <c r="V258" s="125"/>
    </row>
    <row r="259" spans="1:22" ht="15" customHeight="1" x14ac:dyDescent="0.2">
      <c r="A259" s="27" t="s">
        <v>124</v>
      </c>
      <c r="B259" s="37">
        <v>25</v>
      </c>
      <c r="C259" s="38">
        <v>30</v>
      </c>
      <c r="D259" s="39">
        <v>1.0903499999999999</v>
      </c>
      <c r="E259" s="39">
        <v>1.3773</v>
      </c>
      <c r="F259" s="37">
        <f t="shared" si="40"/>
        <v>34.43</v>
      </c>
      <c r="G259" s="40"/>
      <c r="H259" s="41">
        <v>25</v>
      </c>
      <c r="I259" s="42">
        <v>1.3773</v>
      </c>
      <c r="J259" s="41">
        <f t="shared" si="41"/>
        <v>34.43</v>
      </c>
      <c r="K259" s="40"/>
      <c r="L259" s="43">
        <v>25</v>
      </c>
      <c r="M259" s="44">
        <v>1.3773</v>
      </c>
      <c r="N259" s="43">
        <f t="shared" si="42"/>
        <v>34.43</v>
      </c>
      <c r="R259" s="126" t="s">
        <v>271</v>
      </c>
      <c r="S259" s="126"/>
      <c r="T259" s="126"/>
      <c r="U259" s="126"/>
      <c r="V259" s="126"/>
    </row>
    <row r="260" spans="1:22" ht="15" customHeight="1" x14ac:dyDescent="0.2">
      <c r="A260" s="27" t="s">
        <v>126</v>
      </c>
      <c r="B260" s="37">
        <v>25</v>
      </c>
      <c r="C260" s="38">
        <v>30</v>
      </c>
      <c r="D260" s="39">
        <v>0.50292000000000003</v>
      </c>
      <c r="E260" s="39">
        <v>0.62860000000000005</v>
      </c>
      <c r="F260" s="37">
        <f t="shared" si="40"/>
        <v>15.72</v>
      </c>
      <c r="G260" s="40"/>
      <c r="H260" s="41">
        <v>25</v>
      </c>
      <c r="I260" s="42">
        <v>0.62860000000000005</v>
      </c>
      <c r="J260" s="41">
        <f t="shared" si="41"/>
        <v>15.72</v>
      </c>
      <c r="K260" s="40"/>
      <c r="L260" s="43">
        <v>25</v>
      </c>
      <c r="M260" s="44">
        <v>0.62860000000000005</v>
      </c>
      <c r="N260" s="43">
        <f t="shared" si="42"/>
        <v>15.72</v>
      </c>
      <c r="R260" s="126" t="s">
        <v>272</v>
      </c>
      <c r="S260" s="126"/>
      <c r="T260" s="126"/>
      <c r="U260" s="126"/>
      <c r="V260" s="126"/>
    </row>
    <row r="261" spans="1:22" ht="15" customHeight="1" x14ac:dyDescent="0.2">
      <c r="A261" s="27" t="s">
        <v>128</v>
      </c>
      <c r="B261" s="37">
        <v>25</v>
      </c>
      <c r="C261" s="38">
        <v>30</v>
      </c>
      <c r="D261" s="39">
        <v>0.41958000000000001</v>
      </c>
      <c r="E261" s="39">
        <v>0.55610000000000004</v>
      </c>
      <c r="F261" s="37">
        <f t="shared" si="40"/>
        <v>13.9</v>
      </c>
      <c r="G261" s="40"/>
      <c r="H261" s="41">
        <v>25</v>
      </c>
      <c r="I261" s="42">
        <v>0.55610000000000004</v>
      </c>
      <c r="J261" s="41">
        <f t="shared" si="41"/>
        <v>13.9</v>
      </c>
      <c r="K261" s="40"/>
      <c r="L261" s="43">
        <v>25</v>
      </c>
      <c r="M261" s="44">
        <v>0.55610000000000004</v>
      </c>
      <c r="N261" s="43">
        <f t="shared" si="42"/>
        <v>13.9</v>
      </c>
      <c r="R261" s="132" t="s">
        <v>162</v>
      </c>
      <c r="S261" s="132"/>
      <c r="T261" s="132"/>
      <c r="U261" s="132"/>
      <c r="V261" s="132"/>
    </row>
    <row r="262" spans="1:22" ht="15" customHeight="1" x14ac:dyDescent="0.2">
      <c r="A262" s="27" t="s">
        <v>130</v>
      </c>
      <c r="B262" s="37">
        <v>25</v>
      </c>
      <c r="C262" s="38">
        <v>30</v>
      </c>
      <c r="D262" s="39">
        <v>0.33582000000000001</v>
      </c>
      <c r="E262" s="39">
        <v>0.38679999999999998</v>
      </c>
      <c r="F262" s="37">
        <f t="shared" si="40"/>
        <v>9.67</v>
      </c>
      <c r="G262" s="40"/>
      <c r="H262" s="41">
        <v>25</v>
      </c>
      <c r="I262" s="42">
        <v>0.38679999999999998</v>
      </c>
      <c r="J262" s="41">
        <f t="shared" si="41"/>
        <v>9.67</v>
      </c>
      <c r="K262" s="40"/>
      <c r="L262" s="43">
        <v>25</v>
      </c>
      <c r="M262" s="44">
        <v>0.38679999999999998</v>
      </c>
      <c r="N262" s="43">
        <f t="shared" si="42"/>
        <v>9.67</v>
      </c>
      <c r="R262" s="128" t="s">
        <v>131</v>
      </c>
      <c r="S262" s="128"/>
      <c r="T262" s="128"/>
      <c r="U262" s="128"/>
      <c r="V262" s="128"/>
    </row>
    <row r="263" spans="1:22" ht="15" customHeight="1" x14ac:dyDescent="0.2">
      <c r="A263" s="27" t="s">
        <v>132</v>
      </c>
      <c r="B263" s="37">
        <v>25</v>
      </c>
      <c r="C263" s="38">
        <v>30</v>
      </c>
      <c r="D263" s="39">
        <v>0.24543000000000001</v>
      </c>
      <c r="E263" s="39">
        <v>0.26529999999999998</v>
      </c>
      <c r="F263" s="37">
        <f t="shared" si="40"/>
        <v>6.63</v>
      </c>
      <c r="G263" s="40"/>
      <c r="H263" s="41">
        <v>25</v>
      </c>
      <c r="I263" s="42">
        <v>0.26529999999999998</v>
      </c>
      <c r="J263" s="41">
        <f t="shared" si="41"/>
        <v>6.63</v>
      </c>
      <c r="K263" s="40"/>
      <c r="L263" s="43">
        <v>25</v>
      </c>
      <c r="M263" s="44">
        <v>0.26529999999999998</v>
      </c>
      <c r="N263" s="43">
        <f t="shared" si="42"/>
        <v>6.63</v>
      </c>
    </row>
    <row r="264" spans="1:22" ht="15" customHeight="1" x14ac:dyDescent="0.2">
      <c r="A264" s="45" t="s">
        <v>133</v>
      </c>
      <c r="B264" s="46">
        <f>IF($P$264="",1093.799,ROUND(1093.799*((307.9651/(1-$P$264))-136.54)/258.03,2))</f>
        <v>1093.799</v>
      </c>
      <c r="C264" s="38"/>
      <c r="D264" s="47">
        <v>0.10995000000000001</v>
      </c>
      <c r="E264" s="39">
        <v>0.15</v>
      </c>
      <c r="F264" s="37">
        <f t="shared" si="40"/>
        <v>164.07</v>
      </c>
      <c r="G264" s="40"/>
      <c r="H264" s="48">
        <v>919.72699999999998</v>
      </c>
      <c r="I264" s="42">
        <v>0.15</v>
      </c>
      <c r="J264" s="41">
        <f t="shared" si="41"/>
        <v>137.96</v>
      </c>
      <c r="K264" s="40"/>
      <c r="L264" s="49">
        <v>1000.922</v>
      </c>
      <c r="M264" s="44">
        <v>0.16</v>
      </c>
      <c r="N264" s="43">
        <f t="shared" si="42"/>
        <v>160.15</v>
      </c>
      <c r="O264" s="50" t="s">
        <v>134</v>
      </c>
      <c r="P264" s="51"/>
    </row>
    <row r="265" spans="1:22" ht="15" customHeight="1" x14ac:dyDescent="0.2">
      <c r="A265" s="45" t="s">
        <v>135</v>
      </c>
      <c r="B265" s="46">
        <f>IF($P$264="",517.466,ROUND(517.466*((307.9651/(1-$P$264))-136.54)/258.03,2))</f>
        <v>517.46600000000001</v>
      </c>
      <c r="C265" s="38"/>
      <c r="D265" s="47">
        <v>0.10995000000000001</v>
      </c>
      <c r="E265" s="39">
        <v>0.14899999999999999</v>
      </c>
      <c r="F265" s="37">
        <f t="shared" si="40"/>
        <v>77.099999999999994</v>
      </c>
      <c r="G265" s="40"/>
      <c r="H265" s="48">
        <v>547.79200000000003</v>
      </c>
      <c r="I265" s="42">
        <v>0.14899999999999999</v>
      </c>
      <c r="J265" s="41">
        <f t="shared" si="41"/>
        <v>81.62</v>
      </c>
      <c r="K265" s="40"/>
      <c r="L265" s="49">
        <v>741.43399999999997</v>
      </c>
      <c r="M265" s="44">
        <v>0.16</v>
      </c>
      <c r="N265" s="43">
        <f t="shared" si="42"/>
        <v>118.63</v>
      </c>
      <c r="O265" s="52" t="s">
        <v>136</v>
      </c>
    </row>
    <row r="266" spans="1:22" ht="15" customHeight="1" x14ac:dyDescent="0.2">
      <c r="A266" s="45" t="s">
        <v>137</v>
      </c>
      <c r="B266" s="46">
        <f>IF($P$264="",122.177,ROUND(122.177*((307.9651/(1-$P$264))-136.54)/258.03,2))</f>
        <v>122.17700000000001</v>
      </c>
      <c r="C266" s="38"/>
      <c r="D266" s="47">
        <v>0.21990000000000001</v>
      </c>
      <c r="E266" s="39">
        <v>0.13800000000000001</v>
      </c>
      <c r="F266" s="37">
        <f t="shared" si="40"/>
        <v>16.86</v>
      </c>
      <c r="G266" s="40"/>
      <c r="H266" s="48">
        <v>70.849000000000004</v>
      </c>
      <c r="I266" s="42">
        <v>0.13800000000000001</v>
      </c>
      <c r="J266" s="41">
        <f t="shared" si="41"/>
        <v>9.7799999999999994</v>
      </c>
      <c r="K266" s="40"/>
      <c r="L266" s="49">
        <v>165.18899999999999</v>
      </c>
      <c r="M266" s="44">
        <v>0.15</v>
      </c>
      <c r="N266" s="43">
        <f t="shared" si="42"/>
        <v>24.78</v>
      </c>
      <c r="O266" s="52" t="s">
        <v>138</v>
      </c>
    </row>
    <row r="267" spans="1:22" ht="15" customHeight="1" x14ac:dyDescent="0.2">
      <c r="A267" s="27" t="s">
        <v>139</v>
      </c>
      <c r="B267" s="37">
        <v>1</v>
      </c>
      <c r="C267" s="53">
        <v>30</v>
      </c>
      <c r="D267" s="39">
        <v>17.614999999999998</v>
      </c>
      <c r="E267" s="39">
        <v>17.614999999999998</v>
      </c>
      <c r="F267" s="37">
        <f t="shared" si="40"/>
        <v>17.62</v>
      </c>
      <c r="G267" s="40"/>
      <c r="H267" s="41">
        <v>1</v>
      </c>
      <c r="I267" s="42">
        <v>17.614999999999998</v>
      </c>
      <c r="J267" s="41">
        <f t="shared" si="41"/>
        <v>17.62</v>
      </c>
      <c r="K267" s="40"/>
      <c r="L267" s="43">
        <v>1</v>
      </c>
      <c r="M267" s="44">
        <v>17.614999999999998</v>
      </c>
      <c r="N267" s="43">
        <f t="shared" si="42"/>
        <v>17.62</v>
      </c>
    </row>
    <row r="268" spans="1:22" ht="15" customHeight="1" x14ac:dyDescent="0.2">
      <c r="A268" s="27" t="s">
        <v>140</v>
      </c>
      <c r="B268" s="37">
        <v>30</v>
      </c>
      <c r="C268" s="53">
        <v>30</v>
      </c>
      <c r="D268" s="39">
        <v>1.9120000000000002E-2</v>
      </c>
      <c r="E268" s="39">
        <v>1.9120000000000002E-2</v>
      </c>
      <c r="F268" s="37">
        <f t="shared" si="40"/>
        <v>0.56999999999999995</v>
      </c>
      <c r="G268" s="40"/>
      <c r="H268" s="41">
        <v>30</v>
      </c>
      <c r="I268" s="42">
        <v>1.9120000000000002E-2</v>
      </c>
      <c r="J268" s="41">
        <f t="shared" si="41"/>
        <v>0.56999999999999995</v>
      </c>
      <c r="K268" s="40"/>
      <c r="L268" s="43">
        <v>30</v>
      </c>
      <c r="M268" s="44">
        <v>6.2899999999999996E-3</v>
      </c>
      <c r="N268" s="43">
        <f t="shared" si="42"/>
        <v>0.19</v>
      </c>
    </row>
    <row r="269" spans="1:22" ht="15" customHeight="1" x14ac:dyDescent="0.2">
      <c r="A269" s="27" t="s">
        <v>141</v>
      </c>
      <c r="B269" s="37">
        <v>23.53</v>
      </c>
      <c r="C269" s="38"/>
      <c r="D269" s="39">
        <v>1</v>
      </c>
      <c r="E269" s="39">
        <v>1</v>
      </c>
      <c r="F269" s="37">
        <f t="shared" si="40"/>
        <v>23.53</v>
      </c>
      <c r="G269" s="40"/>
      <c r="H269" s="41">
        <v>22.64</v>
      </c>
      <c r="I269" s="42">
        <v>1</v>
      </c>
      <c r="J269" s="41">
        <f t="shared" si="41"/>
        <v>22.64</v>
      </c>
      <c r="K269" s="40"/>
      <c r="L269" s="43">
        <v>25.82</v>
      </c>
      <c r="M269" s="44">
        <v>1</v>
      </c>
      <c r="N269" s="43">
        <f t="shared" si="42"/>
        <v>25.82</v>
      </c>
    </row>
    <row r="270" spans="1:22" ht="15" customHeight="1" x14ac:dyDescent="0.2">
      <c r="A270" s="54" t="s">
        <v>142</v>
      </c>
      <c r="B270" s="55"/>
      <c r="C270" s="55"/>
      <c r="D270" s="55"/>
      <c r="E270" s="55"/>
      <c r="F270" s="56">
        <f>ROUND((SUM(F258:F269)-F269)*1.21+F269,2)</f>
        <v>522.97</v>
      </c>
      <c r="G270" s="55"/>
      <c r="H270" s="55"/>
      <c r="I270" s="55"/>
      <c r="J270" s="57">
        <f>ROUND((SUM(J258:J269)-J269)*1.21+J269,2)</f>
        <v>487.39</v>
      </c>
      <c r="K270" s="55"/>
      <c r="L270" s="55"/>
      <c r="M270" s="55"/>
      <c r="N270" s="58">
        <f>ROUND((SUM(N258:N269)-N269)*1.21+N269,2)</f>
        <v>579.89</v>
      </c>
    </row>
    <row r="271" spans="1:22" ht="15" customHeight="1" x14ac:dyDescent="0.2">
      <c r="A271" s="59" t="s">
        <v>143</v>
      </c>
      <c r="B271" s="129">
        <f>(SUM(F258:F266)-307.9651)/SUM(F258:F266)</f>
        <v>0.21949185188939868</v>
      </c>
      <c r="C271" s="129"/>
      <c r="D271" s="129"/>
      <c r="E271" s="129"/>
      <c r="F271" s="129"/>
      <c r="G271" s="60"/>
      <c r="H271" s="130"/>
      <c r="I271" s="130"/>
      <c r="J271" s="130"/>
      <c r="K271" s="60"/>
      <c r="L271" s="131" t="str">
        <f>IF(B271&gt;=0.3,"APROBAR",IF(B271&gt;=0.2,"REVISAR","RECHAZAR"))</f>
        <v>REVISAR</v>
      </c>
      <c r="M271" s="131"/>
      <c r="N271" s="131"/>
    </row>
    <row r="273" spans="1:22" ht="15" customHeight="1" x14ac:dyDescent="0.2">
      <c r="A273" s="7" t="s">
        <v>273</v>
      </c>
      <c r="B273" s="7"/>
      <c r="C273" s="7"/>
      <c r="D273" s="7"/>
      <c r="E273" s="7"/>
      <c r="F273" s="7"/>
      <c r="G273" s="7"/>
      <c r="H273" s="7"/>
      <c r="I273" s="6" t="s">
        <v>211</v>
      </c>
      <c r="J273" s="6"/>
      <c r="K273" s="6"/>
      <c r="L273" s="6"/>
      <c r="M273" s="6"/>
      <c r="N273" s="6"/>
      <c r="R273" s="5" t="s">
        <v>110</v>
      </c>
      <c r="S273" s="5"/>
      <c r="T273" s="5"/>
      <c r="U273" s="5"/>
      <c r="V273" s="5"/>
    </row>
    <row r="274" spans="1:22" ht="15" customHeight="1" x14ac:dyDescent="0.2">
      <c r="A274" s="32" t="s">
        <v>111</v>
      </c>
      <c r="B274" s="4" t="s">
        <v>112</v>
      </c>
      <c r="C274" s="4"/>
      <c r="D274" s="4"/>
      <c r="E274" s="4"/>
      <c r="F274" s="4"/>
      <c r="G274" s="33"/>
      <c r="H274" s="3" t="s">
        <v>212</v>
      </c>
      <c r="I274" s="3"/>
      <c r="J274" s="3"/>
      <c r="K274" s="33"/>
      <c r="L274" s="2" t="s">
        <v>213</v>
      </c>
      <c r="M274" s="2"/>
      <c r="N274" s="2"/>
      <c r="R274" s="1" t="s">
        <v>214</v>
      </c>
      <c r="S274" s="1"/>
      <c r="T274" s="1"/>
      <c r="U274" s="1"/>
      <c r="V274" s="1"/>
    </row>
    <row r="275" spans="1:22" ht="15" customHeight="1" x14ac:dyDescent="0.2">
      <c r="A275" s="33"/>
      <c r="B275" s="34" t="s">
        <v>116</v>
      </c>
      <c r="C275" s="34" t="s">
        <v>117</v>
      </c>
      <c r="D275" s="34" t="s">
        <v>118</v>
      </c>
      <c r="E275" s="34" t="s">
        <v>119</v>
      </c>
      <c r="F275" s="34" t="s">
        <v>120</v>
      </c>
      <c r="G275" s="33"/>
      <c r="H275" s="35" t="s">
        <v>116</v>
      </c>
      <c r="I275" s="35" t="s">
        <v>119</v>
      </c>
      <c r="J275" s="35" t="s">
        <v>120</v>
      </c>
      <c r="K275" s="33"/>
      <c r="L275" s="36" t="s">
        <v>116</v>
      </c>
      <c r="M275" s="36" t="s">
        <v>119</v>
      </c>
      <c r="N275" s="36" t="s">
        <v>120</v>
      </c>
      <c r="R275" s="124" t="s">
        <v>215</v>
      </c>
      <c r="S275" s="124"/>
      <c r="T275" s="124"/>
      <c r="U275" s="124"/>
      <c r="V275" s="124"/>
    </row>
    <row r="276" spans="1:22" ht="15" customHeight="1" x14ac:dyDescent="0.2">
      <c r="A276" s="27" t="s">
        <v>122</v>
      </c>
      <c r="B276" s="37">
        <v>2</v>
      </c>
      <c r="C276" s="38">
        <v>30</v>
      </c>
      <c r="D276" s="39">
        <v>1.7378400000000001</v>
      </c>
      <c r="E276" s="39">
        <v>2.5541999999999998</v>
      </c>
      <c r="F276" s="37">
        <f t="shared" ref="F276:F287" si="43">ROUND(B276*E276,2)</f>
        <v>5.1100000000000003</v>
      </c>
      <c r="G276" s="40"/>
      <c r="H276" s="41">
        <v>2</v>
      </c>
      <c r="I276" s="42">
        <v>2.5541999999999998</v>
      </c>
      <c r="J276" s="41">
        <f t="shared" ref="J276:J287" si="44">ROUND(H276*I276,2)</f>
        <v>5.1100000000000003</v>
      </c>
      <c r="K276" s="40"/>
      <c r="L276" s="43">
        <v>2</v>
      </c>
      <c r="M276" s="44">
        <v>2.5541999999999998</v>
      </c>
      <c r="N276" s="43">
        <f t="shared" ref="N276:N287" si="45">ROUND(L276*M276,2)</f>
        <v>5.1100000000000003</v>
      </c>
      <c r="R276" s="125" t="s">
        <v>216</v>
      </c>
      <c r="S276" s="125"/>
      <c r="T276" s="125"/>
      <c r="U276" s="125"/>
      <c r="V276" s="125"/>
    </row>
    <row r="277" spans="1:22" ht="15" customHeight="1" x14ac:dyDescent="0.2">
      <c r="A277" s="27" t="s">
        <v>124</v>
      </c>
      <c r="B277" s="37">
        <v>2</v>
      </c>
      <c r="C277" s="38">
        <v>30</v>
      </c>
      <c r="D277" s="39">
        <v>0.93569999999999998</v>
      </c>
      <c r="E277" s="39">
        <v>1.3773</v>
      </c>
      <c r="F277" s="37">
        <f t="shared" si="43"/>
        <v>2.75</v>
      </c>
      <c r="G277" s="40"/>
      <c r="H277" s="41">
        <v>2</v>
      </c>
      <c r="I277" s="42">
        <v>1.3773</v>
      </c>
      <c r="J277" s="41">
        <f t="shared" si="44"/>
        <v>2.75</v>
      </c>
      <c r="K277" s="40"/>
      <c r="L277" s="43">
        <v>2</v>
      </c>
      <c r="M277" s="44">
        <v>1.3773</v>
      </c>
      <c r="N277" s="43">
        <f t="shared" si="45"/>
        <v>2.75</v>
      </c>
      <c r="R277" s="126" t="s">
        <v>217</v>
      </c>
      <c r="S277" s="126"/>
      <c r="T277" s="126"/>
      <c r="U277" s="126"/>
      <c r="V277" s="126"/>
    </row>
    <row r="278" spans="1:22" ht="15" customHeight="1" x14ac:dyDescent="0.2">
      <c r="A278" s="27" t="s">
        <v>126</v>
      </c>
      <c r="B278" s="37">
        <v>2</v>
      </c>
      <c r="C278" s="38">
        <v>30</v>
      </c>
      <c r="D278" s="39">
        <v>0.43136999999999998</v>
      </c>
      <c r="E278" s="39">
        <v>0.62860000000000005</v>
      </c>
      <c r="F278" s="37">
        <f t="shared" si="43"/>
        <v>1.26</v>
      </c>
      <c r="G278" s="40"/>
      <c r="H278" s="41">
        <v>2</v>
      </c>
      <c r="I278" s="42">
        <v>0.62860000000000005</v>
      </c>
      <c r="J278" s="41">
        <f t="shared" si="44"/>
        <v>1.26</v>
      </c>
      <c r="K278" s="40"/>
      <c r="L278" s="43">
        <v>2</v>
      </c>
      <c r="M278" s="44">
        <v>0.62860000000000005</v>
      </c>
      <c r="N278" s="43">
        <f t="shared" si="45"/>
        <v>1.26</v>
      </c>
      <c r="R278" s="126" t="s">
        <v>218</v>
      </c>
      <c r="S278" s="126"/>
      <c r="T278" s="126"/>
      <c r="U278" s="126"/>
      <c r="V278" s="126"/>
    </row>
    <row r="279" spans="1:22" ht="15" customHeight="1" x14ac:dyDescent="0.2">
      <c r="A279" s="27" t="s">
        <v>128</v>
      </c>
      <c r="B279" s="37">
        <v>2</v>
      </c>
      <c r="C279" s="38">
        <v>30</v>
      </c>
      <c r="D279" s="39">
        <v>0.38244</v>
      </c>
      <c r="E279" s="39">
        <v>0.55610000000000004</v>
      </c>
      <c r="F279" s="37">
        <f t="shared" si="43"/>
        <v>1.1100000000000001</v>
      </c>
      <c r="G279" s="40"/>
      <c r="H279" s="41">
        <v>2</v>
      </c>
      <c r="I279" s="42">
        <v>0.55610000000000004</v>
      </c>
      <c r="J279" s="41">
        <f t="shared" si="44"/>
        <v>1.1100000000000001</v>
      </c>
      <c r="K279" s="40"/>
      <c r="L279" s="43">
        <v>2</v>
      </c>
      <c r="M279" s="44">
        <v>0.55610000000000004</v>
      </c>
      <c r="N279" s="43">
        <f t="shared" si="45"/>
        <v>1.1100000000000001</v>
      </c>
      <c r="R279" s="132" t="s">
        <v>162</v>
      </c>
      <c r="S279" s="132"/>
      <c r="T279" s="132"/>
      <c r="U279" s="132"/>
      <c r="V279" s="132"/>
    </row>
    <row r="280" spans="1:22" ht="15" customHeight="1" x14ac:dyDescent="0.2">
      <c r="A280" s="27" t="s">
        <v>130</v>
      </c>
      <c r="B280" s="37">
        <v>2</v>
      </c>
      <c r="C280" s="38">
        <v>30</v>
      </c>
      <c r="D280" s="39">
        <v>0.26963999999999999</v>
      </c>
      <c r="E280" s="39">
        <v>0.38679999999999998</v>
      </c>
      <c r="F280" s="37">
        <f t="shared" si="43"/>
        <v>0.77</v>
      </c>
      <c r="G280" s="40"/>
      <c r="H280" s="41">
        <v>2</v>
      </c>
      <c r="I280" s="42">
        <v>0.38679999999999998</v>
      </c>
      <c r="J280" s="41">
        <f t="shared" si="44"/>
        <v>0.77</v>
      </c>
      <c r="K280" s="40"/>
      <c r="L280" s="43">
        <v>2</v>
      </c>
      <c r="M280" s="44">
        <v>0.38679999999999998</v>
      </c>
      <c r="N280" s="43">
        <f t="shared" si="45"/>
        <v>0.77</v>
      </c>
      <c r="R280" s="128" t="s">
        <v>131</v>
      </c>
      <c r="S280" s="128"/>
      <c r="T280" s="128"/>
      <c r="U280" s="128"/>
      <c r="V280" s="128"/>
    </row>
    <row r="281" spans="1:22" ht="15" customHeight="1" x14ac:dyDescent="0.2">
      <c r="A281" s="27" t="s">
        <v>132</v>
      </c>
      <c r="B281" s="37">
        <v>15.01</v>
      </c>
      <c r="C281" s="38">
        <v>30</v>
      </c>
      <c r="D281" s="39">
        <v>0.18156</v>
      </c>
      <c r="E281" s="39">
        <v>0.26529999999999998</v>
      </c>
      <c r="F281" s="37">
        <f t="shared" si="43"/>
        <v>3.98</v>
      </c>
      <c r="G281" s="40"/>
      <c r="H281" s="41">
        <v>15.01</v>
      </c>
      <c r="I281" s="42">
        <v>0.26529999999999998</v>
      </c>
      <c r="J281" s="41">
        <f t="shared" si="44"/>
        <v>3.98</v>
      </c>
      <c r="K281" s="40"/>
      <c r="L281" s="43">
        <v>15.01</v>
      </c>
      <c r="M281" s="44">
        <v>0.26529999999999998</v>
      </c>
      <c r="N281" s="43">
        <f t="shared" si="45"/>
        <v>3.98</v>
      </c>
    </row>
    <row r="282" spans="1:22" ht="15" customHeight="1" x14ac:dyDescent="0.2">
      <c r="A282" s="45" t="s">
        <v>133</v>
      </c>
      <c r="B282" s="46">
        <f>IF($P$282="",29.98,ROUND(29.98*((28.2654/(1-$P$282))-14.98)/25.88,2))</f>
        <v>29.98</v>
      </c>
      <c r="C282" s="38"/>
      <c r="D282" s="47">
        <v>0.12833600000000001</v>
      </c>
      <c r="E282" s="39">
        <v>0.17299999999999999</v>
      </c>
      <c r="F282" s="37">
        <f t="shared" si="43"/>
        <v>5.19</v>
      </c>
      <c r="G282" s="40"/>
      <c r="H282" s="48">
        <v>70.043999999999997</v>
      </c>
      <c r="I282" s="42">
        <v>0.18804000000000001</v>
      </c>
      <c r="J282" s="41">
        <f t="shared" si="44"/>
        <v>13.17</v>
      </c>
      <c r="K282" s="40"/>
      <c r="L282" s="49">
        <v>4.7160000000000002</v>
      </c>
      <c r="M282" s="44">
        <v>0.17299999999999999</v>
      </c>
      <c r="N282" s="43">
        <f t="shared" si="45"/>
        <v>0.82</v>
      </c>
      <c r="O282" s="50" t="s">
        <v>134</v>
      </c>
      <c r="P282" s="51"/>
    </row>
    <row r="283" spans="1:22" ht="15" customHeight="1" x14ac:dyDescent="0.2">
      <c r="A283" s="45" t="s">
        <v>135</v>
      </c>
      <c r="B283" s="46">
        <f>IF($P$282="",14.188,ROUND(14.188*((28.2654/(1-$P$282))-14.98)/25.88,2))</f>
        <v>14.188000000000001</v>
      </c>
      <c r="C283" s="38"/>
      <c r="D283" s="47">
        <v>0.121544</v>
      </c>
      <c r="E283" s="39">
        <v>0.17069999999999999</v>
      </c>
      <c r="F283" s="37">
        <f t="shared" si="43"/>
        <v>2.42</v>
      </c>
      <c r="G283" s="40"/>
      <c r="H283" s="48">
        <v>52.462000000000003</v>
      </c>
      <c r="I283" s="42">
        <v>0.17505999999999999</v>
      </c>
      <c r="J283" s="41">
        <f t="shared" si="44"/>
        <v>9.18</v>
      </c>
      <c r="K283" s="40"/>
      <c r="L283" s="49">
        <v>2.67</v>
      </c>
      <c r="M283" s="44">
        <v>0.17069999999999999</v>
      </c>
      <c r="N283" s="43">
        <f t="shared" si="45"/>
        <v>0.46</v>
      </c>
      <c r="O283" s="52" t="s">
        <v>136</v>
      </c>
    </row>
    <row r="284" spans="1:22" ht="15" customHeight="1" x14ac:dyDescent="0.2">
      <c r="A284" s="45" t="s">
        <v>137</v>
      </c>
      <c r="B284" s="46">
        <f>IF($P$282="",109.481,ROUND(109.481*((28.2654/(1-$P$282))-14.98)/25.88,2))</f>
        <v>109.48099999999999</v>
      </c>
      <c r="C284" s="38"/>
      <c r="D284" s="47">
        <v>0.11380800000000001</v>
      </c>
      <c r="E284" s="39">
        <v>0.16689999999999999</v>
      </c>
      <c r="F284" s="37">
        <f t="shared" si="43"/>
        <v>18.27</v>
      </c>
      <c r="G284" s="40"/>
      <c r="H284" s="48">
        <v>168.16300000000001</v>
      </c>
      <c r="I284" s="42">
        <v>0.16689999999999999</v>
      </c>
      <c r="J284" s="41">
        <f t="shared" si="44"/>
        <v>28.07</v>
      </c>
      <c r="K284" s="40"/>
      <c r="L284" s="49">
        <v>21.757999999999999</v>
      </c>
      <c r="M284" s="44">
        <v>0.16689999999999999</v>
      </c>
      <c r="N284" s="43">
        <f t="shared" si="45"/>
        <v>3.63</v>
      </c>
      <c r="O284" s="52" t="s">
        <v>138</v>
      </c>
    </row>
    <row r="285" spans="1:22" ht="15" customHeight="1" x14ac:dyDescent="0.2">
      <c r="A285" s="27" t="s">
        <v>139</v>
      </c>
      <c r="B285" s="37">
        <v>1</v>
      </c>
      <c r="C285" s="53">
        <v>30</v>
      </c>
      <c r="D285" s="39">
        <v>17.614999999999998</v>
      </c>
      <c r="E285" s="39">
        <v>17.614999999999998</v>
      </c>
      <c r="F285" s="37">
        <f t="shared" si="43"/>
        <v>17.62</v>
      </c>
      <c r="G285" s="40"/>
      <c r="H285" s="41">
        <v>1</v>
      </c>
      <c r="I285" s="42">
        <v>17.614999999999998</v>
      </c>
      <c r="J285" s="41">
        <f t="shared" si="44"/>
        <v>17.62</v>
      </c>
      <c r="K285" s="40"/>
      <c r="L285" s="43">
        <v>1</v>
      </c>
      <c r="M285" s="44">
        <v>17.614999999999998</v>
      </c>
      <c r="N285" s="43">
        <f t="shared" si="45"/>
        <v>17.62</v>
      </c>
    </row>
    <row r="286" spans="1:22" ht="15" customHeight="1" x14ac:dyDescent="0.2">
      <c r="A286" s="27" t="s">
        <v>140</v>
      </c>
      <c r="B286" s="37">
        <v>30</v>
      </c>
      <c r="C286" s="53">
        <v>30</v>
      </c>
      <c r="D286" s="39">
        <v>1.274E-2</v>
      </c>
      <c r="E286" s="39">
        <v>1.274E-2</v>
      </c>
      <c r="F286" s="37">
        <f t="shared" si="43"/>
        <v>0.38</v>
      </c>
      <c r="G286" s="40"/>
      <c r="H286" s="41">
        <v>30</v>
      </c>
      <c r="I286" s="42">
        <v>1.274E-2</v>
      </c>
      <c r="J286" s="41">
        <f t="shared" si="44"/>
        <v>0.38</v>
      </c>
      <c r="K286" s="40"/>
      <c r="L286" s="43">
        <v>30</v>
      </c>
      <c r="M286" s="44">
        <v>6.2899999999999996E-3</v>
      </c>
      <c r="N286" s="43">
        <f t="shared" si="45"/>
        <v>0.19</v>
      </c>
    </row>
    <row r="287" spans="1:22" ht="15" customHeight="1" x14ac:dyDescent="0.2">
      <c r="A287" s="27" t="s">
        <v>141</v>
      </c>
      <c r="B287" s="37">
        <v>0.78</v>
      </c>
      <c r="C287" s="38"/>
      <c r="D287" s="39">
        <v>1</v>
      </c>
      <c r="E287" s="39">
        <v>1</v>
      </c>
      <c r="F287" s="37">
        <f t="shared" si="43"/>
        <v>0.78</v>
      </c>
      <c r="G287" s="40"/>
      <c r="H287" s="41">
        <v>2.5299999999999998</v>
      </c>
      <c r="I287" s="42">
        <v>1</v>
      </c>
      <c r="J287" s="41">
        <f t="shared" si="44"/>
        <v>2.5299999999999998</v>
      </c>
      <c r="K287" s="40"/>
      <c r="L287" s="43">
        <v>0.78</v>
      </c>
      <c r="M287" s="44">
        <v>1</v>
      </c>
      <c r="N287" s="43">
        <f t="shared" si="45"/>
        <v>0.78</v>
      </c>
    </row>
    <row r="288" spans="1:22" ht="15" customHeight="1" x14ac:dyDescent="0.2">
      <c r="A288" s="54" t="s">
        <v>142</v>
      </c>
      <c r="B288" s="55"/>
      <c r="C288" s="55"/>
      <c r="D288" s="55"/>
      <c r="E288" s="55"/>
      <c r="F288" s="56">
        <f>ROUND((SUM(F276:F287)-F287)*1.21+F287,2)</f>
        <v>72</v>
      </c>
      <c r="G288" s="55"/>
      <c r="H288" s="55"/>
      <c r="I288" s="55"/>
      <c r="J288" s="57">
        <f>ROUND((SUM(J276:J287)-J287)*1.21+J287,2)</f>
        <v>103.44</v>
      </c>
      <c r="K288" s="55"/>
      <c r="L288" s="55"/>
      <c r="M288" s="55"/>
      <c r="N288" s="58">
        <f>ROUND((SUM(N276:N287)-N287)*1.21+N287,2)</f>
        <v>46.4</v>
      </c>
    </row>
    <row r="289" spans="1:22" ht="15" customHeight="1" x14ac:dyDescent="0.2">
      <c r="A289" s="59" t="s">
        <v>143</v>
      </c>
      <c r="B289" s="129">
        <f>(SUM(F276:F284)-28.2654)/SUM(F276:F284)</f>
        <v>0.30823788546255504</v>
      </c>
      <c r="C289" s="129"/>
      <c r="D289" s="129"/>
      <c r="E289" s="129"/>
      <c r="F289" s="129"/>
      <c r="G289" s="60"/>
      <c r="H289" s="130"/>
      <c r="I289" s="130"/>
      <c r="J289" s="130"/>
      <c r="K289" s="60"/>
      <c r="L289" s="131" t="str">
        <f>IF(B289&gt;=0.3,"APROBAR",IF(B289&gt;=0.2,"REVISAR","RECHAZAR"))</f>
        <v>APROBAR</v>
      </c>
      <c r="M289" s="131"/>
      <c r="N289" s="131"/>
    </row>
    <row r="291" spans="1:22" ht="15" customHeight="1" x14ac:dyDescent="0.2">
      <c r="A291" s="7" t="s">
        <v>274</v>
      </c>
      <c r="B291" s="7"/>
      <c r="C291" s="7"/>
      <c r="D291" s="7"/>
      <c r="E291" s="7"/>
      <c r="F291" s="7"/>
      <c r="G291" s="7"/>
      <c r="H291" s="7"/>
      <c r="I291" s="6" t="s">
        <v>275</v>
      </c>
      <c r="J291" s="6"/>
      <c r="K291" s="6"/>
      <c r="L291" s="6"/>
      <c r="M291" s="6"/>
      <c r="N291" s="6"/>
      <c r="R291" s="5" t="s">
        <v>110</v>
      </c>
      <c r="S291" s="5"/>
      <c r="T291" s="5"/>
      <c r="U291" s="5"/>
      <c r="V291" s="5"/>
    </row>
    <row r="292" spans="1:22" ht="15" customHeight="1" x14ac:dyDescent="0.2">
      <c r="A292" s="32" t="s">
        <v>111</v>
      </c>
      <c r="B292" s="4" t="s">
        <v>112</v>
      </c>
      <c r="C292" s="4"/>
      <c r="D292" s="4"/>
      <c r="E292" s="4"/>
      <c r="F292" s="4"/>
      <c r="G292" s="33"/>
      <c r="H292" s="3" t="s">
        <v>276</v>
      </c>
      <c r="I292" s="3"/>
      <c r="J292" s="3"/>
      <c r="K292" s="33"/>
      <c r="L292" s="2" t="s">
        <v>277</v>
      </c>
      <c r="M292" s="2"/>
      <c r="N292" s="2"/>
      <c r="R292" s="1" t="s">
        <v>278</v>
      </c>
      <c r="S292" s="1"/>
      <c r="T292" s="1"/>
      <c r="U292" s="1"/>
      <c r="V292" s="1"/>
    </row>
    <row r="293" spans="1:22" ht="15" customHeight="1" x14ac:dyDescent="0.2">
      <c r="A293" s="33"/>
      <c r="B293" s="34" t="s">
        <v>116</v>
      </c>
      <c r="C293" s="34" t="s">
        <v>117</v>
      </c>
      <c r="D293" s="34" t="s">
        <v>118</v>
      </c>
      <c r="E293" s="34" t="s">
        <v>119</v>
      </c>
      <c r="F293" s="34" t="s">
        <v>120</v>
      </c>
      <c r="G293" s="33"/>
      <c r="H293" s="35" t="s">
        <v>116</v>
      </c>
      <c r="I293" s="35" t="s">
        <v>119</v>
      </c>
      <c r="J293" s="35" t="s">
        <v>120</v>
      </c>
      <c r="K293" s="33"/>
      <c r="L293" s="36" t="s">
        <v>116</v>
      </c>
      <c r="M293" s="36" t="s">
        <v>119</v>
      </c>
      <c r="N293" s="36" t="s">
        <v>120</v>
      </c>
      <c r="R293" s="124" t="s">
        <v>279</v>
      </c>
      <c r="S293" s="124"/>
      <c r="T293" s="124"/>
      <c r="U293" s="124"/>
      <c r="V293" s="124"/>
    </row>
    <row r="294" spans="1:22" ht="15" customHeight="1" x14ac:dyDescent="0.2">
      <c r="A294" s="27" t="s">
        <v>122</v>
      </c>
      <c r="B294" s="37">
        <v>15.1</v>
      </c>
      <c r="C294" s="38">
        <v>30</v>
      </c>
      <c r="D294" s="39">
        <v>1.7378400000000001</v>
      </c>
      <c r="E294" s="39">
        <v>2.5541999999999998</v>
      </c>
      <c r="F294" s="37">
        <f t="shared" ref="F294:F305" si="46">ROUND(B294*E294,2)</f>
        <v>38.57</v>
      </c>
      <c r="G294" s="40"/>
      <c r="H294" s="41">
        <v>15.1</v>
      </c>
      <c r="I294" s="42">
        <v>2.5541999999999998</v>
      </c>
      <c r="J294" s="41">
        <f t="shared" ref="J294:J305" si="47">ROUND(H294*I294,2)</f>
        <v>38.57</v>
      </c>
      <c r="K294" s="40"/>
      <c r="L294" s="43">
        <v>15.1</v>
      </c>
      <c r="M294" s="44">
        <v>2.5541999999999998</v>
      </c>
      <c r="N294" s="43">
        <f t="shared" ref="N294:N305" si="48">ROUND(L294*M294,2)</f>
        <v>38.57</v>
      </c>
      <c r="R294" s="125" t="s">
        <v>280</v>
      </c>
      <c r="S294" s="125"/>
      <c r="T294" s="125"/>
      <c r="U294" s="125"/>
      <c r="V294" s="125"/>
    </row>
    <row r="295" spans="1:22" ht="15" customHeight="1" x14ac:dyDescent="0.2">
      <c r="A295" s="27" t="s">
        <v>124</v>
      </c>
      <c r="B295" s="37">
        <v>15.1</v>
      </c>
      <c r="C295" s="38">
        <v>30</v>
      </c>
      <c r="D295" s="39">
        <v>0.93569999999999998</v>
      </c>
      <c r="E295" s="39">
        <v>1.3773299999999999</v>
      </c>
      <c r="F295" s="37">
        <f t="shared" si="46"/>
        <v>20.8</v>
      </c>
      <c r="G295" s="40"/>
      <c r="H295" s="41">
        <v>15.1</v>
      </c>
      <c r="I295" s="42">
        <v>1.3773299999999999</v>
      </c>
      <c r="J295" s="41">
        <f t="shared" si="47"/>
        <v>20.8</v>
      </c>
      <c r="K295" s="40"/>
      <c r="L295" s="43">
        <v>15.1</v>
      </c>
      <c r="M295" s="44">
        <v>1.3773299999999999</v>
      </c>
      <c r="N295" s="43">
        <f t="shared" si="48"/>
        <v>20.8</v>
      </c>
      <c r="R295" s="126" t="s">
        <v>281</v>
      </c>
      <c r="S295" s="126"/>
      <c r="T295" s="126"/>
      <c r="U295" s="126"/>
      <c r="V295" s="126"/>
    </row>
    <row r="296" spans="1:22" ht="15" customHeight="1" x14ac:dyDescent="0.2">
      <c r="A296" s="27" t="s">
        <v>126</v>
      </c>
      <c r="B296" s="37">
        <v>15.1</v>
      </c>
      <c r="C296" s="38">
        <v>30</v>
      </c>
      <c r="D296" s="39">
        <v>0.43136999999999998</v>
      </c>
      <c r="E296" s="39">
        <v>0.62868000000000002</v>
      </c>
      <c r="F296" s="37">
        <f t="shared" si="46"/>
        <v>9.49</v>
      </c>
      <c r="G296" s="40"/>
      <c r="H296" s="41">
        <v>15.1</v>
      </c>
      <c r="I296" s="42">
        <v>0.62868000000000002</v>
      </c>
      <c r="J296" s="41">
        <f t="shared" si="47"/>
        <v>9.49</v>
      </c>
      <c r="K296" s="40"/>
      <c r="L296" s="43">
        <v>15.1</v>
      </c>
      <c r="M296" s="44">
        <v>0.62868000000000002</v>
      </c>
      <c r="N296" s="43">
        <f t="shared" si="48"/>
        <v>9.49</v>
      </c>
      <c r="R296" s="126" t="s">
        <v>282</v>
      </c>
      <c r="S296" s="126"/>
      <c r="T296" s="126"/>
      <c r="U296" s="126"/>
      <c r="V296" s="126"/>
    </row>
    <row r="297" spans="1:22" ht="15" customHeight="1" x14ac:dyDescent="0.2">
      <c r="A297" s="27" t="s">
        <v>128</v>
      </c>
      <c r="B297" s="37">
        <v>15.1</v>
      </c>
      <c r="C297" s="38">
        <v>30</v>
      </c>
      <c r="D297" s="39">
        <v>0.38244</v>
      </c>
      <c r="E297" s="39">
        <v>0.55610000000000004</v>
      </c>
      <c r="F297" s="37">
        <f t="shared" si="46"/>
        <v>8.4</v>
      </c>
      <c r="G297" s="40"/>
      <c r="H297" s="41">
        <v>15.1</v>
      </c>
      <c r="I297" s="42">
        <v>0.55610000000000004</v>
      </c>
      <c r="J297" s="41">
        <f t="shared" si="47"/>
        <v>8.4</v>
      </c>
      <c r="K297" s="40"/>
      <c r="L297" s="43">
        <v>15.1</v>
      </c>
      <c r="M297" s="44">
        <v>0.55610000000000004</v>
      </c>
      <c r="N297" s="43">
        <f t="shared" si="48"/>
        <v>8.4</v>
      </c>
      <c r="R297" s="132" t="s">
        <v>162</v>
      </c>
      <c r="S297" s="132"/>
      <c r="T297" s="132"/>
      <c r="U297" s="132"/>
      <c r="V297" s="132"/>
    </row>
    <row r="298" spans="1:22" ht="15" customHeight="1" x14ac:dyDescent="0.2">
      <c r="A298" s="27" t="s">
        <v>130</v>
      </c>
      <c r="B298" s="37">
        <v>15.1</v>
      </c>
      <c r="C298" s="38">
        <v>30</v>
      </c>
      <c r="D298" s="39">
        <v>0.26963999999999999</v>
      </c>
      <c r="E298" s="39">
        <v>0.38679999999999998</v>
      </c>
      <c r="F298" s="37">
        <f t="shared" si="46"/>
        <v>5.84</v>
      </c>
      <c r="G298" s="40"/>
      <c r="H298" s="41">
        <v>15.1</v>
      </c>
      <c r="I298" s="42">
        <v>0.38679999999999998</v>
      </c>
      <c r="J298" s="41">
        <f t="shared" si="47"/>
        <v>5.84</v>
      </c>
      <c r="K298" s="40"/>
      <c r="L298" s="43">
        <v>15.1</v>
      </c>
      <c r="M298" s="44">
        <v>0.38679999999999998</v>
      </c>
      <c r="N298" s="43">
        <f t="shared" si="48"/>
        <v>5.84</v>
      </c>
      <c r="R298" s="128" t="s">
        <v>131</v>
      </c>
      <c r="S298" s="128"/>
      <c r="T298" s="128"/>
      <c r="U298" s="128"/>
      <c r="V298" s="128"/>
    </row>
    <row r="299" spans="1:22" ht="15" customHeight="1" x14ac:dyDescent="0.2">
      <c r="A299" s="27" t="s">
        <v>132</v>
      </c>
      <c r="B299" s="37">
        <v>15.1</v>
      </c>
      <c r="C299" s="38">
        <v>30</v>
      </c>
      <c r="D299" s="39">
        <v>0.18156</v>
      </c>
      <c r="E299" s="39">
        <v>0.26529999999999998</v>
      </c>
      <c r="F299" s="37">
        <f t="shared" si="46"/>
        <v>4.01</v>
      </c>
      <c r="G299" s="40"/>
      <c r="H299" s="41">
        <v>15.1</v>
      </c>
      <c r="I299" s="42">
        <v>0.26529999999999998</v>
      </c>
      <c r="J299" s="41">
        <f t="shared" si="47"/>
        <v>4.01</v>
      </c>
      <c r="K299" s="40"/>
      <c r="L299" s="43">
        <v>15.1</v>
      </c>
      <c r="M299" s="44">
        <v>0.26529999999999998</v>
      </c>
      <c r="N299" s="43">
        <f t="shared" si="48"/>
        <v>4.01</v>
      </c>
    </row>
    <row r="300" spans="1:22" ht="15" customHeight="1" x14ac:dyDescent="0.2">
      <c r="A300" s="45" t="s">
        <v>133</v>
      </c>
      <c r="B300" s="46">
        <f>IF($P$300="",276.865,ROUND(276.865*((134.8015/(1-$P$300))-87.11)/89.34,2))</f>
        <v>276.86500000000001</v>
      </c>
      <c r="C300" s="38"/>
      <c r="D300" s="47">
        <v>0.123193</v>
      </c>
      <c r="E300" s="39">
        <v>0.13900000000000001</v>
      </c>
      <c r="F300" s="37">
        <f t="shared" si="46"/>
        <v>38.479999999999997</v>
      </c>
      <c r="G300" s="40"/>
      <c r="H300" s="48">
        <v>302.59100000000001</v>
      </c>
      <c r="I300" s="42">
        <v>0.20369999999999999</v>
      </c>
      <c r="J300" s="41">
        <f t="shared" si="47"/>
        <v>61.64</v>
      </c>
      <c r="K300" s="40"/>
      <c r="L300" s="49">
        <v>297.34300000000002</v>
      </c>
      <c r="M300" s="44">
        <v>0.18290000000000001</v>
      </c>
      <c r="N300" s="43">
        <f t="shared" si="48"/>
        <v>54.38</v>
      </c>
      <c r="O300" s="50" t="s">
        <v>134</v>
      </c>
      <c r="P300" s="51"/>
    </row>
    <row r="301" spans="1:22" ht="15" customHeight="1" x14ac:dyDescent="0.2">
      <c r="A301" s="45" t="s">
        <v>135</v>
      </c>
      <c r="B301" s="46">
        <f>IF($P$300="",194.477,ROUND(194.477*((134.8015/(1-$P$300))-87.11)/89.34,2))</f>
        <v>194.477</v>
      </c>
      <c r="C301" s="38"/>
      <c r="D301" s="47">
        <v>0.11643100000000001</v>
      </c>
      <c r="E301" s="39">
        <v>0.13900000000000001</v>
      </c>
      <c r="F301" s="37">
        <f t="shared" si="46"/>
        <v>27.03</v>
      </c>
      <c r="G301" s="40"/>
      <c r="H301" s="48">
        <v>233.41200000000001</v>
      </c>
      <c r="I301" s="42">
        <v>0.1885</v>
      </c>
      <c r="J301" s="41">
        <f t="shared" si="47"/>
        <v>44</v>
      </c>
      <c r="K301" s="40"/>
      <c r="L301" s="49">
        <v>266.09199999999998</v>
      </c>
      <c r="M301" s="44">
        <v>0.1615</v>
      </c>
      <c r="N301" s="43">
        <f t="shared" si="48"/>
        <v>42.97</v>
      </c>
      <c r="O301" s="52" t="s">
        <v>136</v>
      </c>
    </row>
    <row r="302" spans="1:22" ht="15" customHeight="1" x14ac:dyDescent="0.2">
      <c r="A302" s="45" t="s">
        <v>137</v>
      </c>
      <c r="B302" s="46">
        <f>IF($P$300="",171.442,ROUND(171.442*((134.8015/(1-$P$300))-87.11)/89.34,2))</f>
        <v>171.44200000000001</v>
      </c>
      <c r="C302" s="38"/>
      <c r="D302" s="47">
        <v>0.108338</v>
      </c>
      <c r="E302" s="39">
        <v>0.13900000000000001</v>
      </c>
      <c r="F302" s="37">
        <f t="shared" si="46"/>
        <v>23.83</v>
      </c>
      <c r="G302" s="40"/>
      <c r="H302" s="48">
        <v>163.17400000000001</v>
      </c>
      <c r="I302" s="42">
        <v>0.156</v>
      </c>
      <c r="J302" s="41">
        <f t="shared" si="47"/>
        <v>25.46</v>
      </c>
      <c r="K302" s="40"/>
      <c r="L302" s="49">
        <v>168.55799999999999</v>
      </c>
      <c r="M302" s="44">
        <v>0.156</v>
      </c>
      <c r="N302" s="43">
        <f t="shared" si="48"/>
        <v>26.3</v>
      </c>
      <c r="O302" s="52" t="s">
        <v>138</v>
      </c>
    </row>
    <row r="303" spans="1:22" ht="15" customHeight="1" x14ac:dyDescent="0.2">
      <c r="A303" s="27" t="s">
        <v>139</v>
      </c>
      <c r="B303" s="37">
        <v>1</v>
      </c>
      <c r="C303" s="53">
        <v>30</v>
      </c>
      <c r="D303" s="39">
        <v>17.614999999999998</v>
      </c>
      <c r="E303" s="39">
        <v>17.614999999999998</v>
      </c>
      <c r="F303" s="37">
        <f t="shared" si="46"/>
        <v>17.62</v>
      </c>
      <c r="G303" s="40"/>
      <c r="H303" s="41">
        <v>1</v>
      </c>
      <c r="I303" s="42">
        <v>17.614999999999998</v>
      </c>
      <c r="J303" s="41">
        <f t="shared" si="47"/>
        <v>17.62</v>
      </c>
      <c r="K303" s="40"/>
      <c r="L303" s="43">
        <v>1</v>
      </c>
      <c r="M303" s="44">
        <v>17.614999999999998</v>
      </c>
      <c r="N303" s="43">
        <f t="shared" si="48"/>
        <v>17.62</v>
      </c>
    </row>
    <row r="304" spans="1:22" ht="15" customHeight="1" x14ac:dyDescent="0.2">
      <c r="A304" s="27" t="s">
        <v>140</v>
      </c>
      <c r="B304" s="37">
        <v>30</v>
      </c>
      <c r="C304" s="53">
        <v>30</v>
      </c>
      <c r="D304" s="39">
        <v>1.274E-2</v>
      </c>
      <c r="E304" s="39">
        <v>1.274E-2</v>
      </c>
      <c r="F304" s="37">
        <f t="shared" si="46"/>
        <v>0.38</v>
      </c>
      <c r="G304" s="40"/>
      <c r="H304" s="41">
        <v>30</v>
      </c>
      <c r="I304" s="42">
        <v>1.274E-2</v>
      </c>
      <c r="J304" s="41">
        <f t="shared" si="47"/>
        <v>0.38</v>
      </c>
      <c r="K304" s="40"/>
      <c r="L304" s="43">
        <v>30</v>
      </c>
      <c r="M304" s="44">
        <v>6.2899999999999996E-3</v>
      </c>
      <c r="N304" s="43">
        <f t="shared" si="48"/>
        <v>0.19</v>
      </c>
    </row>
    <row r="305" spans="1:22" ht="15" customHeight="1" x14ac:dyDescent="0.2">
      <c r="A305" s="27" t="s">
        <v>141</v>
      </c>
      <c r="B305" s="37">
        <v>11.23</v>
      </c>
      <c r="C305" s="38"/>
      <c r="D305" s="39">
        <v>1</v>
      </c>
      <c r="E305" s="39">
        <v>1</v>
      </c>
      <c r="F305" s="37">
        <f t="shared" si="46"/>
        <v>11.23</v>
      </c>
      <c r="G305" s="40"/>
      <c r="H305" s="41">
        <v>11.43</v>
      </c>
      <c r="I305" s="42">
        <v>1</v>
      </c>
      <c r="J305" s="41">
        <f t="shared" si="47"/>
        <v>11.43</v>
      </c>
      <c r="K305" s="40"/>
      <c r="L305" s="43">
        <v>11.66</v>
      </c>
      <c r="M305" s="44">
        <v>1</v>
      </c>
      <c r="N305" s="43">
        <f t="shared" si="48"/>
        <v>11.66</v>
      </c>
    </row>
    <row r="306" spans="1:22" ht="15" customHeight="1" x14ac:dyDescent="0.2">
      <c r="A306" s="54" t="s">
        <v>142</v>
      </c>
      <c r="B306" s="55"/>
      <c r="C306" s="55"/>
      <c r="D306" s="55"/>
      <c r="E306" s="55"/>
      <c r="F306" s="56">
        <f>ROUND((SUM(F294:F305)-F305)*1.21+F305,2)</f>
        <v>246.51</v>
      </c>
      <c r="G306" s="55"/>
      <c r="H306" s="55"/>
      <c r="I306" s="55"/>
      <c r="J306" s="57">
        <f>ROUND((SUM(J294:J305)-J305)*1.21+J305,2)</f>
        <v>297.24</v>
      </c>
      <c r="K306" s="55"/>
      <c r="L306" s="55"/>
      <c r="M306" s="55"/>
      <c r="N306" s="58">
        <f>ROUND((SUM(N294:N305)-N305)*1.21+N305,2)</f>
        <v>288.23</v>
      </c>
    </row>
    <row r="307" spans="1:22" ht="15" customHeight="1" x14ac:dyDescent="0.2">
      <c r="A307" s="59" t="s">
        <v>143</v>
      </c>
      <c r="B307" s="129">
        <f>(SUM(F294:F302)-134.8015)/SUM(F294:F302)</f>
        <v>0.23603570416548589</v>
      </c>
      <c r="C307" s="129"/>
      <c r="D307" s="129"/>
      <c r="E307" s="129"/>
      <c r="F307" s="129"/>
      <c r="G307" s="60"/>
      <c r="H307" s="130"/>
      <c r="I307" s="130"/>
      <c r="J307" s="130"/>
      <c r="K307" s="60"/>
      <c r="L307" s="131" t="str">
        <f>IF(B307&gt;=0.3,"APROBAR",IF(B307&gt;=0.2,"REVISAR","RECHAZAR"))</f>
        <v>REVISAR</v>
      </c>
      <c r="M307" s="131"/>
      <c r="N307" s="131"/>
    </row>
    <row r="309" spans="1:22" ht="15" customHeight="1" x14ac:dyDescent="0.2">
      <c r="A309" s="7" t="s">
        <v>283</v>
      </c>
      <c r="B309" s="7"/>
      <c r="C309" s="7"/>
      <c r="D309" s="7"/>
      <c r="E309" s="7"/>
      <c r="F309" s="7"/>
      <c r="G309" s="7"/>
      <c r="H309" s="7"/>
      <c r="I309" s="6" t="s">
        <v>284</v>
      </c>
      <c r="J309" s="6"/>
      <c r="K309" s="6"/>
      <c r="L309" s="6"/>
      <c r="M309" s="6"/>
      <c r="N309" s="6"/>
      <c r="R309" s="5" t="s">
        <v>110</v>
      </c>
      <c r="S309" s="5"/>
      <c r="T309" s="5"/>
      <c r="U309" s="5"/>
      <c r="V309" s="5"/>
    </row>
    <row r="310" spans="1:22" ht="15" customHeight="1" x14ac:dyDescent="0.2">
      <c r="A310" s="32" t="s">
        <v>111</v>
      </c>
      <c r="B310" s="4" t="s">
        <v>112</v>
      </c>
      <c r="C310" s="4"/>
      <c r="D310" s="4"/>
      <c r="E310" s="4"/>
      <c r="F310" s="4"/>
      <c r="G310" s="33"/>
      <c r="H310" s="3" t="s">
        <v>285</v>
      </c>
      <c r="I310" s="3"/>
      <c r="J310" s="3"/>
      <c r="K310" s="33"/>
      <c r="L310" s="2" t="s">
        <v>156</v>
      </c>
      <c r="M310" s="2"/>
      <c r="N310" s="2"/>
      <c r="R310" s="1" t="s">
        <v>286</v>
      </c>
      <c r="S310" s="1"/>
      <c r="T310" s="1"/>
      <c r="U310" s="1"/>
      <c r="V310" s="1"/>
    </row>
    <row r="311" spans="1:22" ht="15" customHeight="1" x14ac:dyDescent="0.2">
      <c r="A311" s="33"/>
      <c r="B311" s="34" t="s">
        <v>116</v>
      </c>
      <c r="C311" s="34" t="s">
        <v>117</v>
      </c>
      <c r="D311" s="34" t="s">
        <v>118</v>
      </c>
      <c r="E311" s="34" t="s">
        <v>119</v>
      </c>
      <c r="F311" s="34" t="s">
        <v>120</v>
      </c>
      <c r="G311" s="33"/>
      <c r="H311" s="35" t="s">
        <v>116</v>
      </c>
      <c r="I311" s="35" t="s">
        <v>119</v>
      </c>
      <c r="J311" s="35" t="s">
        <v>120</v>
      </c>
      <c r="K311" s="33"/>
      <c r="L311" s="36" t="s">
        <v>116</v>
      </c>
      <c r="M311" s="36" t="s">
        <v>119</v>
      </c>
      <c r="N311" s="36" t="s">
        <v>120</v>
      </c>
      <c r="R311" s="124" t="s">
        <v>287</v>
      </c>
      <c r="S311" s="124"/>
      <c r="T311" s="124"/>
      <c r="U311" s="124"/>
      <c r="V311" s="124"/>
    </row>
    <row r="312" spans="1:22" ht="15" customHeight="1" x14ac:dyDescent="0.2">
      <c r="A312" s="27" t="s">
        <v>122</v>
      </c>
      <c r="B312" s="37">
        <v>17.32</v>
      </c>
      <c r="C312" s="38">
        <v>30</v>
      </c>
      <c r="D312" s="39">
        <v>1.5283800000000001</v>
      </c>
      <c r="E312" s="39">
        <v>2.5541999999999998</v>
      </c>
      <c r="F312" s="37">
        <f t="shared" ref="F312:F323" si="49">ROUND(B312*E312,2)</f>
        <v>44.24</v>
      </c>
      <c r="G312" s="40"/>
      <c r="H312" s="41">
        <v>17.32</v>
      </c>
      <c r="I312" s="42">
        <v>2.5541999999999998</v>
      </c>
      <c r="J312" s="41">
        <f t="shared" ref="J312:J323" si="50">ROUND(H312*I312,2)</f>
        <v>44.24</v>
      </c>
      <c r="K312" s="40"/>
      <c r="L312" s="43"/>
      <c r="M312" s="44"/>
      <c r="N312" s="43"/>
      <c r="R312" s="125" t="s">
        <v>288</v>
      </c>
      <c r="S312" s="125"/>
      <c r="T312" s="125"/>
      <c r="U312" s="125"/>
      <c r="V312" s="125"/>
    </row>
    <row r="313" spans="1:22" ht="15" customHeight="1" x14ac:dyDescent="0.2">
      <c r="A313" s="27" t="s">
        <v>124</v>
      </c>
      <c r="B313" s="37">
        <v>17.32</v>
      </c>
      <c r="C313" s="38">
        <v>30</v>
      </c>
      <c r="D313" s="39">
        <v>1.01328</v>
      </c>
      <c r="E313" s="39">
        <v>1.3773</v>
      </c>
      <c r="F313" s="37">
        <f t="shared" si="49"/>
        <v>23.85</v>
      </c>
      <c r="G313" s="40"/>
      <c r="H313" s="41">
        <v>17.32</v>
      </c>
      <c r="I313" s="42">
        <v>1.3773</v>
      </c>
      <c r="J313" s="41">
        <f t="shared" si="50"/>
        <v>23.85</v>
      </c>
      <c r="K313" s="40"/>
      <c r="L313" s="43"/>
      <c r="M313" s="44"/>
      <c r="N313" s="43"/>
      <c r="R313" s="126" t="s">
        <v>289</v>
      </c>
      <c r="S313" s="126"/>
      <c r="T313" s="126"/>
      <c r="U313" s="126"/>
      <c r="V313" s="126"/>
    </row>
    <row r="314" spans="1:22" ht="15" customHeight="1" x14ac:dyDescent="0.2">
      <c r="A314" s="27" t="s">
        <v>126</v>
      </c>
      <c r="B314" s="37">
        <v>17.32</v>
      </c>
      <c r="C314" s="38">
        <v>30</v>
      </c>
      <c r="D314" s="39">
        <v>0.71963999999999995</v>
      </c>
      <c r="E314" s="39">
        <v>0.62860000000000005</v>
      </c>
      <c r="F314" s="37">
        <f t="shared" si="49"/>
        <v>10.89</v>
      </c>
      <c r="G314" s="40"/>
      <c r="H314" s="41">
        <v>17.32</v>
      </c>
      <c r="I314" s="42">
        <v>0.62860000000000005</v>
      </c>
      <c r="J314" s="41">
        <f t="shared" si="50"/>
        <v>10.89</v>
      </c>
      <c r="K314" s="40"/>
      <c r="L314" s="43"/>
      <c r="M314" s="44"/>
      <c r="N314" s="43"/>
      <c r="R314" s="126" t="s">
        <v>290</v>
      </c>
      <c r="S314" s="126"/>
      <c r="T314" s="126"/>
      <c r="U314" s="126"/>
      <c r="V314" s="126"/>
    </row>
    <row r="315" spans="1:22" ht="15" customHeight="1" x14ac:dyDescent="0.2">
      <c r="A315" s="27" t="s">
        <v>128</v>
      </c>
      <c r="B315" s="37">
        <v>17.32</v>
      </c>
      <c r="C315" s="38">
        <v>30</v>
      </c>
      <c r="D315" s="39">
        <v>0.50346000000000002</v>
      </c>
      <c r="E315" s="39">
        <v>0.55610000000000004</v>
      </c>
      <c r="F315" s="37">
        <f t="shared" si="49"/>
        <v>9.6300000000000008</v>
      </c>
      <c r="G315" s="40"/>
      <c r="H315" s="41">
        <v>17.32</v>
      </c>
      <c r="I315" s="42">
        <v>0.55610000000000004</v>
      </c>
      <c r="J315" s="41">
        <f t="shared" si="50"/>
        <v>9.6300000000000008</v>
      </c>
      <c r="K315" s="40"/>
      <c r="L315" s="43"/>
      <c r="M315" s="44"/>
      <c r="N315" s="43"/>
      <c r="R315" s="132" t="s">
        <v>162</v>
      </c>
      <c r="S315" s="132"/>
      <c r="T315" s="132"/>
      <c r="U315" s="132"/>
      <c r="V315" s="132"/>
    </row>
    <row r="316" spans="1:22" ht="15" customHeight="1" x14ac:dyDescent="0.2">
      <c r="A316" s="27" t="s">
        <v>130</v>
      </c>
      <c r="B316" s="37">
        <v>17.32</v>
      </c>
      <c r="C316" s="38">
        <v>30</v>
      </c>
      <c r="D316" s="39">
        <v>0.31041000000000002</v>
      </c>
      <c r="E316" s="39">
        <v>0.38679999999999998</v>
      </c>
      <c r="F316" s="37">
        <f t="shared" si="49"/>
        <v>6.7</v>
      </c>
      <c r="G316" s="40"/>
      <c r="H316" s="41">
        <v>17.32</v>
      </c>
      <c r="I316" s="42">
        <v>0.38679999999999998</v>
      </c>
      <c r="J316" s="41">
        <f t="shared" si="50"/>
        <v>6.7</v>
      </c>
      <c r="K316" s="40"/>
      <c r="L316" s="43"/>
      <c r="M316" s="44"/>
      <c r="N316" s="43"/>
      <c r="R316" s="128" t="s">
        <v>131</v>
      </c>
      <c r="S316" s="128"/>
      <c r="T316" s="128"/>
      <c r="U316" s="128"/>
      <c r="V316" s="128"/>
    </row>
    <row r="317" spans="1:22" ht="15" customHeight="1" x14ac:dyDescent="0.2">
      <c r="A317" s="27" t="s">
        <v>132</v>
      </c>
      <c r="B317" s="37">
        <v>17.32</v>
      </c>
      <c r="C317" s="38">
        <v>30</v>
      </c>
      <c r="D317" s="39">
        <v>0.25109999999999999</v>
      </c>
      <c r="E317" s="39">
        <v>0.26529999999999998</v>
      </c>
      <c r="F317" s="37">
        <f t="shared" si="49"/>
        <v>4.59</v>
      </c>
      <c r="G317" s="40"/>
      <c r="H317" s="41">
        <v>17.32</v>
      </c>
      <c r="I317" s="42">
        <v>0.26529999999999998</v>
      </c>
      <c r="J317" s="41">
        <f t="shared" si="50"/>
        <v>4.59</v>
      </c>
      <c r="K317" s="40"/>
      <c r="L317" s="43"/>
      <c r="M317" s="44"/>
      <c r="N317" s="43"/>
    </row>
    <row r="318" spans="1:22" ht="15" customHeight="1" x14ac:dyDescent="0.2">
      <c r="A318" s="45" t="s">
        <v>133</v>
      </c>
      <c r="B318" s="46">
        <f>IF($P$318="",74.431,ROUND(74.431*((125.53/(1-$P$318))-99.9)/67.88,2))</f>
        <v>74.430999999999997</v>
      </c>
      <c r="C318" s="38"/>
      <c r="D318" s="47">
        <v>0.13042899999999999</v>
      </c>
      <c r="E318" s="39">
        <v>0.17499999999999999</v>
      </c>
      <c r="F318" s="37">
        <f t="shared" si="49"/>
        <v>13.03</v>
      </c>
      <c r="G318" s="40"/>
      <c r="H318" s="48">
        <v>132.91800000000001</v>
      </c>
      <c r="I318" s="42">
        <v>0.17499999999999999</v>
      </c>
      <c r="J318" s="41">
        <f t="shared" si="50"/>
        <v>23.26</v>
      </c>
      <c r="K318" s="40"/>
      <c r="L318" s="49"/>
      <c r="M318" s="44"/>
      <c r="N318" s="43"/>
      <c r="O318" s="50" t="s">
        <v>134</v>
      </c>
      <c r="P318" s="51"/>
    </row>
    <row r="319" spans="1:22" ht="15" customHeight="1" x14ac:dyDescent="0.2">
      <c r="A319" s="45" t="s">
        <v>135</v>
      </c>
      <c r="B319" s="46">
        <f>IF($P$318="",47.079,ROUND(47.079*((125.53/(1-$P$318))-99.9)/67.88,2))</f>
        <v>47.079000000000001</v>
      </c>
      <c r="C319" s="38"/>
      <c r="D319" s="47">
        <v>0.13042899999999999</v>
      </c>
      <c r="E319" s="39">
        <v>0.17499999999999999</v>
      </c>
      <c r="F319" s="37">
        <f t="shared" si="49"/>
        <v>8.24</v>
      </c>
      <c r="G319" s="40"/>
      <c r="H319" s="48">
        <v>85.323999999999998</v>
      </c>
      <c r="I319" s="42">
        <v>0.17499999999999999</v>
      </c>
      <c r="J319" s="41">
        <f t="shared" si="50"/>
        <v>14.93</v>
      </c>
      <c r="K319" s="40"/>
      <c r="L319" s="49"/>
      <c r="M319" s="44"/>
      <c r="N319" s="43"/>
      <c r="O319" s="52" t="s">
        <v>136</v>
      </c>
    </row>
    <row r="320" spans="1:22" ht="15" customHeight="1" x14ac:dyDescent="0.2">
      <c r="A320" s="45" t="s">
        <v>137</v>
      </c>
      <c r="B320" s="46">
        <f>IF($P$318="",266.322,ROUND(266.322*((125.53/(1-$P$318))-99.9)/67.88,2))</f>
        <v>266.322</v>
      </c>
      <c r="C320" s="38"/>
      <c r="D320" s="47">
        <v>0.13050400000000001</v>
      </c>
      <c r="E320" s="39">
        <v>0.17499999999999999</v>
      </c>
      <c r="F320" s="37">
        <f t="shared" si="49"/>
        <v>46.61</v>
      </c>
      <c r="G320" s="40"/>
      <c r="H320" s="48">
        <v>342.529</v>
      </c>
      <c r="I320" s="42">
        <v>0.17499999999999999</v>
      </c>
      <c r="J320" s="41">
        <f t="shared" si="50"/>
        <v>59.94</v>
      </c>
      <c r="K320" s="40"/>
      <c r="L320" s="49"/>
      <c r="M320" s="44"/>
      <c r="N320" s="43"/>
      <c r="O320" s="52" t="s">
        <v>138</v>
      </c>
    </row>
    <row r="321" spans="1:22" ht="15" customHeight="1" x14ac:dyDescent="0.2">
      <c r="A321" s="27" t="s">
        <v>139</v>
      </c>
      <c r="B321" s="37">
        <v>1</v>
      </c>
      <c r="C321" s="53">
        <v>30</v>
      </c>
      <c r="D321" s="39">
        <v>6</v>
      </c>
      <c r="E321" s="39">
        <v>6</v>
      </c>
      <c r="F321" s="37">
        <f t="shared" si="49"/>
        <v>6</v>
      </c>
      <c r="G321" s="40"/>
      <c r="H321" s="41">
        <v>1</v>
      </c>
      <c r="I321" s="42">
        <v>6</v>
      </c>
      <c r="J321" s="41">
        <f t="shared" si="50"/>
        <v>6</v>
      </c>
      <c r="K321" s="40"/>
      <c r="L321" s="43"/>
      <c r="M321" s="44"/>
      <c r="N321" s="43"/>
    </row>
    <row r="322" spans="1:22" ht="15" customHeight="1" x14ac:dyDescent="0.2">
      <c r="A322" s="27" t="s">
        <v>140</v>
      </c>
      <c r="B322" s="37">
        <v>30</v>
      </c>
      <c r="C322" s="53">
        <v>30</v>
      </c>
      <c r="D322" s="39">
        <v>1.7239999999999998E-2</v>
      </c>
      <c r="E322" s="39">
        <v>1.7239999999999998E-2</v>
      </c>
      <c r="F322" s="37">
        <f t="shared" si="49"/>
        <v>0.52</v>
      </c>
      <c r="G322" s="40"/>
      <c r="H322" s="41">
        <v>30</v>
      </c>
      <c r="I322" s="42">
        <v>1.7239999999999998E-2</v>
      </c>
      <c r="J322" s="41">
        <f t="shared" si="50"/>
        <v>0.52</v>
      </c>
      <c r="K322" s="40"/>
      <c r="L322" s="43"/>
      <c r="M322" s="44"/>
      <c r="N322" s="43"/>
    </row>
    <row r="323" spans="1:22" ht="15" customHeight="1" x14ac:dyDescent="0.2">
      <c r="A323" s="27" t="s">
        <v>141</v>
      </c>
      <c r="B323" s="37">
        <v>8.58</v>
      </c>
      <c r="C323" s="38"/>
      <c r="D323" s="39">
        <v>1</v>
      </c>
      <c r="E323" s="39">
        <v>1</v>
      </c>
      <c r="F323" s="37">
        <f t="shared" si="49"/>
        <v>8.58</v>
      </c>
      <c r="G323" s="40"/>
      <c r="H323" s="41">
        <v>10.130000000000001</v>
      </c>
      <c r="I323" s="42">
        <v>1</v>
      </c>
      <c r="J323" s="41">
        <f t="shared" si="50"/>
        <v>10.130000000000001</v>
      </c>
      <c r="K323" s="40"/>
      <c r="L323" s="43"/>
      <c r="M323" s="44"/>
      <c r="N323" s="43"/>
    </row>
    <row r="324" spans="1:22" ht="15" customHeight="1" x14ac:dyDescent="0.2">
      <c r="A324" s="54" t="s">
        <v>142</v>
      </c>
      <c r="B324" s="55"/>
      <c r="C324" s="55"/>
      <c r="D324" s="55"/>
      <c r="E324" s="55"/>
      <c r="F324" s="56">
        <f>ROUND((SUM(F312:F323)-F323)*1.21+F323,2)</f>
        <v>219.48</v>
      </c>
      <c r="G324" s="55"/>
      <c r="H324" s="55"/>
      <c r="I324" s="55"/>
      <c r="J324" s="57">
        <f>ROUND((SUM(J312:J323)-J323)*1.21+J323,2)</f>
        <v>257.64</v>
      </c>
      <c r="K324" s="55"/>
      <c r="L324" s="55"/>
      <c r="M324" s="55"/>
      <c r="N324" s="55"/>
    </row>
    <row r="325" spans="1:22" ht="15" customHeight="1" x14ac:dyDescent="0.2">
      <c r="A325" s="59" t="s">
        <v>143</v>
      </c>
      <c r="B325" s="129">
        <f>(SUM(F312:F320)-125.53)/SUM(F312:F320)</f>
        <v>0.25181785671712958</v>
      </c>
      <c r="C325" s="129"/>
      <c r="D325" s="129"/>
      <c r="E325" s="129"/>
      <c r="F325" s="129"/>
      <c r="G325" s="60"/>
      <c r="H325" s="130"/>
      <c r="I325" s="130"/>
      <c r="J325" s="130"/>
      <c r="K325" s="60"/>
      <c r="L325" s="131" t="str">
        <f>IF(B325&gt;=0.3,"APROBAR",IF(B325&gt;=0.2,"REVISAR","RECHAZAR"))</f>
        <v>REVISAR</v>
      </c>
      <c r="M325" s="131"/>
      <c r="N325" s="131"/>
    </row>
    <row r="327" spans="1:22" ht="15" customHeight="1" x14ac:dyDescent="0.2">
      <c r="A327" s="7" t="s">
        <v>291</v>
      </c>
      <c r="B327" s="7"/>
      <c r="C327" s="7"/>
      <c r="D327" s="7"/>
      <c r="E327" s="7"/>
      <c r="F327" s="7"/>
      <c r="G327" s="7"/>
      <c r="H327" s="7"/>
      <c r="I327" s="6" t="s">
        <v>292</v>
      </c>
      <c r="J327" s="6"/>
      <c r="K327" s="6"/>
      <c r="L327" s="6"/>
      <c r="M327" s="6"/>
      <c r="N327" s="6"/>
      <c r="R327" s="5" t="s">
        <v>110</v>
      </c>
      <c r="S327" s="5"/>
      <c r="T327" s="5"/>
      <c r="U327" s="5"/>
      <c r="V327" s="5"/>
    </row>
    <row r="328" spans="1:22" ht="15" customHeight="1" x14ac:dyDescent="0.2">
      <c r="A328" s="32" t="s">
        <v>111</v>
      </c>
      <c r="B328" s="4" t="s">
        <v>112</v>
      </c>
      <c r="C328" s="4"/>
      <c r="D328" s="4"/>
      <c r="E328" s="4"/>
      <c r="F328" s="4"/>
      <c r="G328" s="33"/>
      <c r="H328" s="3" t="s">
        <v>293</v>
      </c>
      <c r="I328" s="3"/>
      <c r="J328" s="3"/>
      <c r="K328" s="33"/>
      <c r="L328" s="2" t="s">
        <v>156</v>
      </c>
      <c r="M328" s="2"/>
      <c r="N328" s="2"/>
      <c r="R328" s="1" t="s">
        <v>294</v>
      </c>
      <c r="S328" s="1"/>
      <c r="T328" s="1"/>
      <c r="U328" s="1"/>
      <c r="V328" s="1"/>
    </row>
    <row r="329" spans="1:22" ht="15" customHeight="1" x14ac:dyDescent="0.2">
      <c r="A329" s="33"/>
      <c r="B329" s="34" t="s">
        <v>116</v>
      </c>
      <c r="C329" s="34" t="s">
        <v>117</v>
      </c>
      <c r="D329" s="34" t="s">
        <v>118</v>
      </c>
      <c r="E329" s="34" t="s">
        <v>119</v>
      </c>
      <c r="F329" s="34" t="s">
        <v>120</v>
      </c>
      <c r="G329" s="33"/>
      <c r="H329" s="35" t="s">
        <v>116</v>
      </c>
      <c r="I329" s="35" t="s">
        <v>119</v>
      </c>
      <c r="J329" s="35" t="s">
        <v>120</v>
      </c>
      <c r="K329" s="33"/>
      <c r="L329" s="36" t="s">
        <v>116</v>
      </c>
      <c r="M329" s="36" t="s">
        <v>119</v>
      </c>
      <c r="N329" s="36" t="s">
        <v>120</v>
      </c>
      <c r="R329" s="124" t="s">
        <v>295</v>
      </c>
      <c r="S329" s="124"/>
      <c r="T329" s="124"/>
      <c r="U329" s="124"/>
      <c r="V329" s="124"/>
    </row>
    <row r="330" spans="1:22" ht="15" customHeight="1" x14ac:dyDescent="0.2">
      <c r="A330" s="27" t="s">
        <v>122</v>
      </c>
      <c r="B330" s="37">
        <v>9.6</v>
      </c>
      <c r="C330" s="38">
        <v>30</v>
      </c>
      <c r="D330" s="39">
        <v>1.76841</v>
      </c>
      <c r="E330" s="39">
        <v>2.5541999999999998</v>
      </c>
      <c r="F330" s="37">
        <f t="shared" ref="F330:F341" si="51">ROUND(B330*E330,2)</f>
        <v>24.52</v>
      </c>
      <c r="G330" s="40"/>
      <c r="H330" s="41">
        <v>9.6</v>
      </c>
      <c r="I330" s="42">
        <v>2.5541999999999998</v>
      </c>
      <c r="J330" s="41">
        <f t="shared" ref="J330:J341" si="52">ROUND(H330*I330,2)</f>
        <v>24.52</v>
      </c>
      <c r="K330" s="40"/>
      <c r="L330" s="43"/>
      <c r="M330" s="44"/>
      <c r="N330" s="43"/>
      <c r="R330" s="125" t="s">
        <v>296</v>
      </c>
      <c r="S330" s="125"/>
      <c r="T330" s="125"/>
      <c r="U330" s="125"/>
      <c r="V330" s="125"/>
    </row>
    <row r="331" spans="1:22" ht="15" customHeight="1" x14ac:dyDescent="0.2">
      <c r="A331" s="27" t="s">
        <v>124</v>
      </c>
      <c r="B331" s="37">
        <v>9.6</v>
      </c>
      <c r="C331" s="38">
        <v>30</v>
      </c>
      <c r="D331" s="39">
        <v>1.08606</v>
      </c>
      <c r="E331" s="39">
        <v>1.3773299999999999</v>
      </c>
      <c r="F331" s="37">
        <f t="shared" si="51"/>
        <v>13.22</v>
      </c>
      <c r="G331" s="40"/>
      <c r="H331" s="41">
        <v>9.6</v>
      </c>
      <c r="I331" s="42">
        <v>1.3773299999999999</v>
      </c>
      <c r="J331" s="41">
        <f t="shared" si="52"/>
        <v>13.22</v>
      </c>
      <c r="K331" s="40"/>
      <c r="L331" s="43"/>
      <c r="M331" s="44"/>
      <c r="N331" s="43"/>
      <c r="R331" s="126" t="s">
        <v>297</v>
      </c>
      <c r="S331" s="126"/>
      <c r="T331" s="126"/>
      <c r="U331" s="126"/>
      <c r="V331" s="126"/>
    </row>
    <row r="332" spans="1:22" ht="15" customHeight="1" x14ac:dyDescent="0.2">
      <c r="A332" s="27" t="s">
        <v>126</v>
      </c>
      <c r="B332" s="37">
        <v>9.6</v>
      </c>
      <c r="C332" s="38">
        <v>30</v>
      </c>
      <c r="D332" s="39">
        <v>0.50036999999999998</v>
      </c>
      <c r="E332" s="39">
        <v>0.62868000000000002</v>
      </c>
      <c r="F332" s="37">
        <f t="shared" si="51"/>
        <v>6.04</v>
      </c>
      <c r="G332" s="40"/>
      <c r="H332" s="41">
        <v>9.6</v>
      </c>
      <c r="I332" s="42">
        <v>0.62868000000000002</v>
      </c>
      <c r="J332" s="41">
        <f t="shared" si="52"/>
        <v>6.04</v>
      </c>
      <c r="K332" s="40"/>
      <c r="L332" s="43"/>
      <c r="M332" s="44"/>
      <c r="N332" s="43"/>
      <c r="R332" s="126" t="s">
        <v>298</v>
      </c>
      <c r="S332" s="126"/>
      <c r="T332" s="126"/>
      <c r="U332" s="126"/>
      <c r="V332" s="126"/>
    </row>
    <row r="333" spans="1:22" ht="15" customHeight="1" x14ac:dyDescent="0.2">
      <c r="A333" s="27" t="s">
        <v>128</v>
      </c>
      <c r="B333" s="37">
        <v>9.6</v>
      </c>
      <c r="C333" s="38">
        <v>30</v>
      </c>
      <c r="D333" s="39">
        <v>0.41718</v>
      </c>
      <c r="E333" s="39">
        <v>0.55610000000000004</v>
      </c>
      <c r="F333" s="37">
        <f t="shared" si="51"/>
        <v>5.34</v>
      </c>
      <c r="G333" s="40"/>
      <c r="H333" s="41">
        <v>9.6</v>
      </c>
      <c r="I333" s="42">
        <v>0.55610000000000004</v>
      </c>
      <c r="J333" s="41">
        <f t="shared" si="52"/>
        <v>5.34</v>
      </c>
      <c r="K333" s="40"/>
      <c r="L333" s="43"/>
      <c r="M333" s="44"/>
      <c r="N333" s="43"/>
      <c r="R333" s="132" t="s">
        <v>162</v>
      </c>
      <c r="S333" s="132"/>
      <c r="T333" s="132"/>
      <c r="U333" s="132"/>
      <c r="V333" s="132"/>
    </row>
    <row r="334" spans="1:22" ht="15" customHeight="1" x14ac:dyDescent="0.2">
      <c r="A334" s="27" t="s">
        <v>130</v>
      </c>
      <c r="B334" s="37">
        <v>9.6</v>
      </c>
      <c r="C334" s="38">
        <v>30</v>
      </c>
      <c r="D334" s="39">
        <v>0.33362999999999998</v>
      </c>
      <c r="E334" s="39">
        <v>0.38679999999999998</v>
      </c>
      <c r="F334" s="37">
        <f t="shared" si="51"/>
        <v>3.71</v>
      </c>
      <c r="G334" s="40"/>
      <c r="H334" s="41">
        <v>9.6</v>
      </c>
      <c r="I334" s="42">
        <v>0.38679999999999998</v>
      </c>
      <c r="J334" s="41">
        <f t="shared" si="52"/>
        <v>3.71</v>
      </c>
      <c r="K334" s="40"/>
      <c r="L334" s="43"/>
      <c r="M334" s="44"/>
      <c r="N334" s="43"/>
      <c r="R334" s="128" t="s">
        <v>131</v>
      </c>
      <c r="S334" s="128"/>
      <c r="T334" s="128"/>
      <c r="U334" s="128"/>
      <c r="V334" s="128"/>
    </row>
    <row r="335" spans="1:22" ht="15" customHeight="1" x14ac:dyDescent="0.2">
      <c r="A335" s="27" t="s">
        <v>132</v>
      </c>
      <c r="B335" s="37">
        <v>15.1</v>
      </c>
      <c r="C335" s="38">
        <v>30</v>
      </c>
      <c r="D335" s="39">
        <v>0.24440999999999999</v>
      </c>
      <c r="E335" s="39">
        <v>0.26529999999999998</v>
      </c>
      <c r="F335" s="37">
        <f t="shared" si="51"/>
        <v>4.01</v>
      </c>
      <c r="G335" s="40"/>
      <c r="H335" s="41">
        <v>15.1</v>
      </c>
      <c r="I335" s="42">
        <v>0.26529999999999998</v>
      </c>
      <c r="J335" s="41">
        <f t="shared" si="52"/>
        <v>4.01</v>
      </c>
      <c r="K335" s="40"/>
      <c r="L335" s="43"/>
      <c r="M335" s="44"/>
      <c r="N335" s="43"/>
    </row>
    <row r="336" spans="1:22" ht="15" customHeight="1" x14ac:dyDescent="0.2">
      <c r="A336" s="45" t="s">
        <v>133</v>
      </c>
      <c r="B336" s="46">
        <f>IF($P$336="",293.973,ROUND(293.973*((170.1521/(1-$P$336))-56.84)/126.46,2))</f>
        <v>293.97300000000001</v>
      </c>
      <c r="C336" s="38"/>
      <c r="D336" s="47">
        <v>0.13042899999999999</v>
      </c>
      <c r="E336" s="39">
        <v>0.13</v>
      </c>
      <c r="F336" s="37">
        <f t="shared" si="51"/>
        <v>38.22</v>
      </c>
      <c r="G336" s="40"/>
      <c r="H336" s="48">
        <v>424.10300000000001</v>
      </c>
      <c r="I336" s="42">
        <v>0.13</v>
      </c>
      <c r="J336" s="41">
        <f t="shared" si="52"/>
        <v>55.13</v>
      </c>
      <c r="K336" s="40"/>
      <c r="L336" s="49"/>
      <c r="M336" s="44"/>
      <c r="N336" s="43"/>
      <c r="O336" s="50" t="s">
        <v>134</v>
      </c>
      <c r="P336" s="51"/>
    </row>
    <row r="337" spans="1:22" ht="15" customHeight="1" x14ac:dyDescent="0.2">
      <c r="A337" s="45" t="s">
        <v>135</v>
      </c>
      <c r="B337" s="46">
        <f>IF($P$336="",236.685,ROUND(236.685*((170.1521/(1-$P$336))-56.84)/126.46,2))</f>
        <v>236.685</v>
      </c>
      <c r="C337" s="38"/>
      <c r="D337" s="47">
        <v>0.13042899999999999</v>
      </c>
      <c r="E337" s="39">
        <v>0.13</v>
      </c>
      <c r="F337" s="37">
        <f t="shared" si="51"/>
        <v>30.77</v>
      </c>
      <c r="G337" s="40"/>
      <c r="H337" s="48">
        <v>365.30500000000001</v>
      </c>
      <c r="I337" s="42">
        <v>0.13</v>
      </c>
      <c r="J337" s="41">
        <f t="shared" si="52"/>
        <v>47.49</v>
      </c>
      <c r="K337" s="40"/>
      <c r="L337" s="49"/>
      <c r="M337" s="44"/>
      <c r="N337" s="43"/>
      <c r="O337" s="52" t="s">
        <v>136</v>
      </c>
    </row>
    <row r="338" spans="1:22" ht="15" customHeight="1" x14ac:dyDescent="0.2">
      <c r="A338" s="45" t="s">
        <v>137</v>
      </c>
      <c r="B338" s="46">
        <f>IF($P$336="",442.109,ROUND(442.109*((170.1521/(1-$P$336))-56.84)/126.46,2))</f>
        <v>442.10899999999998</v>
      </c>
      <c r="C338" s="38"/>
      <c r="D338" s="47">
        <v>0.13080600000000001</v>
      </c>
      <c r="E338" s="39">
        <v>0.13</v>
      </c>
      <c r="F338" s="37">
        <f t="shared" si="51"/>
        <v>57.47</v>
      </c>
      <c r="G338" s="40"/>
      <c r="H338" s="48">
        <v>766.23199999999997</v>
      </c>
      <c r="I338" s="42">
        <v>0.13</v>
      </c>
      <c r="J338" s="41">
        <f t="shared" si="52"/>
        <v>99.61</v>
      </c>
      <c r="K338" s="40"/>
      <c r="L338" s="49"/>
      <c r="M338" s="44"/>
      <c r="N338" s="43"/>
      <c r="O338" s="52" t="s">
        <v>138</v>
      </c>
    </row>
    <row r="339" spans="1:22" ht="15" customHeight="1" x14ac:dyDescent="0.2">
      <c r="A339" s="27" t="s">
        <v>139</v>
      </c>
      <c r="B339" s="37">
        <v>1</v>
      </c>
      <c r="C339" s="53">
        <v>30</v>
      </c>
      <c r="D339" s="39">
        <v>17.614999999999998</v>
      </c>
      <c r="E339" s="39">
        <v>17.614999999999998</v>
      </c>
      <c r="F339" s="37">
        <f t="shared" si="51"/>
        <v>17.62</v>
      </c>
      <c r="G339" s="40"/>
      <c r="H339" s="41">
        <v>1</v>
      </c>
      <c r="I339" s="42">
        <v>17.614999999999998</v>
      </c>
      <c r="J339" s="41">
        <f t="shared" si="52"/>
        <v>17.62</v>
      </c>
      <c r="K339" s="40"/>
      <c r="L339" s="43"/>
      <c r="M339" s="44"/>
      <c r="N339" s="43"/>
    </row>
    <row r="340" spans="1:22" ht="15" customHeight="1" x14ac:dyDescent="0.2">
      <c r="A340" s="27" t="s">
        <v>140</v>
      </c>
      <c r="B340" s="37">
        <v>30</v>
      </c>
      <c r="C340" s="53">
        <v>30</v>
      </c>
      <c r="D340" s="39">
        <v>1.9120000000000002E-2</v>
      </c>
      <c r="E340" s="39">
        <v>1.9120000000000002E-2</v>
      </c>
      <c r="F340" s="37">
        <f t="shared" si="51"/>
        <v>0.56999999999999995</v>
      </c>
      <c r="G340" s="40"/>
      <c r="H340" s="41">
        <v>30</v>
      </c>
      <c r="I340" s="42">
        <v>1.9120000000000002E-2</v>
      </c>
      <c r="J340" s="41">
        <f t="shared" si="52"/>
        <v>0.56999999999999995</v>
      </c>
      <c r="K340" s="40"/>
      <c r="L340" s="43"/>
      <c r="M340" s="44"/>
      <c r="N340" s="43"/>
    </row>
    <row r="341" spans="1:22" ht="15" customHeight="1" x14ac:dyDescent="0.2">
      <c r="A341" s="27" t="s">
        <v>141</v>
      </c>
      <c r="B341" s="37">
        <v>12.93</v>
      </c>
      <c r="C341" s="38"/>
      <c r="D341" s="39">
        <v>1</v>
      </c>
      <c r="E341" s="39">
        <v>1</v>
      </c>
      <c r="F341" s="37">
        <f t="shared" si="51"/>
        <v>12.93</v>
      </c>
      <c r="G341" s="40"/>
      <c r="H341" s="41">
        <v>15.09</v>
      </c>
      <c r="I341" s="42">
        <v>1</v>
      </c>
      <c r="J341" s="41">
        <f t="shared" si="52"/>
        <v>15.09</v>
      </c>
      <c r="K341" s="40"/>
      <c r="L341" s="43"/>
      <c r="M341" s="44"/>
      <c r="N341" s="43"/>
    </row>
    <row r="342" spans="1:22" ht="15" customHeight="1" x14ac:dyDescent="0.2">
      <c r="A342" s="54" t="s">
        <v>142</v>
      </c>
      <c r="B342" s="55"/>
      <c r="C342" s="55"/>
      <c r="D342" s="55"/>
      <c r="E342" s="55"/>
      <c r="F342" s="56">
        <f>ROUND((SUM(F330:F341)-F341)*1.21+F341,2)</f>
        <v>256.73</v>
      </c>
      <c r="G342" s="55"/>
      <c r="H342" s="55"/>
      <c r="I342" s="55"/>
      <c r="J342" s="57">
        <f>ROUND((SUM(J330:J341)-J341)*1.21+J341,2)</f>
        <v>350.57</v>
      </c>
      <c r="K342" s="55"/>
      <c r="L342" s="55"/>
      <c r="M342" s="55"/>
      <c r="N342" s="55"/>
    </row>
    <row r="343" spans="1:22" ht="15" customHeight="1" x14ac:dyDescent="0.2">
      <c r="A343" s="59" t="s">
        <v>143</v>
      </c>
      <c r="B343" s="129">
        <f>(SUM(F330:F338)-170.1521)/SUM(F330:F338)</f>
        <v>7.1728859792689698E-2</v>
      </c>
      <c r="C343" s="129"/>
      <c r="D343" s="129"/>
      <c r="E343" s="129"/>
      <c r="F343" s="129"/>
      <c r="G343" s="60"/>
      <c r="H343" s="130"/>
      <c r="I343" s="130"/>
      <c r="J343" s="130"/>
      <c r="K343" s="60"/>
      <c r="L343" s="131" t="str">
        <f>IF(B343&gt;=0.3,"APROBAR",IF(B343&gt;=0.2,"REVISAR","RECHAZAR"))</f>
        <v>RECHAZAR</v>
      </c>
      <c r="M343" s="131"/>
      <c r="N343" s="131"/>
    </row>
    <row r="345" spans="1:22" ht="15" customHeight="1" x14ac:dyDescent="0.2">
      <c r="A345" s="7" t="s">
        <v>299</v>
      </c>
      <c r="B345" s="7"/>
      <c r="C345" s="7"/>
      <c r="D345" s="7"/>
      <c r="E345" s="7"/>
      <c r="F345" s="7"/>
      <c r="G345" s="7"/>
      <c r="H345" s="7"/>
      <c r="I345" s="6" t="s">
        <v>300</v>
      </c>
      <c r="J345" s="6"/>
      <c r="K345" s="6"/>
      <c r="L345" s="6"/>
      <c r="M345" s="6"/>
      <c r="N345" s="6"/>
      <c r="R345" s="5" t="s">
        <v>110</v>
      </c>
      <c r="S345" s="5"/>
      <c r="T345" s="5"/>
      <c r="U345" s="5"/>
      <c r="V345" s="5"/>
    </row>
    <row r="346" spans="1:22" ht="15" customHeight="1" x14ac:dyDescent="0.2">
      <c r="A346" s="32" t="s">
        <v>111</v>
      </c>
      <c r="B346" s="4" t="s">
        <v>112</v>
      </c>
      <c r="C346" s="4"/>
      <c r="D346" s="4"/>
      <c r="E346" s="4"/>
      <c r="F346" s="4"/>
      <c r="G346" s="33"/>
      <c r="H346" s="3" t="s">
        <v>301</v>
      </c>
      <c r="I346" s="3"/>
      <c r="J346" s="3"/>
      <c r="K346" s="33"/>
      <c r="L346" s="2" t="s">
        <v>156</v>
      </c>
      <c r="M346" s="2"/>
      <c r="N346" s="2"/>
      <c r="R346" s="1" t="s">
        <v>302</v>
      </c>
      <c r="S346" s="1"/>
      <c r="T346" s="1"/>
      <c r="U346" s="1"/>
      <c r="V346" s="1"/>
    </row>
    <row r="347" spans="1:22" ht="15" customHeight="1" x14ac:dyDescent="0.2">
      <c r="A347" s="33"/>
      <c r="B347" s="34" t="s">
        <v>116</v>
      </c>
      <c r="C347" s="34" t="s">
        <v>117</v>
      </c>
      <c r="D347" s="34" t="s">
        <v>118</v>
      </c>
      <c r="E347" s="34" t="s">
        <v>119</v>
      </c>
      <c r="F347" s="34" t="s">
        <v>120</v>
      </c>
      <c r="G347" s="33"/>
      <c r="H347" s="35" t="s">
        <v>116</v>
      </c>
      <c r="I347" s="35" t="s">
        <v>119</v>
      </c>
      <c r="J347" s="35" t="s">
        <v>120</v>
      </c>
      <c r="K347" s="33"/>
      <c r="L347" s="36" t="s">
        <v>116</v>
      </c>
      <c r="M347" s="36" t="s">
        <v>119</v>
      </c>
      <c r="N347" s="36" t="s">
        <v>120</v>
      </c>
      <c r="R347" s="124" t="s">
        <v>303</v>
      </c>
      <c r="S347" s="124"/>
      <c r="T347" s="124"/>
      <c r="U347" s="124"/>
      <c r="V347" s="124"/>
    </row>
    <row r="348" spans="1:22" ht="15" customHeight="1" x14ac:dyDescent="0.2">
      <c r="A348" s="27" t="s">
        <v>122</v>
      </c>
      <c r="B348" s="37">
        <v>25</v>
      </c>
      <c r="C348" s="38">
        <v>30</v>
      </c>
      <c r="D348" s="39">
        <v>1.7178</v>
      </c>
      <c r="E348" s="39">
        <v>2.6099000000000001</v>
      </c>
      <c r="F348" s="37">
        <f t="shared" ref="F348:F359" si="53">ROUND(B348*E348,2)</f>
        <v>65.25</v>
      </c>
      <c r="G348" s="40"/>
      <c r="H348" s="41">
        <v>25</v>
      </c>
      <c r="I348" s="42">
        <v>2.6099000000000001</v>
      </c>
      <c r="J348" s="41">
        <f t="shared" ref="J348:J359" si="54">ROUND(H348*I348,2)</f>
        <v>65.25</v>
      </c>
      <c r="K348" s="40"/>
      <c r="L348" s="43"/>
      <c r="M348" s="44"/>
      <c r="N348" s="43"/>
      <c r="R348" s="125" t="s">
        <v>304</v>
      </c>
      <c r="S348" s="125"/>
      <c r="T348" s="125"/>
      <c r="U348" s="125"/>
      <c r="V348" s="125"/>
    </row>
    <row r="349" spans="1:22" ht="15" customHeight="1" x14ac:dyDescent="0.2">
      <c r="A349" s="27" t="s">
        <v>124</v>
      </c>
      <c r="B349" s="37">
        <v>25</v>
      </c>
      <c r="C349" s="38">
        <v>30</v>
      </c>
      <c r="D349" s="39">
        <v>1.06026</v>
      </c>
      <c r="E349" s="39">
        <v>1.3898999999999999</v>
      </c>
      <c r="F349" s="37">
        <f t="shared" si="53"/>
        <v>34.75</v>
      </c>
      <c r="G349" s="40"/>
      <c r="H349" s="41">
        <v>25</v>
      </c>
      <c r="I349" s="42">
        <v>1.3898999999999999</v>
      </c>
      <c r="J349" s="41">
        <f t="shared" si="54"/>
        <v>34.75</v>
      </c>
      <c r="K349" s="40"/>
      <c r="L349" s="43"/>
      <c r="M349" s="44"/>
      <c r="N349" s="43"/>
      <c r="R349" s="126" t="s">
        <v>305</v>
      </c>
      <c r="S349" s="126"/>
      <c r="T349" s="126"/>
      <c r="U349" s="126"/>
      <c r="V349" s="126"/>
    </row>
    <row r="350" spans="1:22" ht="15" customHeight="1" x14ac:dyDescent="0.2">
      <c r="A350" s="27" t="s">
        <v>126</v>
      </c>
      <c r="B350" s="37">
        <v>25</v>
      </c>
      <c r="C350" s="38">
        <v>30</v>
      </c>
      <c r="D350" s="39">
        <v>0.48492000000000002</v>
      </c>
      <c r="E350" s="39">
        <v>0.70989999999999998</v>
      </c>
      <c r="F350" s="37">
        <f t="shared" si="53"/>
        <v>17.75</v>
      </c>
      <c r="G350" s="40"/>
      <c r="H350" s="41">
        <v>25</v>
      </c>
      <c r="I350" s="42">
        <v>0.70989999999999998</v>
      </c>
      <c r="J350" s="41">
        <f t="shared" si="54"/>
        <v>17.75</v>
      </c>
      <c r="K350" s="40"/>
      <c r="L350" s="43"/>
      <c r="M350" s="44"/>
      <c r="N350" s="43"/>
      <c r="R350" s="126" t="s">
        <v>306</v>
      </c>
      <c r="S350" s="126"/>
      <c r="T350" s="126"/>
      <c r="U350" s="126"/>
      <c r="V350" s="126"/>
    </row>
    <row r="351" spans="1:22" ht="15" customHeight="1" x14ac:dyDescent="0.2">
      <c r="A351" s="27" t="s">
        <v>128</v>
      </c>
      <c r="B351" s="37">
        <v>25</v>
      </c>
      <c r="C351" s="38">
        <v>30</v>
      </c>
      <c r="D351" s="39">
        <v>0.40275</v>
      </c>
      <c r="E351" s="39">
        <v>0.6099</v>
      </c>
      <c r="F351" s="37">
        <f t="shared" si="53"/>
        <v>15.25</v>
      </c>
      <c r="G351" s="40"/>
      <c r="H351" s="41">
        <v>25</v>
      </c>
      <c r="I351" s="42">
        <v>0.6099</v>
      </c>
      <c r="J351" s="41">
        <f t="shared" si="54"/>
        <v>15.25</v>
      </c>
      <c r="K351" s="40"/>
      <c r="L351" s="43"/>
      <c r="M351" s="44"/>
      <c r="N351" s="43"/>
      <c r="R351" s="132" t="s">
        <v>162</v>
      </c>
      <c r="S351" s="132"/>
      <c r="T351" s="132"/>
      <c r="U351" s="132"/>
      <c r="V351" s="132"/>
    </row>
    <row r="352" spans="1:22" ht="15" customHeight="1" x14ac:dyDescent="0.2">
      <c r="A352" s="27" t="s">
        <v>130</v>
      </c>
      <c r="B352" s="37">
        <v>25</v>
      </c>
      <c r="C352" s="38">
        <v>30</v>
      </c>
      <c r="D352" s="39">
        <v>0.32055</v>
      </c>
      <c r="E352" s="39">
        <v>0.49990000000000001</v>
      </c>
      <c r="F352" s="37">
        <f t="shared" si="53"/>
        <v>12.5</v>
      </c>
      <c r="G352" s="40"/>
      <c r="H352" s="41">
        <v>25</v>
      </c>
      <c r="I352" s="42">
        <v>0.49990000000000001</v>
      </c>
      <c r="J352" s="41">
        <f t="shared" si="54"/>
        <v>12.5</v>
      </c>
      <c r="K352" s="40"/>
      <c r="L352" s="43"/>
      <c r="M352" s="44"/>
      <c r="N352" s="43"/>
      <c r="R352" s="128" t="s">
        <v>131</v>
      </c>
      <c r="S352" s="128"/>
      <c r="T352" s="128"/>
      <c r="U352" s="128"/>
      <c r="V352" s="128"/>
    </row>
    <row r="353" spans="1:22" ht="15" customHeight="1" x14ac:dyDescent="0.2">
      <c r="A353" s="27" t="s">
        <v>132</v>
      </c>
      <c r="B353" s="37">
        <v>25</v>
      </c>
      <c r="C353" s="38">
        <v>30</v>
      </c>
      <c r="D353" s="39">
        <v>0.23835000000000001</v>
      </c>
      <c r="E353" s="39">
        <v>0.39989999999999998</v>
      </c>
      <c r="F353" s="37">
        <f t="shared" si="53"/>
        <v>10</v>
      </c>
      <c r="G353" s="40"/>
      <c r="H353" s="41">
        <v>25</v>
      </c>
      <c r="I353" s="42">
        <v>0.39989999999999998</v>
      </c>
      <c r="J353" s="41">
        <f t="shared" si="54"/>
        <v>10</v>
      </c>
      <c r="K353" s="40"/>
      <c r="L353" s="43"/>
      <c r="M353" s="44"/>
      <c r="N353" s="43"/>
    </row>
    <row r="354" spans="1:22" ht="15" customHeight="1" x14ac:dyDescent="0.2">
      <c r="A354" s="45" t="s">
        <v>133</v>
      </c>
      <c r="B354" s="46">
        <f>IF($P$354="",1575.25,ROUND(1575.25*((736.3019/(1-$P$354))-155.5)/635.38,2))</f>
        <v>1575.25</v>
      </c>
      <c r="C354" s="38"/>
      <c r="D354" s="47">
        <v>0.12989999999999999</v>
      </c>
      <c r="E354" s="39">
        <v>0.15</v>
      </c>
      <c r="F354" s="37">
        <f t="shared" si="53"/>
        <v>236.29</v>
      </c>
      <c r="G354" s="40"/>
      <c r="H354" s="48">
        <v>1135.53</v>
      </c>
      <c r="I354" s="42">
        <v>0.16</v>
      </c>
      <c r="J354" s="41">
        <f t="shared" si="54"/>
        <v>181.68</v>
      </c>
      <c r="K354" s="40"/>
      <c r="L354" s="49"/>
      <c r="M354" s="44"/>
      <c r="N354" s="43"/>
      <c r="O354" s="50" t="s">
        <v>134</v>
      </c>
      <c r="P354" s="51"/>
    </row>
    <row r="355" spans="1:22" ht="15" customHeight="1" x14ac:dyDescent="0.2">
      <c r="A355" s="45" t="s">
        <v>135</v>
      </c>
      <c r="B355" s="46">
        <f>IF($P$354="",1054.3,ROUND(1054.3*((736.3019/(1-$P$354))-155.5)/635.38,2))</f>
        <v>1054.3</v>
      </c>
      <c r="C355" s="38"/>
      <c r="D355" s="47">
        <v>0.12989999999999999</v>
      </c>
      <c r="E355" s="39">
        <v>0.14000000000000001</v>
      </c>
      <c r="F355" s="37">
        <f t="shared" si="53"/>
        <v>147.6</v>
      </c>
      <c r="G355" s="40"/>
      <c r="H355" s="48">
        <v>771.98800000000006</v>
      </c>
      <c r="I355" s="42">
        <v>0.15</v>
      </c>
      <c r="J355" s="41">
        <f t="shared" si="54"/>
        <v>115.8</v>
      </c>
      <c r="K355" s="40"/>
      <c r="L355" s="49"/>
      <c r="M355" s="44"/>
      <c r="N355" s="43"/>
      <c r="O355" s="52" t="s">
        <v>136</v>
      </c>
    </row>
    <row r="356" spans="1:22" ht="15" customHeight="1" x14ac:dyDescent="0.2">
      <c r="A356" s="45" t="s">
        <v>137</v>
      </c>
      <c r="B356" s="46">
        <f>IF($P$354="",2225.54,ROUND(2225.54*((736.3019/(1-$P$354))-155.5)/635.38,2))</f>
        <v>2225.54</v>
      </c>
      <c r="C356" s="38"/>
      <c r="D356" s="47">
        <v>0.12989999999999999</v>
      </c>
      <c r="E356" s="39">
        <v>0.113</v>
      </c>
      <c r="F356" s="37">
        <f t="shared" si="53"/>
        <v>251.49</v>
      </c>
      <c r="G356" s="40"/>
      <c r="H356" s="48">
        <v>2170.5300000000002</v>
      </c>
      <c r="I356" s="42">
        <v>0.113</v>
      </c>
      <c r="J356" s="41">
        <f t="shared" si="54"/>
        <v>245.27</v>
      </c>
      <c r="K356" s="40"/>
      <c r="L356" s="49"/>
      <c r="M356" s="44"/>
      <c r="N356" s="43"/>
      <c r="O356" s="52" t="s">
        <v>138</v>
      </c>
    </row>
    <row r="357" spans="1:22" ht="15" customHeight="1" x14ac:dyDescent="0.2">
      <c r="A357" s="27" t="s">
        <v>139</v>
      </c>
      <c r="B357" s="37">
        <v>1</v>
      </c>
      <c r="C357" s="53">
        <v>30</v>
      </c>
      <c r="D357" s="39">
        <v>5.8</v>
      </c>
      <c r="E357" s="39">
        <v>5.8</v>
      </c>
      <c r="F357" s="37">
        <f t="shared" si="53"/>
        <v>5.8</v>
      </c>
      <c r="G357" s="40"/>
      <c r="H357" s="41">
        <v>1</v>
      </c>
      <c r="I357" s="42">
        <v>5.8</v>
      </c>
      <c r="J357" s="41">
        <f t="shared" si="54"/>
        <v>5.8</v>
      </c>
      <c r="K357" s="40"/>
      <c r="L357" s="43"/>
      <c r="M357" s="44"/>
      <c r="N357" s="43"/>
    </row>
    <row r="358" spans="1:22" ht="15" customHeight="1" x14ac:dyDescent="0.2">
      <c r="A358" s="27" t="s">
        <v>140</v>
      </c>
      <c r="B358" s="37">
        <v>30</v>
      </c>
      <c r="C358" s="53">
        <v>30</v>
      </c>
      <c r="D358" s="39">
        <v>1.274E-2</v>
      </c>
      <c r="E358" s="39">
        <v>1.274E-2</v>
      </c>
      <c r="F358" s="37">
        <f t="shared" si="53"/>
        <v>0.38</v>
      </c>
      <c r="G358" s="40"/>
      <c r="H358" s="41">
        <v>30</v>
      </c>
      <c r="I358" s="42">
        <v>1.274E-2</v>
      </c>
      <c r="J358" s="41">
        <f t="shared" si="54"/>
        <v>0.38</v>
      </c>
      <c r="K358" s="40"/>
      <c r="L358" s="43"/>
      <c r="M358" s="44"/>
      <c r="N358" s="43"/>
    </row>
    <row r="359" spans="1:22" ht="15" customHeight="1" x14ac:dyDescent="0.2">
      <c r="A359" s="27" t="s">
        <v>141</v>
      </c>
      <c r="B359" s="37">
        <v>52.15</v>
      </c>
      <c r="C359" s="38"/>
      <c r="D359" s="39">
        <v>1</v>
      </c>
      <c r="E359" s="39">
        <v>1</v>
      </c>
      <c r="F359" s="37">
        <f t="shared" si="53"/>
        <v>52.15</v>
      </c>
      <c r="G359" s="40"/>
      <c r="H359" s="41">
        <v>38.15</v>
      </c>
      <c r="I359" s="42">
        <v>1</v>
      </c>
      <c r="J359" s="41">
        <f t="shared" si="54"/>
        <v>38.15</v>
      </c>
      <c r="K359" s="40"/>
      <c r="L359" s="43"/>
      <c r="M359" s="44"/>
      <c r="N359" s="43"/>
    </row>
    <row r="360" spans="1:22" ht="15" customHeight="1" x14ac:dyDescent="0.2">
      <c r="A360" s="54" t="s">
        <v>142</v>
      </c>
      <c r="B360" s="55"/>
      <c r="C360" s="55"/>
      <c r="D360" s="55"/>
      <c r="E360" s="55"/>
      <c r="F360" s="56">
        <f>ROUND((SUM(F348:F359)-F359)*1.21+F359,2)</f>
        <v>1016.59</v>
      </c>
      <c r="G360" s="55"/>
      <c r="H360" s="55"/>
      <c r="I360" s="55"/>
      <c r="J360" s="57">
        <f>ROUND((SUM(J348:J359)-J359)*1.21+J359,2)</f>
        <v>890.51</v>
      </c>
      <c r="K360" s="55"/>
      <c r="L360" s="55"/>
      <c r="M360" s="55"/>
      <c r="N360" s="55"/>
    </row>
    <row r="361" spans="1:22" ht="15" customHeight="1" x14ac:dyDescent="0.2">
      <c r="A361" s="59" t="s">
        <v>143</v>
      </c>
      <c r="B361" s="129">
        <f>(SUM(F348:F356)-736.3019)/SUM(F348:F356)</f>
        <v>6.9009331377705777E-2</v>
      </c>
      <c r="C361" s="129"/>
      <c r="D361" s="129"/>
      <c r="E361" s="129"/>
      <c r="F361" s="129"/>
      <c r="G361" s="60"/>
      <c r="H361" s="130"/>
      <c r="I361" s="130"/>
      <c r="J361" s="130"/>
      <c r="K361" s="60"/>
      <c r="L361" s="131" t="str">
        <f>IF(B361&gt;=0.3,"APROBAR",IF(B361&gt;=0.2,"REVISAR","RECHAZAR"))</f>
        <v>RECHAZAR</v>
      </c>
      <c r="M361" s="131"/>
      <c r="N361" s="131"/>
    </row>
    <row r="363" spans="1:22" ht="15" customHeight="1" x14ac:dyDescent="0.2">
      <c r="A363" s="7" t="s">
        <v>307</v>
      </c>
      <c r="B363" s="7"/>
      <c r="C363" s="7"/>
      <c r="D363" s="7"/>
      <c r="E363" s="7"/>
      <c r="F363" s="7"/>
      <c r="G363" s="7"/>
      <c r="H363" s="7"/>
      <c r="I363" s="6" t="s">
        <v>308</v>
      </c>
      <c r="J363" s="6"/>
      <c r="K363" s="6"/>
      <c r="L363" s="6"/>
      <c r="M363" s="6"/>
      <c r="N363" s="6"/>
      <c r="R363" s="5" t="s">
        <v>110</v>
      </c>
      <c r="S363" s="5"/>
      <c r="T363" s="5"/>
      <c r="U363" s="5"/>
      <c r="V363" s="5"/>
    </row>
    <row r="364" spans="1:22" ht="15" customHeight="1" x14ac:dyDescent="0.2">
      <c r="A364" s="32" t="s">
        <v>111</v>
      </c>
      <c r="B364" s="4" t="s">
        <v>112</v>
      </c>
      <c r="C364" s="4"/>
      <c r="D364" s="4"/>
      <c r="E364" s="4"/>
      <c r="F364" s="4"/>
      <c r="G364" s="33"/>
      <c r="H364" s="3" t="s">
        <v>309</v>
      </c>
      <c r="I364" s="3"/>
      <c r="J364" s="3"/>
      <c r="K364" s="33"/>
      <c r="L364" s="2" t="s">
        <v>310</v>
      </c>
      <c r="M364" s="2"/>
      <c r="N364" s="2"/>
      <c r="R364" s="1" t="s">
        <v>311</v>
      </c>
      <c r="S364" s="1"/>
      <c r="T364" s="1"/>
      <c r="U364" s="1"/>
      <c r="V364" s="1"/>
    </row>
    <row r="365" spans="1:22" ht="15" customHeight="1" x14ac:dyDescent="0.2">
      <c r="A365" s="33"/>
      <c r="B365" s="34" t="s">
        <v>116</v>
      </c>
      <c r="C365" s="34" t="s">
        <v>117</v>
      </c>
      <c r="D365" s="34" t="s">
        <v>118</v>
      </c>
      <c r="E365" s="34" t="s">
        <v>119</v>
      </c>
      <c r="F365" s="34" t="s">
        <v>120</v>
      </c>
      <c r="G365" s="33"/>
      <c r="H365" s="35" t="s">
        <v>116</v>
      </c>
      <c r="I365" s="35" t="s">
        <v>119</v>
      </c>
      <c r="J365" s="35" t="s">
        <v>120</v>
      </c>
      <c r="K365" s="33"/>
      <c r="L365" s="36" t="s">
        <v>116</v>
      </c>
      <c r="M365" s="36" t="s">
        <v>119</v>
      </c>
      <c r="N365" s="36" t="s">
        <v>120</v>
      </c>
      <c r="R365" s="124" t="s">
        <v>312</v>
      </c>
      <c r="S365" s="124"/>
      <c r="T365" s="124"/>
      <c r="U365" s="124"/>
      <c r="V365" s="124"/>
    </row>
    <row r="366" spans="1:22" ht="15" customHeight="1" x14ac:dyDescent="0.2">
      <c r="A366" s="27" t="s">
        <v>122</v>
      </c>
      <c r="B366" s="37">
        <v>20</v>
      </c>
      <c r="C366" s="38">
        <v>30</v>
      </c>
      <c r="D366" s="39">
        <v>1.7178</v>
      </c>
      <c r="E366" s="39">
        <v>2.5541999999999998</v>
      </c>
      <c r="F366" s="37">
        <f t="shared" ref="F366:F377" si="55">ROUND(B366*E366,2)</f>
        <v>51.08</v>
      </c>
      <c r="G366" s="40"/>
      <c r="H366" s="41">
        <v>20</v>
      </c>
      <c r="I366" s="42">
        <v>2.5541999999999998</v>
      </c>
      <c r="J366" s="41">
        <f t="shared" ref="J366:J377" si="56">ROUND(H366*I366,2)</f>
        <v>51.08</v>
      </c>
      <c r="K366" s="40"/>
      <c r="L366" s="43">
        <v>20</v>
      </c>
      <c r="M366" s="44">
        <v>2.5541999999999998</v>
      </c>
      <c r="N366" s="43">
        <f t="shared" ref="N366:N377" si="57">ROUND(L366*M366,2)</f>
        <v>51.08</v>
      </c>
      <c r="R366" s="125" t="s">
        <v>313</v>
      </c>
      <c r="S366" s="125"/>
      <c r="T366" s="125"/>
      <c r="U366" s="125"/>
      <c r="V366" s="125"/>
    </row>
    <row r="367" spans="1:22" ht="15" customHeight="1" x14ac:dyDescent="0.2">
      <c r="A367" s="27" t="s">
        <v>124</v>
      </c>
      <c r="B367" s="37">
        <v>20</v>
      </c>
      <c r="C367" s="38">
        <v>30</v>
      </c>
      <c r="D367" s="39">
        <v>1.06026</v>
      </c>
      <c r="E367" s="39">
        <v>1.3773</v>
      </c>
      <c r="F367" s="37">
        <f t="shared" si="55"/>
        <v>27.55</v>
      </c>
      <c r="G367" s="40"/>
      <c r="H367" s="41">
        <v>20</v>
      </c>
      <c r="I367" s="42">
        <v>1.3773</v>
      </c>
      <c r="J367" s="41">
        <f t="shared" si="56"/>
        <v>27.55</v>
      </c>
      <c r="K367" s="40"/>
      <c r="L367" s="43">
        <v>20</v>
      </c>
      <c r="M367" s="44">
        <v>1.3773</v>
      </c>
      <c r="N367" s="43">
        <f t="shared" si="57"/>
        <v>27.55</v>
      </c>
      <c r="R367" s="126" t="s">
        <v>314</v>
      </c>
      <c r="S367" s="126"/>
      <c r="T367" s="126"/>
      <c r="U367" s="126"/>
      <c r="V367" s="126"/>
    </row>
    <row r="368" spans="1:22" ht="15" customHeight="1" x14ac:dyDescent="0.2">
      <c r="A368" s="27" t="s">
        <v>126</v>
      </c>
      <c r="B368" s="37">
        <v>20</v>
      </c>
      <c r="C368" s="38">
        <v>30</v>
      </c>
      <c r="D368" s="39">
        <v>0.48492000000000002</v>
      </c>
      <c r="E368" s="39">
        <v>0.62860000000000005</v>
      </c>
      <c r="F368" s="37">
        <f t="shared" si="55"/>
        <v>12.57</v>
      </c>
      <c r="G368" s="40"/>
      <c r="H368" s="41">
        <v>20</v>
      </c>
      <c r="I368" s="42">
        <v>0.62860000000000005</v>
      </c>
      <c r="J368" s="41">
        <f t="shared" si="56"/>
        <v>12.57</v>
      </c>
      <c r="K368" s="40"/>
      <c r="L368" s="43">
        <v>20</v>
      </c>
      <c r="M368" s="44">
        <v>0.62860000000000005</v>
      </c>
      <c r="N368" s="43">
        <f t="shared" si="57"/>
        <v>12.57</v>
      </c>
      <c r="R368" s="126" t="s">
        <v>315</v>
      </c>
      <c r="S368" s="126"/>
      <c r="T368" s="126"/>
      <c r="U368" s="126"/>
      <c r="V368" s="126"/>
    </row>
    <row r="369" spans="1:22" ht="15" customHeight="1" x14ac:dyDescent="0.2">
      <c r="A369" s="27" t="s">
        <v>128</v>
      </c>
      <c r="B369" s="37">
        <v>20</v>
      </c>
      <c r="C369" s="38">
        <v>30</v>
      </c>
      <c r="D369" s="39">
        <v>0.40275</v>
      </c>
      <c r="E369" s="39">
        <v>0.55610000000000004</v>
      </c>
      <c r="F369" s="37">
        <f t="shared" si="55"/>
        <v>11.12</v>
      </c>
      <c r="G369" s="40"/>
      <c r="H369" s="41">
        <v>20</v>
      </c>
      <c r="I369" s="42">
        <v>0.55610000000000004</v>
      </c>
      <c r="J369" s="41">
        <f t="shared" si="56"/>
        <v>11.12</v>
      </c>
      <c r="K369" s="40"/>
      <c r="L369" s="43">
        <v>20</v>
      </c>
      <c r="M369" s="44">
        <v>0.55610000000000004</v>
      </c>
      <c r="N369" s="43">
        <f t="shared" si="57"/>
        <v>11.12</v>
      </c>
      <c r="R369" s="132" t="s">
        <v>162</v>
      </c>
      <c r="S369" s="132"/>
      <c r="T369" s="132"/>
      <c r="U369" s="132"/>
      <c r="V369" s="132"/>
    </row>
    <row r="370" spans="1:22" ht="15" customHeight="1" x14ac:dyDescent="0.2">
      <c r="A370" s="27" t="s">
        <v>130</v>
      </c>
      <c r="B370" s="37">
        <v>20</v>
      </c>
      <c r="C370" s="38">
        <v>30</v>
      </c>
      <c r="D370" s="39">
        <v>0.32055</v>
      </c>
      <c r="E370" s="39">
        <v>0.38679999999999998</v>
      </c>
      <c r="F370" s="37">
        <f t="shared" si="55"/>
        <v>7.74</v>
      </c>
      <c r="G370" s="40"/>
      <c r="H370" s="41">
        <v>20</v>
      </c>
      <c r="I370" s="42">
        <v>0.38679999999999998</v>
      </c>
      <c r="J370" s="41">
        <f t="shared" si="56"/>
        <v>7.74</v>
      </c>
      <c r="K370" s="40"/>
      <c r="L370" s="43">
        <v>20</v>
      </c>
      <c r="M370" s="44">
        <v>0.38679999999999998</v>
      </c>
      <c r="N370" s="43">
        <f t="shared" si="57"/>
        <v>7.74</v>
      </c>
      <c r="R370" s="128" t="s">
        <v>131</v>
      </c>
      <c r="S370" s="128"/>
      <c r="T370" s="128"/>
      <c r="U370" s="128"/>
      <c r="V370" s="128"/>
    </row>
    <row r="371" spans="1:22" ht="15" customHeight="1" x14ac:dyDescent="0.2">
      <c r="A371" s="27" t="s">
        <v>132</v>
      </c>
      <c r="B371" s="37">
        <v>20</v>
      </c>
      <c r="C371" s="38">
        <v>30</v>
      </c>
      <c r="D371" s="39">
        <v>0.23835000000000001</v>
      </c>
      <c r="E371" s="39">
        <v>0.26529999999999998</v>
      </c>
      <c r="F371" s="37">
        <f t="shared" si="55"/>
        <v>5.31</v>
      </c>
      <c r="G371" s="40"/>
      <c r="H371" s="41">
        <v>20</v>
      </c>
      <c r="I371" s="42">
        <v>0.26529999999999998</v>
      </c>
      <c r="J371" s="41">
        <f t="shared" si="56"/>
        <v>5.31</v>
      </c>
      <c r="K371" s="40"/>
      <c r="L371" s="43">
        <v>20</v>
      </c>
      <c r="M371" s="44">
        <v>0.26529999999999998</v>
      </c>
      <c r="N371" s="43">
        <f t="shared" si="57"/>
        <v>5.31</v>
      </c>
    </row>
    <row r="372" spans="1:22" ht="15" customHeight="1" x14ac:dyDescent="0.2">
      <c r="A372" s="45" t="s">
        <v>133</v>
      </c>
      <c r="B372" s="46">
        <f>IF($P$372="",1734.94,ROUND(1734.94*((532.1382/(1-$P$372))-115.37)/520.78,2))</f>
        <v>1734.94</v>
      </c>
      <c r="C372" s="38"/>
      <c r="D372" s="47">
        <v>0.11068799999999999</v>
      </c>
      <c r="E372" s="39">
        <v>0.13500000000000001</v>
      </c>
      <c r="F372" s="37">
        <f t="shared" si="55"/>
        <v>234.22</v>
      </c>
      <c r="G372" s="40"/>
      <c r="H372" s="48">
        <v>1534.94</v>
      </c>
      <c r="I372" s="42">
        <v>0.13</v>
      </c>
      <c r="J372" s="41">
        <f t="shared" si="56"/>
        <v>199.54</v>
      </c>
      <c r="K372" s="40"/>
      <c r="L372" s="49">
        <v>254.86500000000001</v>
      </c>
      <c r="M372" s="44">
        <v>0.14000000000000001</v>
      </c>
      <c r="N372" s="43">
        <f t="shared" si="57"/>
        <v>35.68</v>
      </c>
      <c r="O372" s="50" t="s">
        <v>134</v>
      </c>
      <c r="P372" s="51"/>
    </row>
    <row r="373" spans="1:22" ht="15" customHeight="1" x14ac:dyDescent="0.2">
      <c r="A373" s="45" t="s">
        <v>135</v>
      </c>
      <c r="B373" s="46">
        <f>IF($P$372="",1936.058,ROUND(1936.058*((532.1382/(1-$P$372))-115.37)/520.78,2))</f>
        <v>1936.058</v>
      </c>
      <c r="C373" s="38"/>
      <c r="D373" s="47">
        <v>0.11068799999999999</v>
      </c>
      <c r="E373" s="39">
        <v>0.13500000000000001</v>
      </c>
      <c r="F373" s="37">
        <f t="shared" si="55"/>
        <v>261.37</v>
      </c>
      <c r="G373" s="40"/>
      <c r="H373" s="48">
        <v>836.05799999999999</v>
      </c>
      <c r="I373" s="42">
        <v>0.13</v>
      </c>
      <c r="J373" s="41">
        <f t="shared" si="56"/>
        <v>108.69</v>
      </c>
      <c r="K373" s="40"/>
      <c r="L373" s="49">
        <v>1488.69</v>
      </c>
      <c r="M373" s="44">
        <v>0.13500000000000001</v>
      </c>
      <c r="N373" s="43">
        <f t="shared" si="57"/>
        <v>200.97</v>
      </c>
      <c r="O373" s="52" t="s">
        <v>136</v>
      </c>
    </row>
    <row r="374" spans="1:22" ht="15" customHeight="1" x14ac:dyDescent="0.2">
      <c r="A374" s="45" t="s">
        <v>137</v>
      </c>
      <c r="B374" s="46">
        <f>IF($P$372="",186.587,ROUND(186.587*((532.1382/(1-$P$372))-115.37)/520.78,2))</f>
        <v>186.58699999999999</v>
      </c>
      <c r="C374" s="38"/>
      <c r="D374" s="47">
        <v>0.22137599999999999</v>
      </c>
      <c r="E374" s="39">
        <v>0.13500000000000001</v>
      </c>
      <c r="F374" s="37">
        <f t="shared" si="55"/>
        <v>25.19</v>
      </c>
      <c r="G374" s="40"/>
      <c r="H374" s="48">
        <v>86.587000000000003</v>
      </c>
      <c r="I374" s="42">
        <v>0.13</v>
      </c>
      <c r="J374" s="41">
        <f t="shared" si="56"/>
        <v>11.26</v>
      </c>
      <c r="K374" s="40"/>
      <c r="L374" s="49">
        <v>894.69299999999998</v>
      </c>
      <c r="M374" s="44">
        <v>0.13500000000000001</v>
      </c>
      <c r="N374" s="43">
        <f t="shared" si="57"/>
        <v>120.78</v>
      </c>
      <c r="O374" s="52" t="s">
        <v>138</v>
      </c>
    </row>
    <row r="375" spans="1:22" ht="15" customHeight="1" x14ac:dyDescent="0.2">
      <c r="A375" s="27" t="s">
        <v>139</v>
      </c>
      <c r="B375" s="37">
        <v>1</v>
      </c>
      <c r="C375" s="53">
        <v>30</v>
      </c>
      <c r="D375" s="39">
        <v>17.614999999999998</v>
      </c>
      <c r="E375" s="39">
        <v>17.614999999999998</v>
      </c>
      <c r="F375" s="37">
        <f t="shared" si="55"/>
        <v>17.62</v>
      </c>
      <c r="G375" s="40"/>
      <c r="H375" s="41">
        <v>1</v>
      </c>
      <c r="I375" s="42">
        <v>17.614999999999998</v>
      </c>
      <c r="J375" s="41">
        <f t="shared" si="56"/>
        <v>17.62</v>
      </c>
      <c r="K375" s="40"/>
      <c r="L375" s="43">
        <v>1</v>
      </c>
      <c r="M375" s="44">
        <v>17.614999999999998</v>
      </c>
      <c r="N375" s="43">
        <f t="shared" si="57"/>
        <v>17.62</v>
      </c>
    </row>
    <row r="376" spans="1:22" ht="15" customHeight="1" x14ac:dyDescent="0.2">
      <c r="A376" s="27" t="s">
        <v>140</v>
      </c>
      <c r="B376" s="37">
        <v>30</v>
      </c>
      <c r="C376" s="53">
        <v>30</v>
      </c>
      <c r="D376" s="39">
        <v>1.9120000000000002E-2</v>
      </c>
      <c r="E376" s="39">
        <v>1.9120000000000002E-2</v>
      </c>
      <c r="F376" s="37">
        <f t="shared" si="55"/>
        <v>0.56999999999999995</v>
      </c>
      <c r="G376" s="40"/>
      <c r="H376" s="41">
        <v>30</v>
      </c>
      <c r="I376" s="42">
        <v>1.9120000000000002E-2</v>
      </c>
      <c r="J376" s="41">
        <f t="shared" si="56"/>
        <v>0.56999999999999995</v>
      </c>
      <c r="K376" s="40"/>
      <c r="L376" s="43">
        <v>30</v>
      </c>
      <c r="M376" s="44">
        <v>6.2899999999999996E-3</v>
      </c>
      <c r="N376" s="43">
        <f t="shared" si="57"/>
        <v>0.19</v>
      </c>
    </row>
    <row r="377" spans="1:22" ht="15" customHeight="1" x14ac:dyDescent="0.2">
      <c r="A377" s="27" t="s">
        <v>141</v>
      </c>
      <c r="B377" s="37">
        <v>45.06</v>
      </c>
      <c r="C377" s="38"/>
      <c r="D377" s="39">
        <v>1</v>
      </c>
      <c r="E377" s="39">
        <v>1</v>
      </c>
      <c r="F377" s="37">
        <f t="shared" si="55"/>
        <v>45.06</v>
      </c>
      <c r="G377" s="40"/>
      <c r="H377" s="41">
        <v>30.8</v>
      </c>
      <c r="I377" s="42">
        <v>1</v>
      </c>
      <c r="J377" s="41">
        <f t="shared" si="56"/>
        <v>30.8</v>
      </c>
      <c r="K377" s="40"/>
      <c r="L377" s="43">
        <v>46.1</v>
      </c>
      <c r="M377" s="44">
        <v>1</v>
      </c>
      <c r="N377" s="43">
        <f t="shared" si="57"/>
        <v>46.1</v>
      </c>
    </row>
    <row r="378" spans="1:22" ht="15" customHeight="1" x14ac:dyDescent="0.2">
      <c r="A378" s="54" t="s">
        <v>142</v>
      </c>
      <c r="B378" s="55"/>
      <c r="C378" s="55"/>
      <c r="D378" s="55"/>
      <c r="E378" s="55"/>
      <c r="F378" s="56">
        <f>ROUND((SUM(F366:F377)-F377)*1.21+F377,2)</f>
        <v>836.81</v>
      </c>
      <c r="G378" s="55"/>
      <c r="H378" s="55"/>
      <c r="I378" s="55"/>
      <c r="J378" s="57">
        <f>ROUND((SUM(J366:J377)-J377)*1.21+J377,2)</f>
        <v>578.99</v>
      </c>
      <c r="K378" s="55"/>
      <c r="L378" s="55"/>
      <c r="M378" s="55"/>
      <c r="N378" s="58">
        <f>ROUND((SUM(N366:N377)-N377)*1.21+N377,2)</f>
        <v>639.74</v>
      </c>
    </row>
    <row r="379" spans="1:22" ht="15" customHeight="1" x14ac:dyDescent="0.2">
      <c r="A379" s="59" t="s">
        <v>143</v>
      </c>
      <c r="B379" s="129">
        <f>(SUM(F366:F374)-532.1382)/SUM(F366:F374)</f>
        <v>0.16350200424428216</v>
      </c>
      <c r="C379" s="129"/>
      <c r="D379" s="129"/>
      <c r="E379" s="129"/>
      <c r="F379" s="129"/>
      <c r="G379" s="60"/>
      <c r="H379" s="130"/>
      <c r="I379" s="130"/>
      <c r="J379" s="130"/>
      <c r="K379" s="60"/>
      <c r="L379" s="131" t="str">
        <f>IF(B379&gt;=0.3,"APROBAR",IF(B379&gt;=0.2,"REVISAR","RECHAZAR"))</f>
        <v>RECHAZAR</v>
      </c>
      <c r="M379" s="131"/>
      <c r="N379" s="131"/>
    </row>
    <row r="381" spans="1:22" ht="15" customHeight="1" x14ac:dyDescent="0.2">
      <c r="A381" s="7" t="s">
        <v>316</v>
      </c>
      <c r="B381" s="7"/>
      <c r="C381" s="7"/>
      <c r="D381" s="7"/>
      <c r="E381" s="7"/>
      <c r="F381" s="7"/>
      <c r="G381" s="7"/>
      <c r="H381" s="7"/>
      <c r="I381" s="6" t="s">
        <v>317</v>
      </c>
      <c r="J381" s="6"/>
      <c r="K381" s="6"/>
      <c r="L381" s="6"/>
      <c r="M381" s="6"/>
      <c r="N381" s="6"/>
      <c r="R381" s="5" t="s">
        <v>110</v>
      </c>
      <c r="S381" s="5"/>
      <c r="T381" s="5"/>
      <c r="U381" s="5"/>
      <c r="V381" s="5"/>
    </row>
    <row r="382" spans="1:22" ht="15" customHeight="1" x14ac:dyDescent="0.2">
      <c r="A382" s="32" t="s">
        <v>111</v>
      </c>
      <c r="B382" s="4" t="s">
        <v>112</v>
      </c>
      <c r="C382" s="4"/>
      <c r="D382" s="4"/>
      <c r="E382" s="4"/>
      <c r="F382" s="4"/>
      <c r="G382" s="33"/>
      <c r="H382" s="3" t="s">
        <v>318</v>
      </c>
      <c r="I382" s="3"/>
      <c r="J382" s="3"/>
      <c r="K382" s="33"/>
      <c r="L382" s="2" t="s">
        <v>319</v>
      </c>
      <c r="M382" s="2"/>
      <c r="N382" s="2"/>
      <c r="R382" s="1" t="s">
        <v>320</v>
      </c>
      <c r="S382" s="1"/>
      <c r="T382" s="1"/>
      <c r="U382" s="1"/>
      <c r="V382" s="1"/>
    </row>
    <row r="383" spans="1:22" ht="15" customHeight="1" x14ac:dyDescent="0.2">
      <c r="A383" s="33"/>
      <c r="B383" s="34" t="s">
        <v>116</v>
      </c>
      <c r="C383" s="34" t="s">
        <v>117</v>
      </c>
      <c r="D383" s="34" t="s">
        <v>118</v>
      </c>
      <c r="E383" s="34" t="s">
        <v>119</v>
      </c>
      <c r="F383" s="34" t="s">
        <v>120</v>
      </c>
      <c r="G383" s="33"/>
      <c r="H383" s="35" t="s">
        <v>116</v>
      </c>
      <c r="I383" s="35" t="s">
        <v>119</v>
      </c>
      <c r="J383" s="35" t="s">
        <v>120</v>
      </c>
      <c r="K383" s="33"/>
      <c r="L383" s="36" t="s">
        <v>116</v>
      </c>
      <c r="M383" s="36" t="s">
        <v>119</v>
      </c>
      <c r="N383" s="36" t="s">
        <v>120</v>
      </c>
      <c r="R383" s="124" t="s">
        <v>321</v>
      </c>
      <c r="S383" s="124"/>
      <c r="T383" s="124"/>
      <c r="U383" s="124"/>
      <c r="V383" s="124"/>
    </row>
    <row r="384" spans="1:22" ht="15" customHeight="1" x14ac:dyDescent="0.2">
      <c r="A384" s="27" t="s">
        <v>122</v>
      </c>
      <c r="B384" s="37">
        <v>27.71</v>
      </c>
      <c r="C384" s="38">
        <v>30</v>
      </c>
      <c r="D384" s="39">
        <v>1.7378400000000001</v>
      </c>
      <c r="E384" s="39">
        <v>2.5541999999999998</v>
      </c>
      <c r="F384" s="37">
        <f t="shared" ref="F384:F395" si="58">ROUND(B384*E384,2)</f>
        <v>70.78</v>
      </c>
      <c r="G384" s="40"/>
      <c r="H384" s="41">
        <v>27.71</v>
      </c>
      <c r="I384" s="42">
        <v>2.5541999999999998</v>
      </c>
      <c r="J384" s="41">
        <f t="shared" ref="J384:J395" si="59">ROUND(H384*I384,2)</f>
        <v>70.78</v>
      </c>
      <c r="K384" s="40"/>
      <c r="L384" s="43">
        <v>27.71</v>
      </c>
      <c r="M384" s="44">
        <v>2.5541999999999998</v>
      </c>
      <c r="N384" s="43">
        <f t="shared" ref="N384:N395" si="60">ROUND(L384*M384,2)</f>
        <v>70.78</v>
      </c>
      <c r="R384" s="125" t="s">
        <v>322</v>
      </c>
      <c r="S384" s="125"/>
      <c r="T384" s="125"/>
      <c r="U384" s="125"/>
      <c r="V384" s="125"/>
    </row>
    <row r="385" spans="1:22" ht="15" customHeight="1" x14ac:dyDescent="0.2">
      <c r="A385" s="27" t="s">
        <v>124</v>
      </c>
      <c r="B385" s="37">
        <v>27.71</v>
      </c>
      <c r="C385" s="38">
        <v>30</v>
      </c>
      <c r="D385" s="39">
        <v>0.93569999999999998</v>
      </c>
      <c r="E385" s="39">
        <v>1.3773</v>
      </c>
      <c r="F385" s="37">
        <f t="shared" si="58"/>
        <v>38.159999999999997</v>
      </c>
      <c r="G385" s="40"/>
      <c r="H385" s="41">
        <v>27.71</v>
      </c>
      <c r="I385" s="42">
        <v>1.3773</v>
      </c>
      <c r="J385" s="41">
        <f t="shared" si="59"/>
        <v>38.159999999999997</v>
      </c>
      <c r="K385" s="40"/>
      <c r="L385" s="43">
        <v>27.71</v>
      </c>
      <c r="M385" s="44">
        <v>1.3773</v>
      </c>
      <c r="N385" s="43">
        <f t="shared" si="60"/>
        <v>38.159999999999997</v>
      </c>
      <c r="R385" s="126" t="s">
        <v>323</v>
      </c>
      <c r="S385" s="126"/>
      <c r="T385" s="126"/>
      <c r="U385" s="126"/>
      <c r="V385" s="126"/>
    </row>
    <row r="386" spans="1:22" ht="15" customHeight="1" x14ac:dyDescent="0.2">
      <c r="A386" s="27" t="s">
        <v>126</v>
      </c>
      <c r="B386" s="37">
        <v>27.71</v>
      </c>
      <c r="C386" s="38">
        <v>30</v>
      </c>
      <c r="D386" s="39">
        <v>0.43136999999999998</v>
      </c>
      <c r="E386" s="39">
        <v>0.62860000000000005</v>
      </c>
      <c r="F386" s="37">
        <f t="shared" si="58"/>
        <v>17.420000000000002</v>
      </c>
      <c r="G386" s="40"/>
      <c r="H386" s="41">
        <v>27.71</v>
      </c>
      <c r="I386" s="42">
        <v>0.62860000000000005</v>
      </c>
      <c r="J386" s="41">
        <f t="shared" si="59"/>
        <v>17.420000000000002</v>
      </c>
      <c r="K386" s="40"/>
      <c r="L386" s="43">
        <v>27.71</v>
      </c>
      <c r="M386" s="44">
        <v>0.62860000000000005</v>
      </c>
      <c r="N386" s="43">
        <f t="shared" si="60"/>
        <v>17.420000000000002</v>
      </c>
      <c r="R386" s="126" t="s">
        <v>324</v>
      </c>
      <c r="S386" s="126"/>
      <c r="T386" s="126"/>
      <c r="U386" s="126"/>
      <c r="V386" s="126"/>
    </row>
    <row r="387" spans="1:22" ht="15" customHeight="1" x14ac:dyDescent="0.2">
      <c r="A387" s="27" t="s">
        <v>128</v>
      </c>
      <c r="B387" s="37">
        <v>27.71</v>
      </c>
      <c r="C387" s="38">
        <v>30</v>
      </c>
      <c r="D387" s="39">
        <v>0.38244</v>
      </c>
      <c r="E387" s="39">
        <v>0.55610000000000004</v>
      </c>
      <c r="F387" s="37">
        <f t="shared" si="58"/>
        <v>15.41</v>
      </c>
      <c r="G387" s="40"/>
      <c r="H387" s="41">
        <v>27.71</v>
      </c>
      <c r="I387" s="42">
        <v>0.55610000000000004</v>
      </c>
      <c r="J387" s="41">
        <f t="shared" si="59"/>
        <v>15.41</v>
      </c>
      <c r="K387" s="40"/>
      <c r="L387" s="43">
        <v>27.71</v>
      </c>
      <c r="M387" s="44">
        <v>0.55610000000000004</v>
      </c>
      <c r="N387" s="43">
        <f t="shared" si="60"/>
        <v>15.41</v>
      </c>
      <c r="R387" s="132" t="s">
        <v>162</v>
      </c>
      <c r="S387" s="132"/>
      <c r="T387" s="132"/>
      <c r="U387" s="132"/>
      <c r="V387" s="132"/>
    </row>
    <row r="388" spans="1:22" ht="15" customHeight="1" x14ac:dyDescent="0.2">
      <c r="A388" s="27" t="s">
        <v>130</v>
      </c>
      <c r="B388" s="37">
        <v>27.71</v>
      </c>
      <c r="C388" s="38">
        <v>30</v>
      </c>
      <c r="D388" s="39">
        <v>0.26963999999999999</v>
      </c>
      <c r="E388" s="39">
        <v>0.38679999999999998</v>
      </c>
      <c r="F388" s="37">
        <f t="shared" si="58"/>
        <v>10.72</v>
      </c>
      <c r="G388" s="40"/>
      <c r="H388" s="41">
        <v>27.71</v>
      </c>
      <c r="I388" s="42">
        <v>0.38679999999999998</v>
      </c>
      <c r="J388" s="41">
        <f t="shared" si="59"/>
        <v>10.72</v>
      </c>
      <c r="K388" s="40"/>
      <c r="L388" s="43">
        <v>27.71</v>
      </c>
      <c r="M388" s="44">
        <v>0.38679999999999998</v>
      </c>
      <c r="N388" s="43">
        <f t="shared" si="60"/>
        <v>10.72</v>
      </c>
      <c r="R388" s="128" t="s">
        <v>131</v>
      </c>
      <c r="S388" s="128"/>
      <c r="T388" s="128"/>
      <c r="U388" s="128"/>
      <c r="V388" s="128"/>
    </row>
    <row r="389" spans="1:22" ht="15" customHeight="1" x14ac:dyDescent="0.2">
      <c r="A389" s="27" t="s">
        <v>132</v>
      </c>
      <c r="B389" s="37">
        <v>27.71</v>
      </c>
      <c r="C389" s="38">
        <v>30</v>
      </c>
      <c r="D389" s="39">
        <v>0.18156</v>
      </c>
      <c r="E389" s="39">
        <v>0.26529999999999998</v>
      </c>
      <c r="F389" s="37">
        <f t="shared" si="58"/>
        <v>7.35</v>
      </c>
      <c r="G389" s="40"/>
      <c r="H389" s="41">
        <v>27.71</v>
      </c>
      <c r="I389" s="42">
        <v>0.26529999999999998</v>
      </c>
      <c r="J389" s="41">
        <f t="shared" si="59"/>
        <v>7.35</v>
      </c>
      <c r="K389" s="40"/>
      <c r="L389" s="43">
        <v>27.71</v>
      </c>
      <c r="M389" s="44">
        <v>0.26529999999999998</v>
      </c>
      <c r="N389" s="43">
        <f t="shared" si="60"/>
        <v>7.35</v>
      </c>
    </row>
    <row r="390" spans="1:22" ht="15" customHeight="1" x14ac:dyDescent="0.2">
      <c r="A390" s="45" t="s">
        <v>133</v>
      </c>
      <c r="B390" s="46">
        <f>IF($P$390="",418.33,ROUND(418.33*((316.2685/(1-$P$390))-159.84)/268.73,2))</f>
        <v>418.33</v>
      </c>
      <c r="C390" s="38"/>
      <c r="D390" s="47">
        <v>0.121236</v>
      </c>
      <c r="E390" s="39">
        <v>0.14499999999999999</v>
      </c>
      <c r="F390" s="37">
        <f t="shared" si="58"/>
        <v>60.66</v>
      </c>
      <c r="G390" s="40"/>
      <c r="H390" s="48">
        <v>789.33</v>
      </c>
      <c r="I390" s="42">
        <v>0.15</v>
      </c>
      <c r="J390" s="41">
        <f t="shared" si="59"/>
        <v>118.4</v>
      </c>
      <c r="K390" s="40"/>
      <c r="L390" s="49">
        <v>618.39800000000002</v>
      </c>
      <c r="M390" s="44">
        <v>0.17680000000000001</v>
      </c>
      <c r="N390" s="43">
        <f t="shared" si="60"/>
        <v>109.33</v>
      </c>
      <c r="O390" s="50" t="s">
        <v>134</v>
      </c>
      <c r="P390" s="51"/>
    </row>
    <row r="391" spans="1:22" ht="15" customHeight="1" x14ac:dyDescent="0.2">
      <c r="A391" s="45" t="s">
        <v>135</v>
      </c>
      <c r="B391" s="46">
        <f>IF($P$390="",412.3,ROUND(412.3*((316.2685/(1-$P$390))-159.84)/268.73,2))</f>
        <v>412.3</v>
      </c>
      <c r="C391" s="38"/>
      <c r="D391" s="47">
        <v>0.114444</v>
      </c>
      <c r="E391" s="39">
        <v>0.14499999999999999</v>
      </c>
      <c r="F391" s="37">
        <f t="shared" si="58"/>
        <v>59.78</v>
      </c>
      <c r="G391" s="40"/>
      <c r="H391" s="48">
        <v>684.11199999999997</v>
      </c>
      <c r="I391" s="42">
        <v>0.15</v>
      </c>
      <c r="J391" s="41">
        <f t="shared" si="59"/>
        <v>102.62</v>
      </c>
      <c r="K391" s="40"/>
      <c r="L391" s="49">
        <v>517.452</v>
      </c>
      <c r="M391" s="44">
        <v>0.16730999999999999</v>
      </c>
      <c r="N391" s="43">
        <f t="shared" si="60"/>
        <v>86.57</v>
      </c>
      <c r="O391" s="52" t="s">
        <v>136</v>
      </c>
    </row>
    <row r="392" spans="1:22" ht="15" customHeight="1" x14ac:dyDescent="0.2">
      <c r="A392" s="45" t="s">
        <v>137</v>
      </c>
      <c r="B392" s="46">
        <f>IF($P$390="",1022.67,ROUND(1022.67*((316.2685/(1-$P$390))-159.84)/268.73,2))</f>
        <v>1022.67</v>
      </c>
      <c r="C392" s="38"/>
      <c r="D392" s="47">
        <v>0.106808</v>
      </c>
      <c r="E392" s="39">
        <v>0.14499999999999999</v>
      </c>
      <c r="F392" s="37">
        <f t="shared" si="58"/>
        <v>148.29</v>
      </c>
      <c r="G392" s="40"/>
      <c r="H392" s="48">
        <v>1456.79</v>
      </c>
      <c r="I392" s="42">
        <v>0.15</v>
      </c>
      <c r="J392" s="41">
        <f t="shared" si="59"/>
        <v>218.52</v>
      </c>
      <c r="K392" s="40"/>
      <c r="L392" s="49">
        <v>935.33900000000006</v>
      </c>
      <c r="M392" s="44">
        <v>0.16483</v>
      </c>
      <c r="N392" s="43">
        <f t="shared" si="60"/>
        <v>154.16999999999999</v>
      </c>
      <c r="O392" s="52" t="s">
        <v>138</v>
      </c>
    </row>
    <row r="393" spans="1:22" ht="15" customHeight="1" x14ac:dyDescent="0.2">
      <c r="A393" s="27" t="s">
        <v>139</v>
      </c>
      <c r="B393" s="37">
        <v>1</v>
      </c>
      <c r="C393" s="53">
        <v>30</v>
      </c>
      <c r="D393" s="39">
        <v>17.614999999999998</v>
      </c>
      <c r="E393" s="39">
        <v>17.614999999999998</v>
      </c>
      <c r="F393" s="37">
        <f t="shared" si="58"/>
        <v>17.62</v>
      </c>
      <c r="G393" s="40"/>
      <c r="H393" s="41">
        <v>1</v>
      </c>
      <c r="I393" s="42">
        <v>17.614999999999998</v>
      </c>
      <c r="J393" s="41">
        <f t="shared" si="59"/>
        <v>17.62</v>
      </c>
      <c r="K393" s="40"/>
      <c r="L393" s="43">
        <v>1</v>
      </c>
      <c r="M393" s="44">
        <v>17.614999999999998</v>
      </c>
      <c r="N393" s="43">
        <f t="shared" si="60"/>
        <v>17.62</v>
      </c>
    </row>
    <row r="394" spans="1:22" ht="15" customHeight="1" x14ac:dyDescent="0.2">
      <c r="A394" s="27" t="s">
        <v>140</v>
      </c>
      <c r="B394" s="37">
        <v>30</v>
      </c>
      <c r="C394" s="53">
        <v>30</v>
      </c>
      <c r="D394" s="39">
        <v>1.9120000000000002E-2</v>
      </c>
      <c r="E394" s="39">
        <v>1.9120000000000002E-2</v>
      </c>
      <c r="F394" s="37">
        <f t="shared" si="58"/>
        <v>0.56999999999999995</v>
      </c>
      <c r="G394" s="40"/>
      <c r="H394" s="41">
        <v>30</v>
      </c>
      <c r="I394" s="42">
        <v>1.9120000000000002E-2</v>
      </c>
      <c r="J394" s="41">
        <f t="shared" si="59"/>
        <v>0.56999999999999995</v>
      </c>
      <c r="K394" s="40"/>
      <c r="L394" s="43">
        <v>30</v>
      </c>
      <c r="M394" s="44">
        <v>6.2899999999999996E-3</v>
      </c>
      <c r="N394" s="43">
        <f t="shared" si="60"/>
        <v>0.19</v>
      </c>
    </row>
    <row r="395" spans="1:22" ht="15" customHeight="1" x14ac:dyDescent="0.2">
      <c r="A395" s="27" t="s">
        <v>141</v>
      </c>
      <c r="B395" s="37">
        <v>23.13</v>
      </c>
      <c r="C395" s="38"/>
      <c r="D395" s="39">
        <v>1</v>
      </c>
      <c r="E395" s="39">
        <v>1</v>
      </c>
      <c r="F395" s="37">
        <f t="shared" si="58"/>
        <v>23.13</v>
      </c>
      <c r="G395" s="40"/>
      <c r="H395" s="41">
        <v>31.64</v>
      </c>
      <c r="I395" s="42">
        <v>1</v>
      </c>
      <c r="J395" s="41">
        <f t="shared" si="59"/>
        <v>31.64</v>
      </c>
      <c r="K395" s="40"/>
      <c r="L395" s="43">
        <v>26</v>
      </c>
      <c r="M395" s="44">
        <v>1</v>
      </c>
      <c r="N395" s="43">
        <f t="shared" si="60"/>
        <v>26</v>
      </c>
    </row>
    <row r="396" spans="1:22" ht="15" customHeight="1" x14ac:dyDescent="0.2">
      <c r="A396" s="45" t="s">
        <v>172</v>
      </c>
      <c r="B396" s="61"/>
      <c r="C396" s="38"/>
      <c r="D396" s="39">
        <v>0.06</v>
      </c>
      <c r="E396" s="62" t="s">
        <v>173</v>
      </c>
      <c r="F396" s="38"/>
      <c r="G396" s="40"/>
      <c r="H396" s="63"/>
      <c r="I396" s="63"/>
      <c r="J396" s="63"/>
      <c r="K396" s="40"/>
      <c r="L396" s="64"/>
      <c r="M396" s="64"/>
      <c r="N396" s="64"/>
    </row>
    <row r="397" spans="1:22" ht="15" customHeight="1" x14ac:dyDescent="0.2">
      <c r="A397" s="54" t="s">
        <v>142</v>
      </c>
      <c r="B397" s="55"/>
      <c r="C397" s="55"/>
      <c r="D397" s="55"/>
      <c r="E397" s="55"/>
      <c r="F397" s="56">
        <f>ROUND((SUM(F384:F396)-F395)*1.21+F395,2)</f>
        <v>563.71</v>
      </c>
      <c r="G397" s="55"/>
      <c r="H397" s="55"/>
      <c r="I397" s="55"/>
      <c r="J397" s="57">
        <f>ROUND((SUM(J384:J396)-J395)*1.21+J395,2)</f>
        <v>778.9</v>
      </c>
      <c r="K397" s="55"/>
      <c r="L397" s="55"/>
      <c r="M397" s="55"/>
      <c r="N397" s="58">
        <f>ROUND((SUM(N384:N396)-N395)*1.21+N395,2)</f>
        <v>664.54</v>
      </c>
    </row>
    <row r="398" spans="1:22" ht="15" customHeight="1" x14ac:dyDescent="0.2">
      <c r="A398" s="59" t="s">
        <v>143</v>
      </c>
      <c r="B398" s="129">
        <f>(SUM(F384:F392)-316.2685)/SUM(F384:F392)</f>
        <v>0.26203770679235583</v>
      </c>
      <c r="C398" s="129"/>
      <c r="D398" s="129"/>
      <c r="E398" s="129"/>
      <c r="F398" s="129"/>
      <c r="G398" s="60"/>
      <c r="H398" s="130"/>
      <c r="I398" s="130"/>
      <c r="J398" s="130"/>
      <c r="K398" s="60"/>
      <c r="L398" s="131" t="str">
        <f>IF(B398&gt;=0.3,"APROBAR",IF(B398&gt;=0.2,"REVISAR","RECHAZAR"))</f>
        <v>REVISAR</v>
      </c>
      <c r="M398" s="131"/>
      <c r="N398" s="131"/>
    </row>
    <row r="400" spans="1:22" ht="15" customHeight="1" x14ac:dyDescent="0.2">
      <c r="A400" s="7" t="s">
        <v>325</v>
      </c>
      <c r="B400" s="7"/>
      <c r="C400" s="7"/>
      <c r="D400" s="7"/>
      <c r="E400" s="7"/>
      <c r="F400" s="7"/>
      <c r="G400" s="7"/>
      <c r="H400" s="7"/>
      <c r="I400" s="6" t="s">
        <v>326</v>
      </c>
      <c r="J400" s="6"/>
      <c r="K400" s="6"/>
      <c r="L400" s="6"/>
      <c r="M400" s="6"/>
      <c r="N400" s="6"/>
      <c r="R400" s="5" t="s">
        <v>110</v>
      </c>
      <c r="S400" s="5"/>
      <c r="T400" s="5"/>
      <c r="U400" s="5"/>
      <c r="V400" s="5"/>
    </row>
    <row r="401" spans="1:22" ht="15" customHeight="1" x14ac:dyDescent="0.2">
      <c r="A401" s="32" t="s">
        <v>111</v>
      </c>
      <c r="B401" s="4" t="s">
        <v>112</v>
      </c>
      <c r="C401" s="4"/>
      <c r="D401" s="4"/>
      <c r="E401" s="4"/>
      <c r="F401" s="4"/>
      <c r="G401" s="33"/>
      <c r="H401" s="3" t="s">
        <v>327</v>
      </c>
      <c r="I401" s="3"/>
      <c r="J401" s="3"/>
      <c r="K401" s="33"/>
      <c r="L401" s="2" t="s">
        <v>156</v>
      </c>
      <c r="M401" s="2"/>
      <c r="N401" s="2"/>
      <c r="R401" s="1" t="s">
        <v>328</v>
      </c>
      <c r="S401" s="1"/>
      <c r="T401" s="1"/>
      <c r="U401" s="1"/>
      <c r="V401" s="1"/>
    </row>
    <row r="402" spans="1:22" ht="15" customHeight="1" x14ac:dyDescent="0.2">
      <c r="A402" s="33"/>
      <c r="B402" s="34" t="s">
        <v>116</v>
      </c>
      <c r="C402" s="34" t="s">
        <v>117</v>
      </c>
      <c r="D402" s="34" t="s">
        <v>118</v>
      </c>
      <c r="E402" s="34" t="s">
        <v>119</v>
      </c>
      <c r="F402" s="34" t="s">
        <v>120</v>
      </c>
      <c r="G402" s="33"/>
      <c r="H402" s="35" t="s">
        <v>116</v>
      </c>
      <c r="I402" s="35" t="s">
        <v>119</v>
      </c>
      <c r="J402" s="35" t="s">
        <v>120</v>
      </c>
      <c r="K402" s="33"/>
      <c r="L402" s="36" t="s">
        <v>116</v>
      </c>
      <c r="M402" s="36" t="s">
        <v>119</v>
      </c>
      <c r="N402" s="36" t="s">
        <v>120</v>
      </c>
      <c r="R402" s="124" t="s">
        <v>329</v>
      </c>
      <c r="S402" s="124"/>
      <c r="T402" s="124"/>
      <c r="U402" s="124"/>
      <c r="V402" s="124"/>
    </row>
    <row r="403" spans="1:22" ht="15" customHeight="1" x14ac:dyDescent="0.2">
      <c r="A403" s="27" t="s">
        <v>122</v>
      </c>
      <c r="B403" s="37">
        <v>45.4</v>
      </c>
      <c r="C403" s="38">
        <v>30</v>
      </c>
      <c r="D403" s="39">
        <v>1.7378400000000001</v>
      </c>
      <c r="E403" s="39">
        <v>2.5541999999999998</v>
      </c>
      <c r="F403" s="37">
        <f t="shared" ref="F403:F414" si="61">ROUND(B403*E403,2)</f>
        <v>115.96</v>
      </c>
      <c r="G403" s="40"/>
      <c r="H403" s="41">
        <v>45.4</v>
      </c>
      <c r="I403" s="42">
        <v>2.5541999999999998</v>
      </c>
      <c r="J403" s="41">
        <f t="shared" ref="J403:J414" si="62">ROUND(H403*I403,2)</f>
        <v>115.96</v>
      </c>
      <c r="K403" s="40"/>
      <c r="L403" s="43"/>
      <c r="M403" s="44"/>
      <c r="N403" s="43"/>
      <c r="R403" s="125" t="s">
        <v>330</v>
      </c>
      <c r="S403" s="125"/>
      <c r="T403" s="125"/>
      <c r="U403" s="125"/>
      <c r="V403" s="125"/>
    </row>
    <row r="404" spans="1:22" ht="15" customHeight="1" x14ac:dyDescent="0.2">
      <c r="A404" s="27" t="s">
        <v>124</v>
      </c>
      <c r="B404" s="37">
        <v>46.68</v>
      </c>
      <c r="C404" s="38">
        <v>30</v>
      </c>
      <c r="D404" s="39">
        <v>0.93569999999999998</v>
      </c>
      <c r="E404" s="39">
        <v>1.3773299999999999</v>
      </c>
      <c r="F404" s="37">
        <f t="shared" si="61"/>
        <v>64.290000000000006</v>
      </c>
      <c r="G404" s="40"/>
      <c r="H404" s="41">
        <v>46.68</v>
      </c>
      <c r="I404" s="42">
        <v>1.3773299999999999</v>
      </c>
      <c r="J404" s="41">
        <f t="shared" si="62"/>
        <v>64.290000000000006</v>
      </c>
      <c r="K404" s="40"/>
      <c r="L404" s="43"/>
      <c r="M404" s="44"/>
      <c r="N404" s="43"/>
      <c r="R404" s="126" t="s">
        <v>331</v>
      </c>
      <c r="S404" s="126"/>
      <c r="T404" s="126"/>
      <c r="U404" s="126"/>
      <c r="V404" s="126"/>
    </row>
    <row r="405" spans="1:22" ht="15" customHeight="1" x14ac:dyDescent="0.2">
      <c r="A405" s="27" t="s">
        <v>126</v>
      </c>
      <c r="B405" s="37">
        <v>46.6</v>
      </c>
      <c r="C405" s="38">
        <v>30</v>
      </c>
      <c r="D405" s="39">
        <v>0.43136999999999998</v>
      </c>
      <c r="E405" s="39">
        <v>0.62868000000000002</v>
      </c>
      <c r="F405" s="37">
        <f t="shared" si="61"/>
        <v>29.3</v>
      </c>
      <c r="G405" s="40"/>
      <c r="H405" s="41">
        <v>46.6</v>
      </c>
      <c r="I405" s="42">
        <v>0.62868000000000002</v>
      </c>
      <c r="J405" s="41">
        <f t="shared" si="62"/>
        <v>29.3</v>
      </c>
      <c r="K405" s="40"/>
      <c r="L405" s="43"/>
      <c r="M405" s="44"/>
      <c r="N405" s="43"/>
      <c r="R405" s="126" t="s">
        <v>332</v>
      </c>
      <c r="S405" s="126"/>
      <c r="T405" s="126"/>
      <c r="U405" s="126"/>
      <c r="V405" s="126"/>
    </row>
    <row r="406" spans="1:22" ht="15" customHeight="1" x14ac:dyDescent="0.2">
      <c r="A406" s="27" t="s">
        <v>128</v>
      </c>
      <c r="B406" s="37">
        <v>46.6</v>
      </c>
      <c r="C406" s="38">
        <v>30</v>
      </c>
      <c r="D406" s="39">
        <v>0.38244</v>
      </c>
      <c r="E406" s="39">
        <v>0.55610000000000004</v>
      </c>
      <c r="F406" s="37">
        <f t="shared" si="61"/>
        <v>25.91</v>
      </c>
      <c r="G406" s="40"/>
      <c r="H406" s="41">
        <v>46.6</v>
      </c>
      <c r="I406" s="42">
        <v>0.55610000000000004</v>
      </c>
      <c r="J406" s="41">
        <f t="shared" si="62"/>
        <v>25.91</v>
      </c>
      <c r="K406" s="40"/>
      <c r="L406" s="43"/>
      <c r="M406" s="44"/>
      <c r="N406" s="43"/>
      <c r="R406" s="127" t="s">
        <v>333</v>
      </c>
      <c r="S406" s="127"/>
      <c r="T406" s="127"/>
      <c r="U406" s="127"/>
      <c r="V406" s="127"/>
    </row>
    <row r="407" spans="1:22" ht="15" customHeight="1" x14ac:dyDescent="0.2">
      <c r="A407" s="27" t="s">
        <v>130</v>
      </c>
      <c r="B407" s="37">
        <v>46.6</v>
      </c>
      <c r="C407" s="38">
        <v>30</v>
      </c>
      <c r="D407" s="39">
        <v>0.26963999999999999</v>
      </c>
      <c r="E407" s="39">
        <v>0.38679999999999998</v>
      </c>
      <c r="F407" s="37">
        <f t="shared" si="61"/>
        <v>18.02</v>
      </c>
      <c r="G407" s="40"/>
      <c r="H407" s="41">
        <v>46.6</v>
      </c>
      <c r="I407" s="42">
        <v>0.38679999999999998</v>
      </c>
      <c r="J407" s="41">
        <f t="shared" si="62"/>
        <v>18.02</v>
      </c>
      <c r="K407" s="40"/>
      <c r="L407" s="43"/>
      <c r="M407" s="44"/>
      <c r="N407" s="43"/>
      <c r="R407" s="128" t="s">
        <v>131</v>
      </c>
      <c r="S407" s="128"/>
      <c r="T407" s="128"/>
      <c r="U407" s="128"/>
      <c r="V407" s="128"/>
    </row>
    <row r="408" spans="1:22" ht="15" customHeight="1" x14ac:dyDescent="0.2">
      <c r="A408" s="27" t="s">
        <v>132</v>
      </c>
      <c r="B408" s="37">
        <v>46.6</v>
      </c>
      <c r="C408" s="38">
        <v>30</v>
      </c>
      <c r="D408" s="39">
        <v>0.18156</v>
      </c>
      <c r="E408" s="39">
        <v>0.26529999999999998</v>
      </c>
      <c r="F408" s="37">
        <f t="shared" si="61"/>
        <v>12.36</v>
      </c>
      <c r="G408" s="40"/>
      <c r="H408" s="41">
        <v>46.6</v>
      </c>
      <c r="I408" s="42">
        <v>0.26529999999999998</v>
      </c>
      <c r="J408" s="41">
        <f t="shared" si="62"/>
        <v>12.36</v>
      </c>
      <c r="K408" s="40"/>
      <c r="L408" s="43"/>
      <c r="M408" s="44"/>
      <c r="N408" s="43"/>
    </row>
    <row r="409" spans="1:22" ht="15" customHeight="1" x14ac:dyDescent="0.2">
      <c r="A409" s="45" t="s">
        <v>133</v>
      </c>
      <c r="B409" s="46">
        <f>IF($P$409="",3561.5,ROUND(3561.5*((1593.3795/(1-$P$409))-265.84)/1678.01,2))</f>
        <v>3561.5</v>
      </c>
      <c r="C409" s="38"/>
      <c r="D409" s="47">
        <v>0.121236</v>
      </c>
      <c r="E409" s="39">
        <v>0.13900000000000001</v>
      </c>
      <c r="F409" s="37">
        <f t="shared" si="61"/>
        <v>495.05</v>
      </c>
      <c r="G409" s="40"/>
      <c r="H409" s="48">
        <v>911.01700000000005</v>
      </c>
      <c r="I409" s="42">
        <v>0.13900000000000001</v>
      </c>
      <c r="J409" s="41">
        <f t="shared" si="62"/>
        <v>126.63</v>
      </c>
      <c r="K409" s="40"/>
      <c r="L409" s="49"/>
      <c r="M409" s="44"/>
      <c r="N409" s="43"/>
      <c r="O409" s="50" t="s">
        <v>134</v>
      </c>
      <c r="P409" s="51"/>
    </row>
    <row r="410" spans="1:22" ht="15" customHeight="1" x14ac:dyDescent="0.2">
      <c r="A410" s="45" t="s">
        <v>135</v>
      </c>
      <c r="B410" s="46">
        <f>IF($P$409="",3410.65,ROUND(3410.65*((1593.3795/(1-$P$409))-265.84)/1678.01,2))</f>
        <v>3410.65</v>
      </c>
      <c r="C410" s="38"/>
      <c r="D410" s="47">
        <v>0.114444</v>
      </c>
      <c r="E410" s="39">
        <v>0.13800000000000001</v>
      </c>
      <c r="F410" s="37">
        <f t="shared" si="61"/>
        <v>470.67</v>
      </c>
      <c r="G410" s="40"/>
      <c r="H410" s="48">
        <v>763.66200000000003</v>
      </c>
      <c r="I410" s="42">
        <v>0.13800000000000001</v>
      </c>
      <c r="J410" s="41">
        <f t="shared" si="62"/>
        <v>105.39</v>
      </c>
      <c r="K410" s="40"/>
      <c r="L410" s="49"/>
      <c r="M410" s="44"/>
      <c r="N410" s="43"/>
      <c r="O410" s="52" t="s">
        <v>136</v>
      </c>
    </row>
    <row r="411" spans="1:22" ht="15" customHeight="1" x14ac:dyDescent="0.2">
      <c r="A411" s="45" t="s">
        <v>137</v>
      </c>
      <c r="B411" s="46">
        <f>IF($P$409="",5521.61,ROUND(5521.61*((1593.3795/(1-$P$409))-265.84)/1678.01,2))</f>
        <v>5521.61</v>
      </c>
      <c r="C411" s="38"/>
      <c r="D411" s="47">
        <v>0.106808</v>
      </c>
      <c r="E411" s="39">
        <v>0.129</v>
      </c>
      <c r="F411" s="37">
        <f t="shared" si="61"/>
        <v>712.29</v>
      </c>
      <c r="G411" s="40"/>
      <c r="H411" s="48">
        <v>1210.72</v>
      </c>
      <c r="I411" s="42">
        <v>0.129</v>
      </c>
      <c r="J411" s="41">
        <f t="shared" si="62"/>
        <v>156.18</v>
      </c>
      <c r="K411" s="40"/>
      <c r="L411" s="49"/>
      <c r="M411" s="44"/>
      <c r="N411" s="43"/>
      <c r="O411" s="52" t="s">
        <v>138</v>
      </c>
    </row>
    <row r="412" spans="1:22" ht="15" customHeight="1" x14ac:dyDescent="0.2">
      <c r="A412" s="27" t="s">
        <v>139</v>
      </c>
      <c r="B412" s="37">
        <v>1</v>
      </c>
      <c r="C412" s="53">
        <v>30</v>
      </c>
      <c r="D412" s="39">
        <v>17.614999999999998</v>
      </c>
      <c r="E412" s="39">
        <v>17.614999999999998</v>
      </c>
      <c r="F412" s="37">
        <f t="shared" si="61"/>
        <v>17.62</v>
      </c>
      <c r="G412" s="40"/>
      <c r="H412" s="41">
        <v>1</v>
      </c>
      <c r="I412" s="42">
        <v>17.614999999999998</v>
      </c>
      <c r="J412" s="41">
        <f t="shared" si="62"/>
        <v>17.62</v>
      </c>
      <c r="K412" s="40"/>
      <c r="L412" s="43"/>
      <c r="M412" s="44"/>
      <c r="N412" s="43"/>
    </row>
    <row r="413" spans="1:22" ht="15" customHeight="1" x14ac:dyDescent="0.2">
      <c r="A413" s="27" t="s">
        <v>140</v>
      </c>
      <c r="B413" s="37">
        <v>30</v>
      </c>
      <c r="C413" s="53">
        <v>30</v>
      </c>
      <c r="D413" s="39">
        <v>1.9120000000000002E-2</v>
      </c>
      <c r="E413" s="39">
        <v>1.9120000000000002E-2</v>
      </c>
      <c r="F413" s="37">
        <f t="shared" si="61"/>
        <v>0.56999999999999995</v>
      </c>
      <c r="G413" s="40"/>
      <c r="H413" s="41">
        <v>30</v>
      </c>
      <c r="I413" s="42">
        <v>1.9120000000000002E-2</v>
      </c>
      <c r="J413" s="41">
        <f t="shared" si="62"/>
        <v>0.56999999999999995</v>
      </c>
      <c r="K413" s="40"/>
      <c r="L413" s="43"/>
      <c r="M413" s="44"/>
      <c r="N413" s="43"/>
    </row>
    <row r="414" spans="1:22" ht="15" customHeight="1" x14ac:dyDescent="0.2">
      <c r="A414" s="27" t="s">
        <v>141</v>
      </c>
      <c r="B414" s="37">
        <v>102.11</v>
      </c>
      <c r="C414" s="38"/>
      <c r="D414" s="39">
        <v>1</v>
      </c>
      <c r="E414" s="39">
        <v>1</v>
      </c>
      <c r="F414" s="37">
        <f t="shared" si="61"/>
        <v>102.11</v>
      </c>
      <c r="G414" s="40"/>
      <c r="H414" s="41">
        <v>36.24</v>
      </c>
      <c r="I414" s="42">
        <v>1</v>
      </c>
      <c r="J414" s="41">
        <f t="shared" si="62"/>
        <v>36.24</v>
      </c>
      <c r="K414" s="40"/>
      <c r="L414" s="43"/>
      <c r="M414" s="44"/>
      <c r="N414" s="43"/>
    </row>
    <row r="415" spans="1:22" ht="15" customHeight="1" x14ac:dyDescent="0.2">
      <c r="A415" s="54" t="s">
        <v>142</v>
      </c>
      <c r="B415" s="55"/>
      <c r="C415" s="55"/>
      <c r="D415" s="55"/>
      <c r="E415" s="55"/>
      <c r="F415" s="56">
        <f>ROUND((SUM(F403:F414)-F414)*1.21+F414,2)</f>
        <v>2476.1799999999998</v>
      </c>
      <c r="G415" s="55"/>
      <c r="H415" s="55"/>
      <c r="I415" s="55"/>
      <c r="J415" s="57">
        <f>ROUND((SUM(J403:J414)-J414)*1.21+J414,2)</f>
        <v>849.64</v>
      </c>
      <c r="K415" s="55"/>
      <c r="L415" s="55"/>
      <c r="M415" s="55"/>
      <c r="N415" s="55"/>
    </row>
    <row r="416" spans="1:22" ht="15" customHeight="1" x14ac:dyDescent="0.2">
      <c r="A416" s="59" t="s">
        <v>143</v>
      </c>
      <c r="B416" s="129">
        <f>(SUM(F403:F411)-1593.3795)/SUM(F403:F411)</f>
        <v>0.18029709082490938</v>
      </c>
      <c r="C416" s="129"/>
      <c r="D416" s="129"/>
      <c r="E416" s="129"/>
      <c r="F416" s="129"/>
      <c r="G416" s="60"/>
      <c r="H416" s="130"/>
      <c r="I416" s="130"/>
      <c r="J416" s="130"/>
      <c r="K416" s="60"/>
      <c r="L416" s="131" t="str">
        <f>IF(B416&gt;=0.3,"APROBAR",IF(B416&gt;=0.2,"REVISAR","RECHAZAR"))</f>
        <v>RECHAZAR</v>
      </c>
      <c r="M416" s="131"/>
      <c r="N416" s="131"/>
    </row>
    <row r="418" spans="1:22" ht="15" customHeight="1" x14ac:dyDescent="0.2">
      <c r="A418" s="7" t="s">
        <v>334</v>
      </c>
      <c r="B418" s="7"/>
      <c r="C418" s="7"/>
      <c r="D418" s="7"/>
      <c r="E418" s="7"/>
      <c r="F418" s="7"/>
      <c r="G418" s="7"/>
      <c r="H418" s="7"/>
      <c r="I418" s="6" t="s">
        <v>335</v>
      </c>
      <c r="J418" s="6"/>
      <c r="K418" s="6"/>
      <c r="L418" s="6"/>
      <c r="M418" s="6"/>
      <c r="N418" s="6"/>
      <c r="R418" s="5" t="s">
        <v>110</v>
      </c>
      <c r="S418" s="5"/>
      <c r="T418" s="5"/>
      <c r="U418" s="5"/>
      <c r="V418" s="5"/>
    </row>
    <row r="419" spans="1:22" ht="15" customHeight="1" x14ac:dyDescent="0.2">
      <c r="A419" s="32" t="s">
        <v>111</v>
      </c>
      <c r="B419" s="4" t="s">
        <v>112</v>
      </c>
      <c r="C419" s="4"/>
      <c r="D419" s="4"/>
      <c r="E419" s="4"/>
      <c r="F419" s="4"/>
      <c r="G419" s="33"/>
      <c r="H419" s="3" t="s">
        <v>336</v>
      </c>
      <c r="I419" s="3"/>
      <c r="J419" s="3"/>
      <c r="K419" s="33"/>
      <c r="L419" s="2" t="s">
        <v>337</v>
      </c>
      <c r="M419" s="2"/>
      <c r="N419" s="2"/>
      <c r="R419" s="1" t="s">
        <v>338</v>
      </c>
      <c r="S419" s="1"/>
      <c r="T419" s="1"/>
      <c r="U419" s="1"/>
      <c r="V419" s="1"/>
    </row>
    <row r="420" spans="1:22" ht="15" customHeight="1" x14ac:dyDescent="0.2">
      <c r="A420" s="33"/>
      <c r="B420" s="34" t="s">
        <v>116</v>
      </c>
      <c r="C420" s="34" t="s">
        <v>117</v>
      </c>
      <c r="D420" s="34" t="s">
        <v>118</v>
      </c>
      <c r="E420" s="34" t="s">
        <v>119</v>
      </c>
      <c r="F420" s="34" t="s">
        <v>120</v>
      </c>
      <c r="G420" s="33"/>
      <c r="H420" s="35" t="s">
        <v>116</v>
      </c>
      <c r="I420" s="35" t="s">
        <v>119</v>
      </c>
      <c r="J420" s="35" t="s">
        <v>120</v>
      </c>
      <c r="K420" s="33"/>
      <c r="L420" s="36" t="s">
        <v>116</v>
      </c>
      <c r="M420" s="36" t="s">
        <v>119</v>
      </c>
      <c r="N420" s="36" t="s">
        <v>120</v>
      </c>
      <c r="R420" s="124" t="s">
        <v>339</v>
      </c>
      <c r="S420" s="124"/>
      <c r="T420" s="124"/>
      <c r="U420" s="124"/>
      <c r="V420" s="124"/>
    </row>
    <row r="421" spans="1:22" ht="15" customHeight="1" x14ac:dyDescent="0.2">
      <c r="A421" s="27" t="s">
        <v>122</v>
      </c>
      <c r="B421" s="37">
        <v>29.7</v>
      </c>
      <c r="C421" s="38">
        <v>30</v>
      </c>
      <c r="D421" s="39">
        <v>1.7378400000000001</v>
      </c>
      <c r="E421" s="39">
        <v>2.5541999999999998</v>
      </c>
      <c r="F421" s="37">
        <f t="shared" ref="F421:F432" si="63">ROUND(B421*E421,2)</f>
        <v>75.86</v>
      </c>
      <c r="G421" s="40"/>
      <c r="H421" s="41">
        <v>29.7</v>
      </c>
      <c r="I421" s="42">
        <v>2.5541999999999998</v>
      </c>
      <c r="J421" s="41">
        <f t="shared" ref="J421:J432" si="64">ROUND(H421*I421,2)</f>
        <v>75.86</v>
      </c>
      <c r="K421" s="40"/>
      <c r="L421" s="43">
        <v>29.7</v>
      </c>
      <c r="M421" s="44">
        <v>2.5541999999999998</v>
      </c>
      <c r="N421" s="43">
        <f t="shared" ref="N421:N432" si="65">ROUND(L421*M421,2)</f>
        <v>75.86</v>
      </c>
      <c r="R421" s="125" t="s">
        <v>340</v>
      </c>
      <c r="S421" s="125"/>
      <c r="T421" s="125"/>
      <c r="U421" s="125"/>
      <c r="V421" s="125"/>
    </row>
    <row r="422" spans="1:22" ht="15" customHeight="1" x14ac:dyDescent="0.2">
      <c r="A422" s="27" t="s">
        <v>124</v>
      </c>
      <c r="B422" s="37">
        <v>29.7</v>
      </c>
      <c r="C422" s="38">
        <v>30</v>
      </c>
      <c r="D422" s="39">
        <v>0.93572</v>
      </c>
      <c r="E422" s="39">
        <v>1.3773299999999999</v>
      </c>
      <c r="F422" s="37">
        <f t="shared" si="63"/>
        <v>40.909999999999997</v>
      </c>
      <c r="G422" s="40"/>
      <c r="H422" s="41">
        <v>29.7</v>
      </c>
      <c r="I422" s="42">
        <v>1.3773299999999999</v>
      </c>
      <c r="J422" s="41">
        <f t="shared" si="64"/>
        <v>40.909999999999997</v>
      </c>
      <c r="K422" s="40"/>
      <c r="L422" s="43">
        <v>29.7</v>
      </c>
      <c r="M422" s="44">
        <v>1.3773299999999999</v>
      </c>
      <c r="N422" s="43">
        <f t="shared" si="65"/>
        <v>40.909999999999997</v>
      </c>
      <c r="R422" s="126" t="s">
        <v>341</v>
      </c>
      <c r="S422" s="126"/>
      <c r="T422" s="126"/>
      <c r="U422" s="126"/>
      <c r="V422" s="126"/>
    </row>
    <row r="423" spans="1:22" ht="15" customHeight="1" x14ac:dyDescent="0.2">
      <c r="A423" s="27" t="s">
        <v>126</v>
      </c>
      <c r="B423" s="37">
        <v>29.7</v>
      </c>
      <c r="C423" s="38">
        <v>30</v>
      </c>
      <c r="D423" s="39">
        <v>0.43142000000000003</v>
      </c>
      <c r="E423" s="39">
        <v>0.62868000000000002</v>
      </c>
      <c r="F423" s="37">
        <f t="shared" si="63"/>
        <v>18.670000000000002</v>
      </c>
      <c r="G423" s="40"/>
      <c r="H423" s="41">
        <v>29.7</v>
      </c>
      <c r="I423" s="42">
        <v>0.62868000000000002</v>
      </c>
      <c r="J423" s="41">
        <f t="shared" si="64"/>
        <v>18.670000000000002</v>
      </c>
      <c r="K423" s="40"/>
      <c r="L423" s="43">
        <v>29.7</v>
      </c>
      <c r="M423" s="44">
        <v>0.62868000000000002</v>
      </c>
      <c r="N423" s="43">
        <f t="shared" si="65"/>
        <v>18.670000000000002</v>
      </c>
      <c r="R423" s="126" t="s">
        <v>342</v>
      </c>
      <c r="S423" s="126"/>
      <c r="T423" s="126"/>
      <c r="U423" s="126"/>
      <c r="V423" s="126"/>
    </row>
    <row r="424" spans="1:22" ht="15" customHeight="1" x14ac:dyDescent="0.2">
      <c r="A424" s="27" t="s">
        <v>128</v>
      </c>
      <c r="B424" s="37">
        <v>29.7</v>
      </c>
      <c r="C424" s="38">
        <v>30</v>
      </c>
      <c r="D424" s="39">
        <v>0.38244</v>
      </c>
      <c r="E424" s="39">
        <v>0.55610000000000004</v>
      </c>
      <c r="F424" s="37">
        <f t="shared" si="63"/>
        <v>16.52</v>
      </c>
      <c r="G424" s="40"/>
      <c r="H424" s="41">
        <v>29.7</v>
      </c>
      <c r="I424" s="42">
        <v>0.55610000000000004</v>
      </c>
      <c r="J424" s="41">
        <f t="shared" si="64"/>
        <v>16.52</v>
      </c>
      <c r="K424" s="40"/>
      <c r="L424" s="43">
        <v>29.7</v>
      </c>
      <c r="M424" s="44">
        <v>0.55610000000000004</v>
      </c>
      <c r="N424" s="43">
        <f t="shared" si="65"/>
        <v>16.52</v>
      </c>
      <c r="R424" s="132" t="s">
        <v>162</v>
      </c>
      <c r="S424" s="132"/>
      <c r="T424" s="132"/>
      <c r="U424" s="132"/>
      <c r="V424" s="132"/>
    </row>
    <row r="425" spans="1:22" ht="15" customHeight="1" x14ac:dyDescent="0.2">
      <c r="A425" s="27" t="s">
        <v>130</v>
      </c>
      <c r="B425" s="37">
        <v>29.7</v>
      </c>
      <c r="C425" s="38">
        <v>30</v>
      </c>
      <c r="D425" s="39">
        <v>0.26963999999999999</v>
      </c>
      <c r="E425" s="39">
        <v>0.38679999999999998</v>
      </c>
      <c r="F425" s="37">
        <f t="shared" si="63"/>
        <v>11.49</v>
      </c>
      <c r="G425" s="40"/>
      <c r="H425" s="41">
        <v>29.7</v>
      </c>
      <c r="I425" s="42">
        <v>0.38679999999999998</v>
      </c>
      <c r="J425" s="41">
        <f t="shared" si="64"/>
        <v>11.49</v>
      </c>
      <c r="K425" s="40"/>
      <c r="L425" s="43">
        <v>29.7</v>
      </c>
      <c r="M425" s="44">
        <v>0.38679999999999998</v>
      </c>
      <c r="N425" s="43">
        <f t="shared" si="65"/>
        <v>11.49</v>
      </c>
      <c r="R425" s="128" t="s">
        <v>131</v>
      </c>
      <c r="S425" s="128"/>
      <c r="T425" s="128"/>
      <c r="U425" s="128"/>
      <c r="V425" s="128"/>
    </row>
    <row r="426" spans="1:22" ht="15" customHeight="1" x14ac:dyDescent="0.2">
      <c r="A426" s="27" t="s">
        <v>132</v>
      </c>
      <c r="B426" s="37">
        <v>29.7</v>
      </c>
      <c r="C426" s="38">
        <v>30</v>
      </c>
      <c r="D426" s="39">
        <v>0.18156</v>
      </c>
      <c r="E426" s="39">
        <v>0.26529999999999998</v>
      </c>
      <c r="F426" s="37">
        <f t="shared" si="63"/>
        <v>7.88</v>
      </c>
      <c r="G426" s="40"/>
      <c r="H426" s="41">
        <v>29.7</v>
      </c>
      <c r="I426" s="42">
        <v>0.26529999999999998</v>
      </c>
      <c r="J426" s="41">
        <f t="shared" si="64"/>
        <v>7.88</v>
      </c>
      <c r="K426" s="40"/>
      <c r="L426" s="43">
        <v>29.7</v>
      </c>
      <c r="M426" s="44">
        <v>0.26529999999999998</v>
      </c>
      <c r="N426" s="43">
        <f t="shared" si="65"/>
        <v>7.88</v>
      </c>
    </row>
    <row r="427" spans="1:22" ht="15" customHeight="1" x14ac:dyDescent="0.2">
      <c r="A427" s="45" t="s">
        <v>133</v>
      </c>
      <c r="B427" s="46">
        <f>IF($P$427="",1256.57,ROUND(1256.57*((705.3956/(1-$P$427))-171.33)/726.62,2))</f>
        <v>1256.57</v>
      </c>
      <c r="C427" s="38"/>
      <c r="D427" s="47">
        <v>0.106808</v>
      </c>
      <c r="E427" s="39">
        <v>0.13500000000000001</v>
      </c>
      <c r="F427" s="37">
        <f t="shared" si="63"/>
        <v>169.64</v>
      </c>
      <c r="G427" s="40"/>
      <c r="H427" s="48">
        <v>1280.77</v>
      </c>
      <c r="I427" s="42">
        <v>0.16</v>
      </c>
      <c r="J427" s="41">
        <f t="shared" si="64"/>
        <v>204.92</v>
      </c>
      <c r="K427" s="40"/>
      <c r="L427" s="49">
        <v>1556.652</v>
      </c>
      <c r="M427" s="44">
        <v>0.17</v>
      </c>
      <c r="N427" s="43">
        <f t="shared" si="65"/>
        <v>264.63</v>
      </c>
      <c r="O427" s="50" t="s">
        <v>134</v>
      </c>
      <c r="P427" s="51"/>
    </row>
    <row r="428" spans="1:22" ht="15" customHeight="1" x14ac:dyDescent="0.2">
      <c r="A428" s="45" t="s">
        <v>135</v>
      </c>
      <c r="B428" s="46">
        <f>IF($P$427="",1401.3,ROUND(1401.3*((705.3956/(1-$P$427))-171.33)/726.62,2))</f>
        <v>1401.3</v>
      </c>
      <c r="C428" s="38"/>
      <c r="D428" s="47">
        <v>0.106808</v>
      </c>
      <c r="E428" s="39">
        <v>0.13500000000000001</v>
      </c>
      <c r="F428" s="37">
        <f t="shared" si="63"/>
        <v>189.18</v>
      </c>
      <c r="G428" s="40"/>
      <c r="H428" s="48">
        <v>1101.3399999999999</v>
      </c>
      <c r="I428" s="42">
        <v>0.15</v>
      </c>
      <c r="J428" s="41">
        <f t="shared" si="64"/>
        <v>165.2</v>
      </c>
      <c r="K428" s="40"/>
      <c r="L428" s="49">
        <v>1297.021</v>
      </c>
      <c r="M428" s="44">
        <v>0.16</v>
      </c>
      <c r="N428" s="43">
        <f t="shared" si="65"/>
        <v>207.52</v>
      </c>
      <c r="O428" s="52" t="s">
        <v>136</v>
      </c>
    </row>
    <row r="429" spans="1:22" ht="15" customHeight="1" x14ac:dyDescent="0.2">
      <c r="A429" s="45" t="s">
        <v>137</v>
      </c>
      <c r="B429" s="46">
        <f>IF($P$427="",2851.2,ROUND(2851.2*((705.3956/(1-$P$427))-171.33)/726.62,2))</f>
        <v>2851.2</v>
      </c>
      <c r="C429" s="38"/>
      <c r="D429" s="47">
        <v>0.106808</v>
      </c>
      <c r="E429" s="39">
        <v>0.129</v>
      </c>
      <c r="F429" s="37">
        <f t="shared" si="63"/>
        <v>367.8</v>
      </c>
      <c r="G429" s="40"/>
      <c r="H429" s="48">
        <v>1558.3</v>
      </c>
      <c r="I429" s="42">
        <v>0.13900000000000001</v>
      </c>
      <c r="J429" s="41">
        <f t="shared" si="64"/>
        <v>216.6</v>
      </c>
      <c r="K429" s="40"/>
      <c r="L429" s="49">
        <v>1708.53</v>
      </c>
      <c r="M429" s="44">
        <v>0.13500000000000001</v>
      </c>
      <c r="N429" s="43">
        <f t="shared" si="65"/>
        <v>230.65</v>
      </c>
      <c r="O429" s="52" t="s">
        <v>138</v>
      </c>
    </row>
    <row r="430" spans="1:22" ht="15" customHeight="1" x14ac:dyDescent="0.2">
      <c r="A430" s="27" t="s">
        <v>139</v>
      </c>
      <c r="B430" s="37">
        <v>1</v>
      </c>
      <c r="C430" s="53">
        <v>30</v>
      </c>
      <c r="D430" s="39">
        <v>17.614999999999998</v>
      </c>
      <c r="E430" s="39">
        <v>17.614999999999998</v>
      </c>
      <c r="F430" s="37">
        <f t="shared" si="63"/>
        <v>17.62</v>
      </c>
      <c r="G430" s="40"/>
      <c r="H430" s="41">
        <v>1</v>
      </c>
      <c r="I430" s="42">
        <v>17.614999999999998</v>
      </c>
      <c r="J430" s="41">
        <f t="shared" si="64"/>
        <v>17.62</v>
      </c>
      <c r="K430" s="40"/>
      <c r="L430" s="43">
        <v>1</v>
      </c>
      <c r="M430" s="44">
        <v>17.614999999999998</v>
      </c>
      <c r="N430" s="43">
        <f t="shared" si="65"/>
        <v>17.62</v>
      </c>
    </row>
    <row r="431" spans="1:22" ht="15" customHeight="1" x14ac:dyDescent="0.2">
      <c r="A431" s="27" t="s">
        <v>140</v>
      </c>
      <c r="B431" s="37">
        <v>30</v>
      </c>
      <c r="C431" s="53">
        <v>30</v>
      </c>
      <c r="D431" s="39">
        <v>1.274E-2</v>
      </c>
      <c r="E431" s="39">
        <v>1.274E-2</v>
      </c>
      <c r="F431" s="37">
        <f t="shared" si="63"/>
        <v>0.38</v>
      </c>
      <c r="G431" s="40"/>
      <c r="H431" s="41">
        <v>30</v>
      </c>
      <c r="I431" s="42">
        <v>1.274E-2</v>
      </c>
      <c r="J431" s="41">
        <f t="shared" si="64"/>
        <v>0.38</v>
      </c>
      <c r="K431" s="40"/>
      <c r="L431" s="43">
        <v>30</v>
      </c>
      <c r="M431" s="44">
        <v>1.274E-2</v>
      </c>
      <c r="N431" s="43">
        <f t="shared" si="65"/>
        <v>0.38</v>
      </c>
    </row>
    <row r="432" spans="1:22" ht="15" customHeight="1" x14ac:dyDescent="0.2">
      <c r="A432" s="27" t="s">
        <v>141</v>
      </c>
      <c r="B432" s="37">
        <v>48.85</v>
      </c>
      <c r="C432" s="38"/>
      <c r="D432" s="39">
        <v>1</v>
      </c>
      <c r="E432" s="39">
        <v>1</v>
      </c>
      <c r="F432" s="37">
        <f t="shared" si="63"/>
        <v>48.85</v>
      </c>
      <c r="G432" s="40"/>
      <c r="H432" s="41">
        <v>40.1</v>
      </c>
      <c r="I432" s="42">
        <v>1</v>
      </c>
      <c r="J432" s="41">
        <f t="shared" si="64"/>
        <v>40.1</v>
      </c>
      <c r="K432" s="40"/>
      <c r="L432" s="43">
        <v>50.26</v>
      </c>
      <c r="M432" s="44">
        <v>1</v>
      </c>
      <c r="N432" s="43">
        <f t="shared" si="65"/>
        <v>50.26</v>
      </c>
    </row>
    <row r="433" spans="1:22" ht="15" customHeight="1" x14ac:dyDescent="0.2">
      <c r="A433" s="54" t="s">
        <v>142</v>
      </c>
      <c r="B433" s="55"/>
      <c r="C433" s="55"/>
      <c r="D433" s="55"/>
      <c r="E433" s="55"/>
      <c r="F433" s="56">
        <f>ROUND((SUM(F421:F432)-F432)*1.21+F432,2)</f>
        <v>1157.1500000000001</v>
      </c>
      <c r="G433" s="55"/>
      <c r="H433" s="55"/>
      <c r="I433" s="55"/>
      <c r="J433" s="57">
        <f>ROUND((SUM(J421:J432)-J432)*1.21+J432,2)</f>
        <v>979.12</v>
      </c>
      <c r="K433" s="55"/>
      <c r="L433" s="55"/>
      <c r="M433" s="55"/>
      <c r="N433" s="58">
        <f>ROUND((SUM(N421:N432)-N432)*1.21+N432,2)</f>
        <v>1129.74</v>
      </c>
    </row>
    <row r="434" spans="1:22" ht="15" customHeight="1" x14ac:dyDescent="0.2">
      <c r="A434" s="59" t="s">
        <v>143</v>
      </c>
      <c r="B434" s="129">
        <f>(SUM(F421:F429)-705.3956)/SUM(F421:F429)</f>
        <v>0.21443777493178917</v>
      </c>
      <c r="C434" s="129"/>
      <c r="D434" s="129"/>
      <c r="E434" s="129"/>
      <c r="F434" s="129"/>
      <c r="G434" s="60"/>
      <c r="H434" s="130"/>
      <c r="I434" s="130"/>
      <c r="J434" s="130"/>
      <c r="K434" s="60"/>
      <c r="L434" s="131" t="str">
        <f>IF(B434&gt;=0.3,"APROBAR",IF(B434&gt;=0.2,"REVISAR","RECHAZAR"))</f>
        <v>REVISAR</v>
      </c>
      <c r="M434" s="131"/>
      <c r="N434" s="131"/>
    </row>
    <row r="436" spans="1:22" ht="15" customHeight="1" x14ac:dyDescent="0.2">
      <c r="A436" s="7" t="s">
        <v>343</v>
      </c>
      <c r="B436" s="7"/>
      <c r="C436" s="7"/>
      <c r="D436" s="7"/>
      <c r="E436" s="7"/>
      <c r="F436" s="7"/>
      <c r="G436" s="7"/>
      <c r="H436" s="7"/>
      <c r="I436" s="6" t="s">
        <v>344</v>
      </c>
      <c r="J436" s="6"/>
      <c r="K436" s="6"/>
      <c r="L436" s="6"/>
      <c r="M436" s="6"/>
      <c r="N436" s="6"/>
      <c r="R436" s="5" t="s">
        <v>110</v>
      </c>
      <c r="S436" s="5"/>
      <c r="T436" s="5"/>
      <c r="U436" s="5"/>
      <c r="V436" s="5"/>
    </row>
    <row r="437" spans="1:22" ht="15" customHeight="1" x14ac:dyDescent="0.2">
      <c r="A437" s="32" t="s">
        <v>111</v>
      </c>
      <c r="B437" s="4" t="s">
        <v>112</v>
      </c>
      <c r="C437" s="4"/>
      <c r="D437" s="4"/>
      <c r="E437" s="4"/>
      <c r="F437" s="4"/>
      <c r="G437" s="33"/>
      <c r="H437" s="3" t="s">
        <v>345</v>
      </c>
      <c r="I437" s="3"/>
      <c r="J437" s="3"/>
      <c r="K437" s="33"/>
      <c r="L437" s="2" t="s">
        <v>346</v>
      </c>
      <c r="M437" s="2"/>
      <c r="N437" s="2"/>
      <c r="R437" s="1" t="s">
        <v>347</v>
      </c>
      <c r="S437" s="1"/>
      <c r="T437" s="1"/>
      <c r="U437" s="1"/>
      <c r="V437" s="1"/>
    </row>
    <row r="438" spans="1:22" ht="15" customHeight="1" x14ac:dyDescent="0.2">
      <c r="A438" s="33"/>
      <c r="B438" s="34" t="s">
        <v>116</v>
      </c>
      <c r="C438" s="34" t="s">
        <v>117</v>
      </c>
      <c r="D438" s="34" t="s">
        <v>118</v>
      </c>
      <c r="E438" s="34" t="s">
        <v>119</v>
      </c>
      <c r="F438" s="34" t="s">
        <v>120</v>
      </c>
      <c r="G438" s="33"/>
      <c r="H438" s="35" t="s">
        <v>116</v>
      </c>
      <c r="I438" s="35" t="s">
        <v>119</v>
      </c>
      <c r="J438" s="35" t="s">
        <v>120</v>
      </c>
      <c r="K438" s="33"/>
      <c r="L438" s="36" t="s">
        <v>116</v>
      </c>
      <c r="M438" s="36" t="s">
        <v>119</v>
      </c>
      <c r="N438" s="36" t="s">
        <v>120</v>
      </c>
      <c r="R438" s="124" t="s">
        <v>348</v>
      </c>
      <c r="S438" s="124"/>
      <c r="T438" s="124"/>
      <c r="U438" s="124"/>
      <c r="V438" s="124"/>
    </row>
    <row r="439" spans="1:22" ht="15" customHeight="1" x14ac:dyDescent="0.2">
      <c r="A439" s="27" t="s">
        <v>122</v>
      </c>
      <c r="B439" s="37">
        <v>36</v>
      </c>
      <c r="C439" s="38">
        <v>30</v>
      </c>
      <c r="D439" s="39">
        <v>1.4454899999999999</v>
      </c>
      <c r="E439" s="39">
        <v>1.7</v>
      </c>
      <c r="F439" s="37">
        <f t="shared" ref="F439:F450" si="66">ROUND(B439*E439,2)</f>
        <v>61.2</v>
      </c>
      <c r="G439" s="40"/>
      <c r="H439" s="41">
        <v>36</v>
      </c>
      <c r="I439" s="42">
        <v>1.7</v>
      </c>
      <c r="J439" s="41">
        <f t="shared" ref="J439:J450" si="67">ROUND(H439*I439,2)</f>
        <v>61.2</v>
      </c>
      <c r="K439" s="40"/>
      <c r="L439" s="43">
        <v>36</v>
      </c>
      <c r="M439" s="44">
        <v>1.7</v>
      </c>
      <c r="N439" s="43">
        <f t="shared" ref="N439:N450" si="68">ROUND(L439*M439,2)</f>
        <v>61.2</v>
      </c>
      <c r="R439" s="125" t="s">
        <v>349</v>
      </c>
      <c r="S439" s="125"/>
      <c r="T439" s="125"/>
      <c r="U439" s="125"/>
      <c r="V439" s="125"/>
    </row>
    <row r="440" spans="1:22" ht="15" customHeight="1" x14ac:dyDescent="0.2">
      <c r="A440" s="27" t="s">
        <v>124</v>
      </c>
      <c r="B440" s="37">
        <v>37</v>
      </c>
      <c r="C440" s="38">
        <v>30</v>
      </c>
      <c r="D440" s="39">
        <v>0.99270000000000003</v>
      </c>
      <c r="E440" s="39">
        <v>1.3733</v>
      </c>
      <c r="F440" s="37">
        <f t="shared" si="66"/>
        <v>50.81</v>
      </c>
      <c r="G440" s="40"/>
      <c r="H440" s="41">
        <v>37</v>
      </c>
      <c r="I440" s="42">
        <v>1.3733</v>
      </c>
      <c r="J440" s="41">
        <f t="shared" si="67"/>
        <v>50.81</v>
      </c>
      <c r="K440" s="40"/>
      <c r="L440" s="43">
        <v>37</v>
      </c>
      <c r="M440" s="44">
        <v>1.3733</v>
      </c>
      <c r="N440" s="43">
        <f t="shared" si="68"/>
        <v>50.81</v>
      </c>
      <c r="R440" s="126" t="s">
        <v>350</v>
      </c>
      <c r="S440" s="126"/>
      <c r="T440" s="126"/>
      <c r="U440" s="126"/>
      <c r="V440" s="126"/>
    </row>
    <row r="441" spans="1:22" ht="15" customHeight="1" x14ac:dyDescent="0.2">
      <c r="A441" s="27" t="s">
        <v>126</v>
      </c>
      <c r="B441" s="37">
        <v>37</v>
      </c>
      <c r="C441" s="38">
        <v>30</v>
      </c>
      <c r="D441" s="39">
        <v>0.82233000000000001</v>
      </c>
      <c r="E441" s="39">
        <v>0.4</v>
      </c>
      <c r="F441" s="37">
        <f t="shared" si="66"/>
        <v>14.8</v>
      </c>
      <c r="G441" s="40"/>
      <c r="H441" s="41">
        <v>37</v>
      </c>
      <c r="I441" s="42">
        <v>0.4</v>
      </c>
      <c r="J441" s="41">
        <f t="shared" si="67"/>
        <v>14.8</v>
      </c>
      <c r="K441" s="40"/>
      <c r="L441" s="43">
        <v>37</v>
      </c>
      <c r="M441" s="44">
        <v>0.4</v>
      </c>
      <c r="N441" s="43">
        <f t="shared" si="68"/>
        <v>14.8</v>
      </c>
      <c r="R441" s="126" t="s">
        <v>351</v>
      </c>
      <c r="S441" s="126"/>
      <c r="T441" s="126"/>
      <c r="U441" s="126"/>
      <c r="V441" s="126"/>
    </row>
    <row r="442" spans="1:22" ht="15" customHeight="1" x14ac:dyDescent="0.2">
      <c r="A442" s="27" t="s">
        <v>128</v>
      </c>
      <c r="B442" s="37">
        <v>37</v>
      </c>
      <c r="C442" s="38">
        <v>30</v>
      </c>
      <c r="D442" s="39">
        <v>0.54752999999999996</v>
      </c>
      <c r="E442" s="39">
        <v>0.36</v>
      </c>
      <c r="F442" s="37">
        <f t="shared" si="66"/>
        <v>13.32</v>
      </c>
      <c r="G442" s="40"/>
      <c r="H442" s="41">
        <v>37</v>
      </c>
      <c r="I442" s="42">
        <v>0.36</v>
      </c>
      <c r="J442" s="41">
        <f t="shared" si="67"/>
        <v>13.32</v>
      </c>
      <c r="K442" s="40"/>
      <c r="L442" s="43">
        <v>37</v>
      </c>
      <c r="M442" s="44">
        <v>0.36</v>
      </c>
      <c r="N442" s="43">
        <f t="shared" si="68"/>
        <v>13.32</v>
      </c>
      <c r="R442" s="132" t="s">
        <v>162</v>
      </c>
      <c r="S442" s="132"/>
      <c r="T442" s="132"/>
      <c r="U442" s="132"/>
      <c r="V442" s="132"/>
    </row>
    <row r="443" spans="1:22" ht="15" customHeight="1" x14ac:dyDescent="0.2">
      <c r="A443" s="27" t="s">
        <v>130</v>
      </c>
      <c r="B443" s="37">
        <v>37</v>
      </c>
      <c r="C443" s="38">
        <v>30</v>
      </c>
      <c r="D443" s="39">
        <v>0.30593999999999999</v>
      </c>
      <c r="E443" s="39">
        <v>0.22</v>
      </c>
      <c r="F443" s="37">
        <f t="shared" si="66"/>
        <v>8.14</v>
      </c>
      <c r="G443" s="40"/>
      <c r="H443" s="41">
        <v>37</v>
      </c>
      <c r="I443" s="42">
        <v>0.22</v>
      </c>
      <c r="J443" s="41">
        <f t="shared" si="67"/>
        <v>8.14</v>
      </c>
      <c r="K443" s="40"/>
      <c r="L443" s="43">
        <v>37</v>
      </c>
      <c r="M443" s="44">
        <v>0.22</v>
      </c>
      <c r="N443" s="43">
        <f t="shared" si="68"/>
        <v>8.14</v>
      </c>
      <c r="R443" s="128" t="s">
        <v>131</v>
      </c>
      <c r="S443" s="128"/>
      <c r="T443" s="128"/>
      <c r="U443" s="128"/>
      <c r="V443" s="128"/>
    </row>
    <row r="444" spans="1:22" ht="15" customHeight="1" x14ac:dyDescent="0.2">
      <c r="A444" s="27" t="s">
        <v>132</v>
      </c>
      <c r="B444" s="37">
        <v>37</v>
      </c>
      <c r="C444" s="38">
        <v>30</v>
      </c>
      <c r="D444" s="39">
        <v>0.25668000000000002</v>
      </c>
      <c r="E444" s="39">
        <v>0.18</v>
      </c>
      <c r="F444" s="37">
        <f t="shared" si="66"/>
        <v>6.66</v>
      </c>
      <c r="G444" s="40"/>
      <c r="H444" s="41">
        <v>37</v>
      </c>
      <c r="I444" s="42">
        <v>0.18</v>
      </c>
      <c r="J444" s="41">
        <f t="shared" si="67"/>
        <v>6.66</v>
      </c>
      <c r="K444" s="40"/>
      <c r="L444" s="43">
        <v>37</v>
      </c>
      <c r="M444" s="44">
        <v>0.18</v>
      </c>
      <c r="N444" s="43">
        <f t="shared" si="68"/>
        <v>6.66</v>
      </c>
    </row>
    <row r="445" spans="1:22" ht="15" customHeight="1" x14ac:dyDescent="0.2">
      <c r="A445" s="45" t="s">
        <v>133</v>
      </c>
      <c r="B445" s="46">
        <f>IF($P$445="",2261.11,ROUND(2261.11*((793.4509/(1-$P$445))-154.93)/678.08,2))</f>
        <v>2261.11</v>
      </c>
      <c r="C445" s="38"/>
      <c r="D445" s="47">
        <v>0.13042899999999999</v>
      </c>
      <c r="E445" s="39">
        <v>0.14000000000000001</v>
      </c>
      <c r="F445" s="37">
        <f t="shared" si="66"/>
        <v>316.56</v>
      </c>
      <c r="G445" s="40"/>
      <c r="H445" s="48">
        <v>2167.11</v>
      </c>
      <c r="I445" s="42">
        <v>0.14899999999999999</v>
      </c>
      <c r="J445" s="41">
        <f t="shared" si="67"/>
        <v>322.89999999999998</v>
      </c>
      <c r="K445" s="40"/>
      <c r="L445" s="49">
        <v>1389.72</v>
      </c>
      <c r="M445" s="44">
        <v>0.15</v>
      </c>
      <c r="N445" s="43">
        <f t="shared" si="68"/>
        <v>208.46</v>
      </c>
      <c r="O445" s="50" t="s">
        <v>134</v>
      </c>
      <c r="P445" s="51"/>
    </row>
    <row r="446" spans="1:22" ht="15" customHeight="1" x14ac:dyDescent="0.2">
      <c r="A446" s="45" t="s">
        <v>135</v>
      </c>
      <c r="B446" s="46">
        <f>IF($P$445="",1435.19,ROUND(1435.19*((793.4509/(1-$P$445))-154.93)/678.08,2))</f>
        <v>1435.19</v>
      </c>
      <c r="C446" s="38"/>
      <c r="D446" s="47">
        <v>0.13042899999999999</v>
      </c>
      <c r="E446" s="39">
        <v>0.14000000000000001</v>
      </c>
      <c r="F446" s="37">
        <f t="shared" si="66"/>
        <v>200.93</v>
      </c>
      <c r="G446" s="40"/>
      <c r="H446" s="48">
        <v>1456.19</v>
      </c>
      <c r="I446" s="42">
        <v>0.14899999999999999</v>
      </c>
      <c r="J446" s="41">
        <f t="shared" si="67"/>
        <v>216.97</v>
      </c>
      <c r="K446" s="40"/>
      <c r="L446" s="49">
        <v>995.20699999999999</v>
      </c>
      <c r="M446" s="44">
        <v>0.15</v>
      </c>
      <c r="N446" s="43">
        <f t="shared" si="68"/>
        <v>149.28</v>
      </c>
      <c r="O446" s="52" t="s">
        <v>136</v>
      </c>
    </row>
    <row r="447" spans="1:22" ht="15" customHeight="1" x14ac:dyDescent="0.2">
      <c r="A447" s="45" t="s">
        <v>137</v>
      </c>
      <c r="B447" s="46">
        <f>IF($P$445="",1155.316,ROUND(1155.316*((793.4509/(1-$P$445))-154.93)/678.08,2))</f>
        <v>1155.316</v>
      </c>
      <c r="C447" s="38"/>
      <c r="D447" s="47">
        <v>0.130768</v>
      </c>
      <c r="E447" s="39">
        <v>0.13900000000000001</v>
      </c>
      <c r="F447" s="37">
        <f t="shared" si="66"/>
        <v>160.59</v>
      </c>
      <c r="G447" s="40"/>
      <c r="H447" s="48">
        <v>1117.316</v>
      </c>
      <c r="I447" s="42">
        <v>0.13500000000000001</v>
      </c>
      <c r="J447" s="41">
        <f t="shared" si="67"/>
        <v>150.84</v>
      </c>
      <c r="K447" s="40"/>
      <c r="L447" s="49">
        <v>881.13400000000001</v>
      </c>
      <c r="M447" s="44">
        <v>0.14000000000000001</v>
      </c>
      <c r="N447" s="43">
        <f t="shared" si="68"/>
        <v>123.36</v>
      </c>
      <c r="O447" s="52" t="s">
        <v>138</v>
      </c>
    </row>
    <row r="448" spans="1:22" ht="15" customHeight="1" x14ac:dyDescent="0.2">
      <c r="A448" s="27" t="s">
        <v>139</v>
      </c>
      <c r="B448" s="37">
        <v>1</v>
      </c>
      <c r="C448" s="53">
        <v>30</v>
      </c>
      <c r="D448" s="39">
        <v>6</v>
      </c>
      <c r="E448" s="39">
        <v>6</v>
      </c>
      <c r="F448" s="37">
        <f t="shared" si="66"/>
        <v>6</v>
      </c>
      <c r="G448" s="40"/>
      <c r="H448" s="41">
        <v>1</v>
      </c>
      <c r="I448" s="42">
        <v>6</v>
      </c>
      <c r="J448" s="41">
        <f t="shared" si="67"/>
        <v>6</v>
      </c>
      <c r="K448" s="40"/>
      <c r="L448" s="43">
        <v>1</v>
      </c>
      <c r="M448" s="44">
        <v>6</v>
      </c>
      <c r="N448" s="43">
        <f t="shared" si="68"/>
        <v>6</v>
      </c>
    </row>
    <row r="449" spans="1:22" ht="15" customHeight="1" x14ac:dyDescent="0.2">
      <c r="A449" s="27" t="s">
        <v>140</v>
      </c>
      <c r="B449" s="37">
        <v>30</v>
      </c>
      <c r="C449" s="53">
        <v>30</v>
      </c>
      <c r="D449" s="39">
        <v>1.9120000000000002E-2</v>
      </c>
      <c r="E449" s="39">
        <v>1.9120000000000002E-2</v>
      </c>
      <c r="F449" s="37">
        <f t="shared" si="66"/>
        <v>0.56999999999999995</v>
      </c>
      <c r="G449" s="40"/>
      <c r="H449" s="41">
        <v>30</v>
      </c>
      <c r="I449" s="42">
        <v>1.9120000000000002E-2</v>
      </c>
      <c r="J449" s="41">
        <f t="shared" si="67"/>
        <v>0.56999999999999995</v>
      </c>
      <c r="K449" s="40"/>
      <c r="L449" s="43">
        <v>30</v>
      </c>
      <c r="M449" s="44">
        <v>1.274E-2</v>
      </c>
      <c r="N449" s="43">
        <f t="shared" si="68"/>
        <v>0.38</v>
      </c>
    </row>
    <row r="450" spans="1:22" ht="15" customHeight="1" x14ac:dyDescent="0.2">
      <c r="A450" s="27" t="s">
        <v>141</v>
      </c>
      <c r="B450" s="37">
        <v>45.27</v>
      </c>
      <c r="C450" s="38"/>
      <c r="D450" s="39">
        <v>1</v>
      </c>
      <c r="E450" s="39">
        <v>1</v>
      </c>
      <c r="F450" s="37">
        <f t="shared" si="66"/>
        <v>45.27</v>
      </c>
      <c r="G450" s="40"/>
      <c r="H450" s="41">
        <v>46.08</v>
      </c>
      <c r="I450" s="42">
        <v>1</v>
      </c>
      <c r="J450" s="41">
        <f t="shared" si="67"/>
        <v>46.08</v>
      </c>
      <c r="K450" s="40"/>
      <c r="L450" s="43">
        <v>42.92</v>
      </c>
      <c r="M450" s="44">
        <v>1</v>
      </c>
      <c r="N450" s="43">
        <f t="shared" si="68"/>
        <v>42.92</v>
      </c>
    </row>
    <row r="451" spans="1:22" ht="15" customHeight="1" x14ac:dyDescent="0.2">
      <c r="A451" s="54" t="s">
        <v>142</v>
      </c>
      <c r="B451" s="55"/>
      <c r="C451" s="55"/>
      <c r="D451" s="55"/>
      <c r="E451" s="55"/>
      <c r="F451" s="56">
        <f>ROUND((SUM(F439:F450)-F450)*1.21+F450,2)</f>
        <v>1061.1600000000001</v>
      </c>
      <c r="G451" s="55"/>
      <c r="H451" s="55"/>
      <c r="I451" s="55"/>
      <c r="J451" s="57">
        <f>ROUND((SUM(J439:J450)-J450)*1.21+J450,2)</f>
        <v>1077.25</v>
      </c>
      <c r="K451" s="55"/>
      <c r="L451" s="55"/>
      <c r="M451" s="55"/>
      <c r="N451" s="58">
        <f>ROUND((SUM(N439:N450)-N450)*1.21+N450,2)</f>
        <v>820.24</v>
      </c>
    </row>
    <row r="452" spans="1:22" ht="15" customHeight="1" x14ac:dyDescent="0.2">
      <c r="A452" s="59" t="s">
        <v>143</v>
      </c>
      <c r="B452" s="129">
        <f>(SUM(F439:F447)-793.4509)/SUM(F439:F447)</f>
        <v>4.7489345866196145E-2</v>
      </c>
      <c r="C452" s="129"/>
      <c r="D452" s="129"/>
      <c r="E452" s="129"/>
      <c r="F452" s="129"/>
      <c r="G452" s="60"/>
      <c r="H452" s="130"/>
      <c r="I452" s="130"/>
      <c r="J452" s="130"/>
      <c r="K452" s="60"/>
      <c r="L452" s="131" t="str">
        <f>IF(B452&gt;=0.3,"APROBAR",IF(B452&gt;=0.2,"REVISAR","RECHAZAR"))</f>
        <v>RECHAZAR</v>
      </c>
      <c r="M452" s="131"/>
      <c r="N452" s="131"/>
    </row>
    <row r="454" spans="1:22" ht="15" customHeight="1" x14ac:dyDescent="0.2">
      <c r="A454" s="7" t="s">
        <v>352</v>
      </c>
      <c r="B454" s="7"/>
      <c r="C454" s="7"/>
      <c r="D454" s="7"/>
      <c r="E454" s="7"/>
      <c r="F454" s="7"/>
      <c r="G454" s="7"/>
      <c r="H454" s="7"/>
      <c r="I454" s="6" t="s">
        <v>353</v>
      </c>
      <c r="J454" s="6"/>
      <c r="K454" s="6"/>
      <c r="L454" s="6"/>
      <c r="M454" s="6"/>
      <c r="N454" s="6"/>
      <c r="R454" s="5" t="s">
        <v>110</v>
      </c>
      <c r="S454" s="5"/>
      <c r="T454" s="5"/>
      <c r="U454" s="5"/>
      <c r="V454" s="5"/>
    </row>
    <row r="455" spans="1:22" ht="15" customHeight="1" x14ac:dyDescent="0.2">
      <c r="A455" s="32" t="s">
        <v>111</v>
      </c>
      <c r="B455" s="4" t="s">
        <v>112</v>
      </c>
      <c r="C455" s="4"/>
      <c r="D455" s="4"/>
      <c r="E455" s="4"/>
      <c r="F455" s="4"/>
      <c r="G455" s="33"/>
      <c r="H455" s="3" t="s">
        <v>354</v>
      </c>
      <c r="I455" s="3"/>
      <c r="J455" s="3"/>
      <c r="K455" s="33"/>
      <c r="L455" s="2" t="s">
        <v>355</v>
      </c>
      <c r="M455" s="2"/>
      <c r="N455" s="2"/>
      <c r="R455" s="1" t="s">
        <v>356</v>
      </c>
      <c r="S455" s="1"/>
      <c r="T455" s="1"/>
      <c r="U455" s="1"/>
      <c r="V455" s="1"/>
    </row>
    <row r="456" spans="1:22" ht="15" customHeight="1" x14ac:dyDescent="0.2">
      <c r="A456" s="33"/>
      <c r="B456" s="34" t="s">
        <v>116</v>
      </c>
      <c r="C456" s="34" t="s">
        <v>117</v>
      </c>
      <c r="D456" s="34" t="s">
        <v>118</v>
      </c>
      <c r="E456" s="34" t="s">
        <v>119</v>
      </c>
      <c r="F456" s="34" t="s">
        <v>120</v>
      </c>
      <c r="G456" s="33"/>
      <c r="H456" s="35" t="s">
        <v>116</v>
      </c>
      <c r="I456" s="35" t="s">
        <v>119</v>
      </c>
      <c r="J456" s="35" t="s">
        <v>120</v>
      </c>
      <c r="K456" s="33"/>
      <c r="L456" s="36" t="s">
        <v>116</v>
      </c>
      <c r="M456" s="36" t="s">
        <v>119</v>
      </c>
      <c r="N456" s="36" t="s">
        <v>120</v>
      </c>
      <c r="R456" s="124" t="s">
        <v>357</v>
      </c>
      <c r="S456" s="124"/>
      <c r="T456" s="124"/>
      <c r="U456" s="124"/>
      <c r="V456" s="124"/>
    </row>
    <row r="457" spans="1:22" ht="15" customHeight="1" x14ac:dyDescent="0.2">
      <c r="A457" s="27" t="s">
        <v>122</v>
      </c>
      <c r="B457" s="37">
        <v>27</v>
      </c>
      <c r="C457" s="38">
        <v>30</v>
      </c>
      <c r="D457" s="39">
        <v>1.7378400000000001</v>
      </c>
      <c r="E457" s="39">
        <v>2.5541999999999998</v>
      </c>
      <c r="F457" s="37">
        <f t="shared" ref="F457:F468" si="69">ROUND(B457*E457,2)</f>
        <v>68.959999999999994</v>
      </c>
      <c r="G457" s="40"/>
      <c r="H457" s="41">
        <v>27</v>
      </c>
      <c r="I457" s="42">
        <v>2.5541999999999998</v>
      </c>
      <c r="J457" s="41">
        <f t="shared" ref="J457:J468" si="70">ROUND(H457*I457,2)</f>
        <v>68.959999999999994</v>
      </c>
      <c r="K457" s="40"/>
      <c r="L457" s="43">
        <v>27</v>
      </c>
      <c r="M457" s="44">
        <v>2.5541999999999998</v>
      </c>
      <c r="N457" s="43">
        <f t="shared" ref="N457:N468" si="71">ROUND(L457*M457,2)</f>
        <v>68.959999999999994</v>
      </c>
      <c r="R457" s="125" t="s">
        <v>358</v>
      </c>
      <c r="S457" s="125"/>
      <c r="T457" s="125"/>
      <c r="U457" s="125"/>
      <c r="V457" s="125"/>
    </row>
    <row r="458" spans="1:22" ht="15" customHeight="1" x14ac:dyDescent="0.2">
      <c r="A458" s="27" t="s">
        <v>124</v>
      </c>
      <c r="B458" s="37">
        <v>27</v>
      </c>
      <c r="C458" s="38">
        <v>30</v>
      </c>
      <c r="D458" s="39">
        <v>0.93569999999999998</v>
      </c>
      <c r="E458" s="39">
        <v>1.3773299999999999</v>
      </c>
      <c r="F458" s="37">
        <f t="shared" si="69"/>
        <v>37.19</v>
      </c>
      <c r="G458" s="40"/>
      <c r="H458" s="41">
        <v>27</v>
      </c>
      <c r="I458" s="42">
        <v>1.3773299999999999</v>
      </c>
      <c r="J458" s="41">
        <f t="shared" si="70"/>
        <v>37.19</v>
      </c>
      <c r="K458" s="40"/>
      <c r="L458" s="43">
        <v>27</v>
      </c>
      <c r="M458" s="44">
        <v>1.3773299999999999</v>
      </c>
      <c r="N458" s="43">
        <f t="shared" si="71"/>
        <v>37.19</v>
      </c>
      <c r="R458" s="126" t="s">
        <v>359</v>
      </c>
      <c r="S458" s="126"/>
      <c r="T458" s="126"/>
      <c r="U458" s="126"/>
      <c r="V458" s="126"/>
    </row>
    <row r="459" spans="1:22" ht="15" customHeight="1" x14ac:dyDescent="0.2">
      <c r="A459" s="27" t="s">
        <v>126</v>
      </c>
      <c r="B459" s="37">
        <v>27</v>
      </c>
      <c r="C459" s="38">
        <v>30</v>
      </c>
      <c r="D459" s="39">
        <v>0.43136999999999998</v>
      </c>
      <c r="E459" s="39">
        <v>0.62868000000000002</v>
      </c>
      <c r="F459" s="37">
        <f t="shared" si="69"/>
        <v>16.97</v>
      </c>
      <c r="G459" s="40"/>
      <c r="H459" s="41">
        <v>27</v>
      </c>
      <c r="I459" s="42">
        <v>0.62868000000000002</v>
      </c>
      <c r="J459" s="41">
        <f t="shared" si="70"/>
        <v>16.97</v>
      </c>
      <c r="K459" s="40"/>
      <c r="L459" s="43">
        <v>27</v>
      </c>
      <c r="M459" s="44">
        <v>0.62868000000000002</v>
      </c>
      <c r="N459" s="43">
        <f t="shared" si="71"/>
        <v>16.97</v>
      </c>
      <c r="R459" s="126" t="s">
        <v>360</v>
      </c>
      <c r="S459" s="126"/>
      <c r="T459" s="126"/>
      <c r="U459" s="126"/>
      <c r="V459" s="126"/>
    </row>
    <row r="460" spans="1:22" ht="15" customHeight="1" x14ac:dyDescent="0.2">
      <c r="A460" s="27" t="s">
        <v>128</v>
      </c>
      <c r="B460" s="37">
        <v>27</v>
      </c>
      <c r="C460" s="38">
        <v>30</v>
      </c>
      <c r="D460" s="39">
        <v>0.38244</v>
      </c>
      <c r="E460" s="39">
        <v>0.55610000000000004</v>
      </c>
      <c r="F460" s="37">
        <f t="shared" si="69"/>
        <v>15.01</v>
      </c>
      <c r="G460" s="40"/>
      <c r="H460" s="41">
        <v>27</v>
      </c>
      <c r="I460" s="42">
        <v>0.55610000000000004</v>
      </c>
      <c r="J460" s="41">
        <f t="shared" si="70"/>
        <v>15.01</v>
      </c>
      <c r="K460" s="40"/>
      <c r="L460" s="43">
        <v>27</v>
      </c>
      <c r="M460" s="44">
        <v>0.55610000000000004</v>
      </c>
      <c r="N460" s="43">
        <f t="shared" si="71"/>
        <v>15.01</v>
      </c>
      <c r="R460" s="132" t="s">
        <v>162</v>
      </c>
      <c r="S460" s="132"/>
      <c r="T460" s="132"/>
      <c r="U460" s="132"/>
      <c r="V460" s="132"/>
    </row>
    <row r="461" spans="1:22" ht="15" customHeight="1" x14ac:dyDescent="0.2">
      <c r="A461" s="27" t="s">
        <v>130</v>
      </c>
      <c r="B461" s="37">
        <v>27</v>
      </c>
      <c r="C461" s="38">
        <v>30</v>
      </c>
      <c r="D461" s="39">
        <v>0.26963999999999999</v>
      </c>
      <c r="E461" s="39">
        <v>0.38679999999999998</v>
      </c>
      <c r="F461" s="37">
        <f t="shared" si="69"/>
        <v>10.44</v>
      </c>
      <c r="G461" s="40"/>
      <c r="H461" s="41">
        <v>27</v>
      </c>
      <c r="I461" s="42">
        <v>0.38679999999999998</v>
      </c>
      <c r="J461" s="41">
        <f t="shared" si="70"/>
        <v>10.44</v>
      </c>
      <c r="K461" s="40"/>
      <c r="L461" s="43">
        <v>27</v>
      </c>
      <c r="M461" s="44">
        <v>0.38679999999999998</v>
      </c>
      <c r="N461" s="43">
        <f t="shared" si="71"/>
        <v>10.44</v>
      </c>
      <c r="R461" s="128" t="s">
        <v>131</v>
      </c>
      <c r="S461" s="128"/>
      <c r="T461" s="128"/>
      <c r="U461" s="128"/>
      <c r="V461" s="128"/>
    </row>
    <row r="462" spans="1:22" ht="15" customHeight="1" x14ac:dyDescent="0.2">
      <c r="A462" s="27" t="s">
        <v>132</v>
      </c>
      <c r="B462" s="37">
        <v>27</v>
      </c>
      <c r="C462" s="38">
        <v>30</v>
      </c>
      <c r="D462" s="39">
        <v>0.18156</v>
      </c>
      <c r="E462" s="39">
        <v>0.26529999999999998</v>
      </c>
      <c r="F462" s="37">
        <f t="shared" si="69"/>
        <v>7.16</v>
      </c>
      <c r="G462" s="40"/>
      <c r="H462" s="41">
        <v>27</v>
      </c>
      <c r="I462" s="42">
        <v>0.26529999999999998</v>
      </c>
      <c r="J462" s="41">
        <f t="shared" si="70"/>
        <v>7.16</v>
      </c>
      <c r="K462" s="40"/>
      <c r="L462" s="43">
        <v>27</v>
      </c>
      <c r="M462" s="44">
        <v>0.26529999999999998</v>
      </c>
      <c r="N462" s="43">
        <f t="shared" si="71"/>
        <v>7.16</v>
      </c>
    </row>
    <row r="463" spans="1:22" ht="15" customHeight="1" x14ac:dyDescent="0.2">
      <c r="A463" s="45" t="s">
        <v>133</v>
      </c>
      <c r="B463" s="46">
        <f>IF($P$463="",1816.22,ROUND(1816.22*((924.6661/(1-$P$463))-155.73)/1000.37,2))</f>
        <v>1816.22</v>
      </c>
      <c r="C463" s="38"/>
      <c r="D463" s="47">
        <v>0.121236</v>
      </c>
      <c r="E463" s="39">
        <v>0.14000000000000001</v>
      </c>
      <c r="F463" s="37">
        <f t="shared" si="69"/>
        <v>254.27</v>
      </c>
      <c r="G463" s="40"/>
      <c r="H463" s="48">
        <v>1590.15</v>
      </c>
      <c r="I463" s="42">
        <v>0.14699999999999999</v>
      </c>
      <c r="J463" s="41">
        <f t="shared" si="70"/>
        <v>233.75</v>
      </c>
      <c r="K463" s="40"/>
      <c r="L463" s="49">
        <v>1140.96</v>
      </c>
      <c r="M463" s="44">
        <v>0.16</v>
      </c>
      <c r="N463" s="43">
        <f t="shared" si="71"/>
        <v>182.55</v>
      </c>
      <c r="O463" s="50" t="s">
        <v>134</v>
      </c>
      <c r="P463" s="51"/>
    </row>
    <row r="464" spans="1:22" ht="15" customHeight="1" x14ac:dyDescent="0.2">
      <c r="A464" s="45" t="s">
        <v>135</v>
      </c>
      <c r="B464" s="46">
        <f>IF($P$463="",1757.47,ROUND(1757.47*((924.6661/(1-$P$463))-155.73)/1000.37,2))</f>
        <v>1757.47</v>
      </c>
      <c r="C464" s="38"/>
      <c r="D464" s="47">
        <v>0.114444</v>
      </c>
      <c r="E464" s="39">
        <v>0.13900000000000001</v>
      </c>
      <c r="F464" s="37">
        <f t="shared" si="69"/>
        <v>244.29</v>
      </c>
      <c r="G464" s="40"/>
      <c r="H464" s="48">
        <v>2221.94</v>
      </c>
      <c r="I464" s="42">
        <v>0.14499999999999999</v>
      </c>
      <c r="J464" s="41">
        <f t="shared" si="70"/>
        <v>322.18</v>
      </c>
      <c r="K464" s="40"/>
      <c r="L464" s="49">
        <v>1673.7270000000001</v>
      </c>
      <c r="M464" s="44">
        <v>0.15</v>
      </c>
      <c r="N464" s="43">
        <f t="shared" si="71"/>
        <v>251.06</v>
      </c>
      <c r="O464" s="52" t="s">
        <v>136</v>
      </c>
    </row>
    <row r="465" spans="1:22" ht="15" customHeight="1" x14ac:dyDescent="0.2">
      <c r="A465" s="45" t="s">
        <v>137</v>
      </c>
      <c r="B465" s="46">
        <f>IF($P$463="",3717.08,ROUND(3717.08*((924.6661/(1-$P$463))-155.73)/1000.37,2))</f>
        <v>3717.08</v>
      </c>
      <c r="C465" s="38"/>
      <c r="D465" s="47">
        <v>0.106808</v>
      </c>
      <c r="E465" s="39">
        <v>0.13500000000000001</v>
      </c>
      <c r="F465" s="37">
        <f t="shared" si="69"/>
        <v>501.81</v>
      </c>
      <c r="G465" s="40"/>
      <c r="H465" s="48">
        <v>4621.51</v>
      </c>
      <c r="I465" s="42">
        <v>0.13500000000000001</v>
      </c>
      <c r="J465" s="41">
        <f t="shared" si="70"/>
        <v>623.9</v>
      </c>
      <c r="K465" s="40"/>
      <c r="L465" s="49">
        <v>2990.97</v>
      </c>
      <c r="M465" s="44">
        <v>0.13500000000000001</v>
      </c>
      <c r="N465" s="43">
        <f t="shared" si="71"/>
        <v>403.78</v>
      </c>
      <c r="O465" s="52" t="s">
        <v>138</v>
      </c>
    </row>
    <row r="466" spans="1:22" ht="15" customHeight="1" x14ac:dyDescent="0.2">
      <c r="A466" s="27" t="s">
        <v>139</v>
      </c>
      <c r="B466" s="37">
        <v>1</v>
      </c>
      <c r="C466" s="53">
        <v>30</v>
      </c>
      <c r="D466" s="39">
        <v>17.614999999999998</v>
      </c>
      <c r="E466" s="39">
        <v>17.614999999999998</v>
      </c>
      <c r="F466" s="37">
        <f t="shared" si="69"/>
        <v>17.62</v>
      </c>
      <c r="G466" s="40"/>
      <c r="H466" s="41">
        <v>1</v>
      </c>
      <c r="I466" s="42">
        <v>17.614999999999998</v>
      </c>
      <c r="J466" s="41">
        <f t="shared" si="70"/>
        <v>17.62</v>
      </c>
      <c r="K466" s="40"/>
      <c r="L466" s="43">
        <v>1</v>
      </c>
      <c r="M466" s="44">
        <v>17.614999999999998</v>
      </c>
      <c r="N466" s="43">
        <f t="shared" si="71"/>
        <v>17.62</v>
      </c>
    </row>
    <row r="467" spans="1:22" ht="15" customHeight="1" x14ac:dyDescent="0.2">
      <c r="A467" s="27" t="s">
        <v>140</v>
      </c>
      <c r="B467" s="37">
        <v>30</v>
      </c>
      <c r="C467" s="53">
        <v>30</v>
      </c>
      <c r="D467" s="39">
        <v>1.274E-2</v>
      </c>
      <c r="E467" s="39">
        <v>1.274E-2</v>
      </c>
      <c r="F467" s="37">
        <f t="shared" si="69"/>
        <v>0.38</v>
      </c>
      <c r="G467" s="40"/>
      <c r="H467" s="41">
        <v>30</v>
      </c>
      <c r="I467" s="42">
        <v>1.274E-2</v>
      </c>
      <c r="J467" s="41">
        <f t="shared" si="70"/>
        <v>0.38</v>
      </c>
      <c r="K467" s="40"/>
      <c r="L467" s="43">
        <v>30</v>
      </c>
      <c r="M467" s="44">
        <v>1.274E-2</v>
      </c>
      <c r="N467" s="43">
        <f t="shared" si="71"/>
        <v>0.38</v>
      </c>
    </row>
    <row r="468" spans="1:22" ht="15" customHeight="1" x14ac:dyDescent="0.2">
      <c r="A468" s="27" t="s">
        <v>141</v>
      </c>
      <c r="B468" s="37">
        <v>75.63</v>
      </c>
      <c r="C468" s="38"/>
      <c r="D468" s="39">
        <v>1</v>
      </c>
      <c r="E468" s="39">
        <v>1</v>
      </c>
      <c r="F468" s="37">
        <f t="shared" si="69"/>
        <v>75.63</v>
      </c>
      <c r="G468" s="40"/>
      <c r="H468" s="41">
        <v>84.74</v>
      </c>
      <c r="I468" s="42">
        <v>1</v>
      </c>
      <c r="J468" s="41">
        <f t="shared" si="70"/>
        <v>84.74</v>
      </c>
      <c r="K468" s="40"/>
      <c r="L468" s="43">
        <v>63</v>
      </c>
      <c r="M468" s="44">
        <v>1</v>
      </c>
      <c r="N468" s="43">
        <f t="shared" si="71"/>
        <v>63</v>
      </c>
    </row>
    <row r="469" spans="1:22" ht="15" customHeight="1" x14ac:dyDescent="0.2">
      <c r="A469" s="54" t="s">
        <v>142</v>
      </c>
      <c r="B469" s="55"/>
      <c r="C469" s="55"/>
      <c r="D469" s="55"/>
      <c r="E469" s="55"/>
      <c r="F469" s="56">
        <f>ROUND((SUM(F457:F468)-F468)*1.21+F468,2)</f>
        <v>1496.29</v>
      </c>
      <c r="G469" s="55"/>
      <c r="H469" s="55"/>
      <c r="I469" s="55"/>
      <c r="J469" s="57">
        <f>ROUND((SUM(J457:J468)-J468)*1.21+J468,2)</f>
        <v>1722.55</v>
      </c>
      <c r="K469" s="55"/>
      <c r="L469" s="55"/>
      <c r="M469" s="55"/>
      <c r="N469" s="58">
        <f>ROUND((SUM(N457:N468)-N468)*1.21+N468,2)</f>
        <v>1286.46</v>
      </c>
    </row>
    <row r="470" spans="1:22" ht="15" customHeight="1" x14ac:dyDescent="0.2">
      <c r="A470" s="59" t="s">
        <v>143</v>
      </c>
      <c r="B470" s="129">
        <f>(SUM(F457:F465)-924.6661)/SUM(F457:F465)</f>
        <v>0.2001850185970071</v>
      </c>
      <c r="C470" s="129"/>
      <c r="D470" s="129"/>
      <c r="E470" s="129"/>
      <c r="F470" s="129"/>
      <c r="G470" s="60"/>
      <c r="H470" s="130"/>
      <c r="I470" s="130"/>
      <c r="J470" s="130"/>
      <c r="K470" s="60"/>
      <c r="L470" s="131" t="str">
        <f>IF(B470&gt;=0.3,"APROBAR",IF(B470&gt;=0.2,"REVISAR","RECHAZAR"))</f>
        <v>REVISAR</v>
      </c>
      <c r="M470" s="131"/>
      <c r="N470" s="131"/>
    </row>
    <row r="472" spans="1:22" ht="15" customHeight="1" x14ac:dyDescent="0.2">
      <c r="A472" s="7" t="s">
        <v>361</v>
      </c>
      <c r="B472" s="7"/>
      <c r="C472" s="7"/>
      <c r="D472" s="7"/>
      <c r="E472" s="7"/>
      <c r="F472" s="7"/>
      <c r="G472" s="7"/>
      <c r="H472" s="7"/>
      <c r="I472" s="6" t="s">
        <v>362</v>
      </c>
      <c r="J472" s="6"/>
      <c r="K472" s="6"/>
      <c r="L472" s="6"/>
      <c r="M472" s="6"/>
      <c r="N472" s="6"/>
      <c r="R472" s="5" t="s">
        <v>110</v>
      </c>
      <c r="S472" s="5"/>
      <c r="T472" s="5"/>
      <c r="U472" s="5"/>
      <c r="V472" s="5"/>
    </row>
    <row r="473" spans="1:22" ht="15" customHeight="1" x14ac:dyDescent="0.2">
      <c r="A473" s="32" t="s">
        <v>111</v>
      </c>
      <c r="B473" s="4" t="s">
        <v>112</v>
      </c>
      <c r="C473" s="4"/>
      <c r="D473" s="4"/>
      <c r="E473" s="4"/>
      <c r="F473" s="4"/>
      <c r="G473" s="33"/>
      <c r="H473" s="3" t="s">
        <v>363</v>
      </c>
      <c r="I473" s="3"/>
      <c r="J473" s="3"/>
      <c r="K473" s="33"/>
      <c r="L473" s="2" t="s">
        <v>364</v>
      </c>
      <c r="M473" s="2"/>
      <c r="N473" s="2"/>
      <c r="R473" s="1" t="s">
        <v>365</v>
      </c>
      <c r="S473" s="1"/>
      <c r="T473" s="1"/>
      <c r="U473" s="1"/>
      <c r="V473" s="1"/>
    </row>
    <row r="474" spans="1:22" ht="15" customHeight="1" x14ac:dyDescent="0.2">
      <c r="A474" s="33"/>
      <c r="B474" s="34" t="s">
        <v>116</v>
      </c>
      <c r="C474" s="34" t="s">
        <v>117</v>
      </c>
      <c r="D474" s="34" t="s">
        <v>118</v>
      </c>
      <c r="E474" s="34" t="s">
        <v>119</v>
      </c>
      <c r="F474" s="34" t="s">
        <v>120</v>
      </c>
      <c r="G474" s="33"/>
      <c r="H474" s="35" t="s">
        <v>116</v>
      </c>
      <c r="I474" s="35" t="s">
        <v>119</v>
      </c>
      <c r="J474" s="35" t="s">
        <v>120</v>
      </c>
      <c r="K474" s="33"/>
      <c r="L474" s="36" t="s">
        <v>116</v>
      </c>
      <c r="M474" s="36" t="s">
        <v>119</v>
      </c>
      <c r="N474" s="36" t="s">
        <v>120</v>
      </c>
      <c r="R474" s="124" t="s">
        <v>366</v>
      </c>
      <c r="S474" s="124"/>
      <c r="T474" s="124"/>
      <c r="U474" s="124"/>
      <c r="V474" s="124"/>
    </row>
    <row r="475" spans="1:22" ht="15" customHeight="1" x14ac:dyDescent="0.2">
      <c r="A475" s="27" t="s">
        <v>122</v>
      </c>
      <c r="B475" s="37">
        <v>20</v>
      </c>
      <c r="C475" s="38">
        <v>30</v>
      </c>
      <c r="D475" s="39">
        <v>1.7378400000000001</v>
      </c>
      <c r="E475" s="39">
        <v>2.5541999999999998</v>
      </c>
      <c r="F475" s="37">
        <f t="shared" ref="F475:F486" si="72">ROUND(B475*E475,2)</f>
        <v>51.08</v>
      </c>
      <c r="G475" s="40"/>
      <c r="H475" s="41">
        <v>20</v>
      </c>
      <c r="I475" s="42">
        <v>2.5541999999999998</v>
      </c>
      <c r="J475" s="41">
        <f t="shared" ref="J475:J486" si="73">ROUND(H475*I475,2)</f>
        <v>51.08</v>
      </c>
      <c r="K475" s="40"/>
      <c r="L475" s="43">
        <v>20</v>
      </c>
      <c r="M475" s="44">
        <v>1.9990000000000001</v>
      </c>
      <c r="N475" s="43">
        <f t="shared" ref="N475:N486" si="74">ROUND(L475*M475,2)</f>
        <v>39.979999999999997</v>
      </c>
      <c r="R475" s="125" t="s">
        <v>367</v>
      </c>
      <c r="S475" s="125"/>
      <c r="T475" s="125"/>
      <c r="U475" s="125"/>
      <c r="V475" s="125"/>
    </row>
    <row r="476" spans="1:22" ht="15" customHeight="1" x14ac:dyDescent="0.2">
      <c r="A476" s="27" t="s">
        <v>124</v>
      </c>
      <c r="B476" s="37">
        <v>20</v>
      </c>
      <c r="C476" s="38">
        <v>30</v>
      </c>
      <c r="D476" s="39">
        <v>0.93569999999999998</v>
      </c>
      <c r="E476" s="39">
        <v>1.3773</v>
      </c>
      <c r="F476" s="37">
        <f t="shared" si="72"/>
        <v>27.55</v>
      </c>
      <c r="G476" s="40"/>
      <c r="H476" s="41">
        <v>20</v>
      </c>
      <c r="I476" s="42">
        <v>1.3773</v>
      </c>
      <c r="J476" s="41">
        <f t="shared" si="73"/>
        <v>27.55</v>
      </c>
      <c r="K476" s="40"/>
      <c r="L476" s="43">
        <v>20</v>
      </c>
      <c r="M476" s="44">
        <v>1.8109999999999999</v>
      </c>
      <c r="N476" s="43">
        <f t="shared" si="74"/>
        <v>36.22</v>
      </c>
      <c r="R476" s="126" t="s">
        <v>368</v>
      </c>
      <c r="S476" s="126"/>
      <c r="T476" s="126"/>
      <c r="U476" s="126"/>
      <c r="V476" s="126"/>
    </row>
    <row r="477" spans="1:22" ht="15" customHeight="1" x14ac:dyDescent="0.2">
      <c r="A477" s="27" t="s">
        <v>126</v>
      </c>
      <c r="B477" s="37">
        <v>20</v>
      </c>
      <c r="C477" s="38">
        <v>30</v>
      </c>
      <c r="D477" s="39">
        <v>0.43136999999999998</v>
      </c>
      <c r="E477" s="39">
        <v>0.62860000000000005</v>
      </c>
      <c r="F477" s="37">
        <f t="shared" si="72"/>
        <v>12.57</v>
      </c>
      <c r="G477" s="40"/>
      <c r="H477" s="41">
        <v>20</v>
      </c>
      <c r="I477" s="42">
        <v>0.62860000000000005</v>
      </c>
      <c r="J477" s="41">
        <f t="shared" si="73"/>
        <v>12.57</v>
      </c>
      <c r="K477" s="40"/>
      <c r="L477" s="43">
        <v>20</v>
      </c>
      <c r="M477" s="44">
        <v>0.61609999999999998</v>
      </c>
      <c r="N477" s="43">
        <f t="shared" si="74"/>
        <v>12.32</v>
      </c>
      <c r="R477" s="126" t="s">
        <v>369</v>
      </c>
      <c r="S477" s="126"/>
      <c r="T477" s="126"/>
      <c r="U477" s="126"/>
      <c r="V477" s="126"/>
    </row>
    <row r="478" spans="1:22" ht="15" customHeight="1" x14ac:dyDescent="0.2">
      <c r="A478" s="27" t="s">
        <v>128</v>
      </c>
      <c r="B478" s="37">
        <v>20</v>
      </c>
      <c r="C478" s="38">
        <v>30</v>
      </c>
      <c r="D478" s="39">
        <v>0.38244</v>
      </c>
      <c r="E478" s="39">
        <v>0.55610000000000004</v>
      </c>
      <c r="F478" s="37">
        <f t="shared" si="72"/>
        <v>11.12</v>
      </c>
      <c r="G478" s="40"/>
      <c r="H478" s="41">
        <v>20</v>
      </c>
      <c r="I478" s="42">
        <v>0.55610000000000004</v>
      </c>
      <c r="J478" s="41">
        <f t="shared" si="73"/>
        <v>11.12</v>
      </c>
      <c r="K478" s="40"/>
      <c r="L478" s="43">
        <v>20</v>
      </c>
      <c r="M478" s="44">
        <v>0.55510000000000004</v>
      </c>
      <c r="N478" s="43">
        <f t="shared" si="74"/>
        <v>11.1</v>
      </c>
      <c r="R478" s="132" t="s">
        <v>162</v>
      </c>
      <c r="S478" s="132"/>
      <c r="T478" s="132"/>
      <c r="U478" s="132"/>
      <c r="V478" s="132"/>
    </row>
    <row r="479" spans="1:22" ht="15" customHeight="1" x14ac:dyDescent="0.2">
      <c r="A479" s="27" t="s">
        <v>130</v>
      </c>
      <c r="B479" s="37">
        <v>20</v>
      </c>
      <c r="C479" s="38">
        <v>30</v>
      </c>
      <c r="D479" s="39">
        <v>0.26963999999999999</v>
      </c>
      <c r="E479" s="39">
        <v>0.38679999999999998</v>
      </c>
      <c r="F479" s="37">
        <f t="shared" si="72"/>
        <v>7.74</v>
      </c>
      <c r="G479" s="40"/>
      <c r="H479" s="41">
        <v>20</v>
      </c>
      <c r="I479" s="42">
        <v>0.38679999999999998</v>
      </c>
      <c r="J479" s="41">
        <f t="shared" si="73"/>
        <v>7.74</v>
      </c>
      <c r="K479" s="40"/>
      <c r="L479" s="43">
        <v>20</v>
      </c>
      <c r="M479" s="44">
        <v>0.59499999999999997</v>
      </c>
      <c r="N479" s="43">
        <f t="shared" si="74"/>
        <v>11.9</v>
      </c>
      <c r="R479" s="128" t="s">
        <v>131</v>
      </c>
      <c r="S479" s="128"/>
      <c r="T479" s="128"/>
      <c r="U479" s="128"/>
      <c r="V479" s="128"/>
    </row>
    <row r="480" spans="1:22" ht="15" customHeight="1" x14ac:dyDescent="0.2">
      <c r="A480" s="27" t="s">
        <v>132</v>
      </c>
      <c r="B480" s="37">
        <v>20</v>
      </c>
      <c r="C480" s="38">
        <v>30</v>
      </c>
      <c r="D480" s="39">
        <v>0.18156</v>
      </c>
      <c r="E480" s="39">
        <v>0.26529999999999998</v>
      </c>
      <c r="F480" s="37">
        <f t="shared" si="72"/>
        <v>5.31</v>
      </c>
      <c r="G480" s="40"/>
      <c r="H480" s="41">
        <v>20</v>
      </c>
      <c r="I480" s="42">
        <v>0.26529999999999998</v>
      </c>
      <c r="J480" s="41">
        <f t="shared" si="73"/>
        <v>5.31</v>
      </c>
      <c r="K480" s="40"/>
      <c r="L480" s="43">
        <v>20</v>
      </c>
      <c r="M480" s="44">
        <v>0.45229999999999998</v>
      </c>
      <c r="N480" s="43">
        <f t="shared" si="74"/>
        <v>9.0500000000000007</v>
      </c>
    </row>
    <row r="481" spans="1:16" ht="15" customHeight="1" x14ac:dyDescent="0.2">
      <c r="A481" s="45" t="s">
        <v>133</v>
      </c>
      <c r="B481" s="46">
        <f>IF($P$481="",3873.35,ROUND(3873.35*((1425.867/(1-$P$481))-115.37)/1595.71,2))</f>
        <v>3873.35</v>
      </c>
      <c r="C481" s="38"/>
      <c r="D481" s="47">
        <v>0.121236</v>
      </c>
      <c r="E481" s="39">
        <v>0.13500000000000001</v>
      </c>
      <c r="F481" s="37">
        <f t="shared" si="72"/>
        <v>522.9</v>
      </c>
      <c r="G481" s="40"/>
      <c r="H481" s="48">
        <v>3152.18</v>
      </c>
      <c r="I481" s="42">
        <v>0.13900000000000001</v>
      </c>
      <c r="J481" s="41">
        <f t="shared" si="73"/>
        <v>438.15</v>
      </c>
      <c r="K481" s="40"/>
      <c r="L481" s="49">
        <v>2934.71</v>
      </c>
      <c r="M481" s="44">
        <v>0.18</v>
      </c>
      <c r="N481" s="43">
        <f t="shared" si="74"/>
        <v>528.25</v>
      </c>
      <c r="O481" s="50" t="s">
        <v>134</v>
      </c>
      <c r="P481" s="51"/>
    </row>
    <row r="482" spans="1:16" ht="15" customHeight="1" x14ac:dyDescent="0.2">
      <c r="A482" s="45" t="s">
        <v>135</v>
      </c>
      <c r="B482" s="46">
        <f>IF($P$481="",3762.22,ROUND(3762.22*((1425.867/(1-$P$481))-115.37)/1595.71,2))</f>
        <v>3762.22</v>
      </c>
      <c r="C482" s="38"/>
      <c r="D482" s="47">
        <v>0.114444</v>
      </c>
      <c r="E482" s="39">
        <v>0.13500000000000001</v>
      </c>
      <c r="F482" s="37">
        <f t="shared" si="72"/>
        <v>507.9</v>
      </c>
      <c r="G482" s="40"/>
      <c r="H482" s="48">
        <v>3262.35</v>
      </c>
      <c r="I482" s="42">
        <v>0.13900000000000001</v>
      </c>
      <c r="J482" s="41">
        <f t="shared" si="73"/>
        <v>453.47</v>
      </c>
      <c r="K482" s="40"/>
      <c r="L482" s="49">
        <v>2049.5300000000002</v>
      </c>
      <c r="M482" s="44">
        <v>0.18</v>
      </c>
      <c r="N482" s="43">
        <f t="shared" si="74"/>
        <v>368.92</v>
      </c>
      <c r="O482" s="52" t="s">
        <v>136</v>
      </c>
    </row>
    <row r="483" spans="1:16" ht="15" customHeight="1" x14ac:dyDescent="0.2">
      <c r="A483" s="45" t="s">
        <v>137</v>
      </c>
      <c r="B483" s="46">
        <f>IF($P$481="",4184.52,ROUND(4184.52*((1425.867/(1-$P$481))-115.37)/1595.71,2))</f>
        <v>4184.5200000000004</v>
      </c>
      <c r="C483" s="38"/>
      <c r="D483" s="47">
        <v>0.106808</v>
      </c>
      <c r="E483" s="39">
        <v>0.13500000000000001</v>
      </c>
      <c r="F483" s="37">
        <f t="shared" si="72"/>
        <v>564.91</v>
      </c>
      <c r="G483" s="40"/>
      <c r="H483" s="48">
        <v>4288.7299999999996</v>
      </c>
      <c r="I483" s="42">
        <v>0.13500000000000001</v>
      </c>
      <c r="J483" s="41">
        <f t="shared" si="73"/>
        <v>578.98</v>
      </c>
      <c r="K483" s="40"/>
      <c r="L483" s="49">
        <v>2240.37</v>
      </c>
      <c r="M483" s="44">
        <v>0.18</v>
      </c>
      <c r="N483" s="43">
        <f t="shared" si="74"/>
        <v>403.27</v>
      </c>
      <c r="O483" s="52" t="s">
        <v>138</v>
      </c>
    </row>
    <row r="484" spans="1:16" ht="15" customHeight="1" x14ac:dyDescent="0.2">
      <c r="A484" s="27" t="s">
        <v>139</v>
      </c>
      <c r="B484" s="37">
        <v>1</v>
      </c>
      <c r="C484" s="53">
        <v>30</v>
      </c>
      <c r="D484" s="39">
        <v>17.614999999999998</v>
      </c>
      <c r="E484" s="39">
        <v>17.614999999999998</v>
      </c>
      <c r="F484" s="37">
        <f t="shared" si="72"/>
        <v>17.62</v>
      </c>
      <c r="G484" s="40"/>
      <c r="H484" s="41">
        <v>1</v>
      </c>
      <c r="I484" s="42">
        <v>17.614999999999998</v>
      </c>
      <c r="J484" s="41">
        <f t="shared" si="73"/>
        <v>17.62</v>
      </c>
      <c r="K484" s="40"/>
      <c r="L484" s="43">
        <v>1</v>
      </c>
      <c r="M484" s="44">
        <v>17.671500000000002</v>
      </c>
      <c r="N484" s="43">
        <f t="shared" si="74"/>
        <v>17.670000000000002</v>
      </c>
    </row>
    <row r="485" spans="1:16" ht="15" customHeight="1" x14ac:dyDescent="0.2">
      <c r="A485" s="27" t="s">
        <v>140</v>
      </c>
      <c r="B485" s="37">
        <v>30</v>
      </c>
      <c r="C485" s="53">
        <v>30</v>
      </c>
      <c r="D485" s="39">
        <v>1.274E-2</v>
      </c>
      <c r="E485" s="39">
        <v>1.274E-2</v>
      </c>
      <c r="F485" s="37">
        <f t="shared" si="72"/>
        <v>0.38</v>
      </c>
      <c r="G485" s="40"/>
      <c r="H485" s="41">
        <v>29</v>
      </c>
      <c r="I485" s="42">
        <v>1.9120000000000002E-2</v>
      </c>
      <c r="J485" s="41">
        <f t="shared" si="73"/>
        <v>0.55000000000000004</v>
      </c>
      <c r="K485" s="40"/>
      <c r="L485" s="43">
        <v>30</v>
      </c>
      <c r="M485" s="44">
        <v>6.2899999999999996E-3</v>
      </c>
      <c r="N485" s="43">
        <f t="shared" si="74"/>
        <v>0.19</v>
      </c>
    </row>
    <row r="486" spans="1:16" ht="15" customHeight="1" x14ac:dyDescent="0.2">
      <c r="A486" s="27" t="s">
        <v>141</v>
      </c>
      <c r="B486" s="37">
        <v>104.53</v>
      </c>
      <c r="C486" s="38"/>
      <c r="D486" s="39">
        <v>1</v>
      </c>
      <c r="E486" s="39">
        <v>1</v>
      </c>
      <c r="F486" s="37">
        <f t="shared" si="72"/>
        <v>104.53</v>
      </c>
      <c r="G486" s="40"/>
      <c r="H486" s="41">
        <v>110.54</v>
      </c>
      <c r="I486" s="42">
        <v>1</v>
      </c>
      <c r="J486" s="41">
        <f t="shared" si="73"/>
        <v>110.54</v>
      </c>
      <c r="K486" s="40"/>
      <c r="L486" s="43">
        <v>76.290000000000006</v>
      </c>
      <c r="M486" s="44">
        <v>1</v>
      </c>
      <c r="N486" s="43">
        <f t="shared" si="74"/>
        <v>76.290000000000006</v>
      </c>
    </row>
    <row r="487" spans="1:16" ht="15" customHeight="1" x14ac:dyDescent="0.2">
      <c r="A487" s="54" t="s">
        <v>142</v>
      </c>
      <c r="B487" s="55"/>
      <c r="C487" s="55"/>
      <c r="D487" s="55"/>
      <c r="E487" s="55"/>
      <c r="F487" s="56">
        <f>ROUND((SUM(F475:F486)-F486)*1.21+F486,2)</f>
        <v>2196.7199999999998</v>
      </c>
      <c r="G487" s="55"/>
      <c r="H487" s="55"/>
      <c r="I487" s="55"/>
      <c r="J487" s="57">
        <f>ROUND((SUM(J475:J486)-J486)*1.21+J486,2)</f>
        <v>2051.5500000000002</v>
      </c>
      <c r="K487" s="55"/>
      <c r="L487" s="55"/>
      <c r="M487" s="55"/>
      <c r="N487" s="58">
        <f>ROUND((SUM(N475:N486)-N486)*1.21+N486,2)</f>
        <v>1817.32</v>
      </c>
    </row>
    <row r="488" spans="1:16" ht="15" customHeight="1" x14ac:dyDescent="0.2">
      <c r="A488" s="59" t="s">
        <v>143</v>
      </c>
      <c r="B488" s="129">
        <f>(SUM(F475:F483)-1425.867)/SUM(F475:F483)</f>
        <v>0.16668595273160811</v>
      </c>
      <c r="C488" s="129"/>
      <c r="D488" s="129"/>
      <c r="E488" s="129"/>
      <c r="F488" s="129"/>
      <c r="G488" s="60"/>
      <c r="H488" s="130"/>
      <c r="I488" s="130"/>
      <c r="J488" s="130"/>
      <c r="K488" s="60"/>
      <c r="L488" s="131" t="str">
        <f>IF(B488&gt;=0.3,"APROBAR",IF(B488&gt;=0.2,"REVISAR","RECHAZAR"))</f>
        <v>RECHAZAR</v>
      </c>
      <c r="M488" s="131"/>
      <c r="N488" s="131"/>
    </row>
  </sheetData>
  <mergeCells count="432">
    <mergeCell ref="R474:V474"/>
    <mergeCell ref="R475:V475"/>
    <mergeCell ref="R476:V476"/>
    <mergeCell ref="R477:V477"/>
    <mergeCell ref="R478:V478"/>
    <mergeCell ref="R479:V479"/>
    <mergeCell ref="B488:F488"/>
    <mergeCell ref="H488:J488"/>
    <mergeCell ref="L488:N488"/>
    <mergeCell ref="R461:V461"/>
    <mergeCell ref="B470:F470"/>
    <mergeCell ref="H470:J470"/>
    <mergeCell ref="L470:N470"/>
    <mergeCell ref="A472:H472"/>
    <mergeCell ref="I472:N472"/>
    <mergeCell ref="R472:V472"/>
    <mergeCell ref="B473:F473"/>
    <mergeCell ref="H473:J473"/>
    <mergeCell ref="L473:N473"/>
    <mergeCell ref="R473:V473"/>
    <mergeCell ref="B455:F455"/>
    <mergeCell ref="H455:J455"/>
    <mergeCell ref="L455:N455"/>
    <mergeCell ref="R455:V455"/>
    <mergeCell ref="R456:V456"/>
    <mergeCell ref="R457:V457"/>
    <mergeCell ref="R458:V458"/>
    <mergeCell ref="R459:V459"/>
    <mergeCell ref="R460:V460"/>
    <mergeCell ref="R440:V440"/>
    <mergeCell ref="R441:V441"/>
    <mergeCell ref="R442:V442"/>
    <mergeCell ref="R443:V443"/>
    <mergeCell ref="B452:F452"/>
    <mergeCell ref="H452:J452"/>
    <mergeCell ref="L452:N452"/>
    <mergeCell ref="A454:H454"/>
    <mergeCell ref="I454:N454"/>
    <mergeCell ref="R454:V454"/>
    <mergeCell ref="A436:H436"/>
    <mergeCell ref="I436:N436"/>
    <mergeCell ref="R436:V436"/>
    <mergeCell ref="B437:F437"/>
    <mergeCell ref="H437:J437"/>
    <mergeCell ref="L437:N437"/>
    <mergeCell ref="R437:V437"/>
    <mergeCell ref="R438:V438"/>
    <mergeCell ref="R439:V439"/>
    <mergeCell ref="R420:V420"/>
    <mergeCell ref="R421:V421"/>
    <mergeCell ref="R422:V422"/>
    <mergeCell ref="R423:V423"/>
    <mergeCell ref="R424:V424"/>
    <mergeCell ref="R425:V425"/>
    <mergeCell ref="B434:F434"/>
    <mergeCell ref="H434:J434"/>
    <mergeCell ref="L434:N434"/>
    <mergeCell ref="R407:V407"/>
    <mergeCell ref="B416:F416"/>
    <mergeCell ref="H416:J416"/>
    <mergeCell ref="L416:N416"/>
    <mergeCell ref="A418:H418"/>
    <mergeCell ref="I418:N418"/>
    <mergeCell ref="R418:V418"/>
    <mergeCell ref="B419:F419"/>
    <mergeCell ref="H419:J419"/>
    <mergeCell ref="L419:N419"/>
    <mergeCell ref="R419:V419"/>
    <mergeCell ref="B401:F401"/>
    <mergeCell ref="H401:J401"/>
    <mergeCell ref="L401:N401"/>
    <mergeCell ref="R401:V401"/>
    <mergeCell ref="R402:V402"/>
    <mergeCell ref="R403:V403"/>
    <mergeCell ref="R404:V404"/>
    <mergeCell ref="R405:V405"/>
    <mergeCell ref="R406:V406"/>
    <mergeCell ref="R385:V385"/>
    <mergeCell ref="R386:V386"/>
    <mergeCell ref="R387:V387"/>
    <mergeCell ref="R388:V388"/>
    <mergeCell ref="B398:F398"/>
    <mergeCell ref="H398:J398"/>
    <mergeCell ref="L398:N398"/>
    <mergeCell ref="A400:H400"/>
    <mergeCell ref="I400:N400"/>
    <mergeCell ref="R400:V400"/>
    <mergeCell ref="A381:H381"/>
    <mergeCell ref="I381:N381"/>
    <mergeCell ref="R381:V381"/>
    <mergeCell ref="B382:F382"/>
    <mergeCell ref="H382:J382"/>
    <mergeCell ref="L382:N382"/>
    <mergeCell ref="R382:V382"/>
    <mergeCell ref="R383:V383"/>
    <mergeCell ref="R384:V384"/>
    <mergeCell ref="R365:V365"/>
    <mergeCell ref="R366:V366"/>
    <mergeCell ref="R367:V367"/>
    <mergeCell ref="R368:V368"/>
    <mergeCell ref="R369:V369"/>
    <mergeCell ref="R370:V370"/>
    <mergeCell ref="B379:F379"/>
    <mergeCell ref="H379:J379"/>
    <mergeCell ref="L379:N379"/>
    <mergeCell ref="R352:V352"/>
    <mergeCell ref="B361:F361"/>
    <mergeCell ref="H361:J361"/>
    <mergeCell ref="L361:N361"/>
    <mergeCell ref="A363:H363"/>
    <mergeCell ref="I363:N363"/>
    <mergeCell ref="R363:V363"/>
    <mergeCell ref="B364:F364"/>
    <mergeCell ref="H364:J364"/>
    <mergeCell ref="L364:N364"/>
    <mergeCell ref="R364:V364"/>
    <mergeCell ref="B346:F346"/>
    <mergeCell ref="H346:J346"/>
    <mergeCell ref="L346:N346"/>
    <mergeCell ref="R346:V346"/>
    <mergeCell ref="R347:V347"/>
    <mergeCell ref="R348:V348"/>
    <mergeCell ref="R349:V349"/>
    <mergeCell ref="R350:V350"/>
    <mergeCell ref="R351:V351"/>
    <mergeCell ref="R331:V331"/>
    <mergeCell ref="R332:V332"/>
    <mergeCell ref="R333:V333"/>
    <mergeCell ref="R334:V334"/>
    <mergeCell ref="B343:F343"/>
    <mergeCell ref="H343:J343"/>
    <mergeCell ref="L343:N343"/>
    <mergeCell ref="A345:H345"/>
    <mergeCell ref="I345:N345"/>
    <mergeCell ref="R345:V345"/>
    <mergeCell ref="A327:H327"/>
    <mergeCell ref="I327:N327"/>
    <mergeCell ref="R327:V327"/>
    <mergeCell ref="B328:F328"/>
    <mergeCell ref="H328:J328"/>
    <mergeCell ref="L328:N328"/>
    <mergeCell ref="R328:V328"/>
    <mergeCell ref="R329:V329"/>
    <mergeCell ref="R330:V330"/>
    <mergeCell ref="R311:V311"/>
    <mergeCell ref="R312:V312"/>
    <mergeCell ref="R313:V313"/>
    <mergeCell ref="R314:V314"/>
    <mergeCell ref="R315:V315"/>
    <mergeCell ref="R316:V316"/>
    <mergeCell ref="B325:F325"/>
    <mergeCell ref="H325:J325"/>
    <mergeCell ref="L325:N325"/>
    <mergeCell ref="R298:V298"/>
    <mergeCell ref="B307:F307"/>
    <mergeCell ref="H307:J307"/>
    <mergeCell ref="L307:N307"/>
    <mergeCell ref="A309:H309"/>
    <mergeCell ref="I309:N309"/>
    <mergeCell ref="R309:V309"/>
    <mergeCell ref="B310:F310"/>
    <mergeCell ref="H310:J310"/>
    <mergeCell ref="L310:N310"/>
    <mergeCell ref="R310:V310"/>
    <mergeCell ref="B292:F292"/>
    <mergeCell ref="H292:J292"/>
    <mergeCell ref="L292:N292"/>
    <mergeCell ref="R292:V292"/>
    <mergeCell ref="R293:V293"/>
    <mergeCell ref="R294:V294"/>
    <mergeCell ref="R295:V295"/>
    <mergeCell ref="R296:V296"/>
    <mergeCell ref="R297:V297"/>
    <mergeCell ref="R277:V277"/>
    <mergeCell ref="R278:V278"/>
    <mergeCell ref="R279:V279"/>
    <mergeCell ref="R280:V280"/>
    <mergeCell ref="B289:F289"/>
    <mergeCell ref="H289:J289"/>
    <mergeCell ref="L289:N289"/>
    <mergeCell ref="A291:H291"/>
    <mergeCell ref="I291:N291"/>
    <mergeCell ref="R291:V291"/>
    <mergeCell ref="A273:H273"/>
    <mergeCell ref="I273:N273"/>
    <mergeCell ref="R273:V273"/>
    <mergeCell ref="B274:F274"/>
    <mergeCell ref="H274:J274"/>
    <mergeCell ref="L274:N274"/>
    <mergeCell ref="R274:V274"/>
    <mergeCell ref="R275:V275"/>
    <mergeCell ref="R276:V276"/>
    <mergeCell ref="R257:V257"/>
    <mergeCell ref="R258:V258"/>
    <mergeCell ref="R259:V259"/>
    <mergeCell ref="R260:V260"/>
    <mergeCell ref="R261:V261"/>
    <mergeCell ref="R262:V262"/>
    <mergeCell ref="B271:F271"/>
    <mergeCell ref="H271:J271"/>
    <mergeCell ref="L271:N271"/>
    <mergeCell ref="R244:V244"/>
    <mergeCell ref="B253:F253"/>
    <mergeCell ref="H253:J253"/>
    <mergeCell ref="L253:N253"/>
    <mergeCell ref="A255:H255"/>
    <mergeCell ref="I255:N255"/>
    <mergeCell ref="R255:V255"/>
    <mergeCell ref="B256:F256"/>
    <mergeCell ref="H256:J256"/>
    <mergeCell ref="L256:N256"/>
    <mergeCell ref="R256:V256"/>
    <mergeCell ref="B238:F238"/>
    <mergeCell ref="H238:J238"/>
    <mergeCell ref="L238:N238"/>
    <mergeCell ref="R238:V238"/>
    <mergeCell ref="R239:V239"/>
    <mergeCell ref="R240:V240"/>
    <mergeCell ref="R241:V241"/>
    <mergeCell ref="R242:V242"/>
    <mergeCell ref="R243:V243"/>
    <mergeCell ref="R223:V223"/>
    <mergeCell ref="R224:V224"/>
    <mergeCell ref="R225:V225"/>
    <mergeCell ref="R226:V226"/>
    <mergeCell ref="B235:F235"/>
    <mergeCell ref="H235:J235"/>
    <mergeCell ref="L235:N235"/>
    <mergeCell ref="A237:H237"/>
    <mergeCell ref="I237:N237"/>
    <mergeCell ref="R237:V237"/>
    <mergeCell ref="A219:H219"/>
    <mergeCell ref="I219:N219"/>
    <mergeCell ref="R219:V219"/>
    <mergeCell ref="B220:F220"/>
    <mergeCell ref="H220:J220"/>
    <mergeCell ref="L220:N220"/>
    <mergeCell ref="R220:V220"/>
    <mergeCell ref="R221:V221"/>
    <mergeCell ref="R222:V222"/>
    <mergeCell ref="R203:V203"/>
    <mergeCell ref="R204:V204"/>
    <mergeCell ref="R205:V205"/>
    <mergeCell ref="R206:V206"/>
    <mergeCell ref="R207:V207"/>
    <mergeCell ref="R208:V208"/>
    <mergeCell ref="B217:F217"/>
    <mergeCell ref="H217:J217"/>
    <mergeCell ref="L217:N217"/>
    <mergeCell ref="R190:V190"/>
    <mergeCell ref="B199:F199"/>
    <mergeCell ref="H199:J199"/>
    <mergeCell ref="L199:N199"/>
    <mergeCell ref="A201:H201"/>
    <mergeCell ref="I201:N201"/>
    <mergeCell ref="R201:V201"/>
    <mergeCell ref="B202:F202"/>
    <mergeCell ref="H202:J202"/>
    <mergeCell ref="L202:N202"/>
    <mergeCell ref="R202:V202"/>
    <mergeCell ref="B184:F184"/>
    <mergeCell ref="H184:J184"/>
    <mergeCell ref="L184:N184"/>
    <mergeCell ref="R184:V184"/>
    <mergeCell ref="R185:V185"/>
    <mergeCell ref="R186:V186"/>
    <mergeCell ref="R187:V187"/>
    <mergeCell ref="R188:V188"/>
    <mergeCell ref="R189:V189"/>
    <mergeCell ref="R169:V169"/>
    <mergeCell ref="R170:V170"/>
    <mergeCell ref="R171:V171"/>
    <mergeCell ref="R172:V172"/>
    <mergeCell ref="B181:F181"/>
    <mergeCell ref="H181:J181"/>
    <mergeCell ref="L181:N181"/>
    <mergeCell ref="A183:H183"/>
    <mergeCell ref="I183:N183"/>
    <mergeCell ref="R183:V183"/>
    <mergeCell ref="A165:H165"/>
    <mergeCell ref="I165:N165"/>
    <mergeCell ref="R165:V165"/>
    <mergeCell ref="B166:F166"/>
    <mergeCell ref="H166:J166"/>
    <mergeCell ref="L166:N166"/>
    <mergeCell ref="R166:V166"/>
    <mergeCell ref="R167:V167"/>
    <mergeCell ref="R168:V168"/>
    <mergeCell ref="R149:V149"/>
    <mergeCell ref="R150:V150"/>
    <mergeCell ref="R151:V151"/>
    <mergeCell ref="R152:V152"/>
    <mergeCell ref="R153:V153"/>
    <mergeCell ref="R154:V154"/>
    <mergeCell ref="B163:F163"/>
    <mergeCell ref="H163:J163"/>
    <mergeCell ref="L163:N163"/>
    <mergeCell ref="R135:V135"/>
    <mergeCell ref="B145:F145"/>
    <mergeCell ref="H145:J145"/>
    <mergeCell ref="L145:N145"/>
    <mergeCell ref="A147:H147"/>
    <mergeCell ref="I147:N147"/>
    <mergeCell ref="R147:V147"/>
    <mergeCell ref="B148:F148"/>
    <mergeCell ref="H148:J148"/>
    <mergeCell ref="L148:N148"/>
    <mergeCell ref="R148:V148"/>
    <mergeCell ref="B129:F129"/>
    <mergeCell ref="H129:J129"/>
    <mergeCell ref="L129:N129"/>
    <mergeCell ref="R129:V129"/>
    <mergeCell ref="R130:V130"/>
    <mergeCell ref="R131:V131"/>
    <mergeCell ref="R132:V132"/>
    <mergeCell ref="R133:V133"/>
    <mergeCell ref="R134:V134"/>
    <mergeCell ref="R114:V114"/>
    <mergeCell ref="R115:V115"/>
    <mergeCell ref="R116:V116"/>
    <mergeCell ref="R117:V117"/>
    <mergeCell ref="B126:F126"/>
    <mergeCell ref="H126:J126"/>
    <mergeCell ref="L126:N126"/>
    <mergeCell ref="A128:H128"/>
    <mergeCell ref="I128:N128"/>
    <mergeCell ref="R128:V128"/>
    <mergeCell ref="A110:H110"/>
    <mergeCell ref="I110:N110"/>
    <mergeCell ref="R110:V110"/>
    <mergeCell ref="B111:F111"/>
    <mergeCell ref="H111:J111"/>
    <mergeCell ref="L111:N111"/>
    <mergeCell ref="R111:V111"/>
    <mergeCell ref="R112:V112"/>
    <mergeCell ref="R113:V113"/>
    <mergeCell ref="R94:V94"/>
    <mergeCell ref="R95:V95"/>
    <mergeCell ref="R96:V96"/>
    <mergeCell ref="R97:V97"/>
    <mergeCell ref="R98:V98"/>
    <mergeCell ref="R99:V99"/>
    <mergeCell ref="B108:F108"/>
    <mergeCell ref="H108:J108"/>
    <mergeCell ref="L108:N108"/>
    <mergeCell ref="R81:V81"/>
    <mergeCell ref="B90:F90"/>
    <mergeCell ref="H90:J90"/>
    <mergeCell ref="L90:N90"/>
    <mergeCell ref="A92:H92"/>
    <mergeCell ref="I92:N92"/>
    <mergeCell ref="R92:V92"/>
    <mergeCell ref="B93:F93"/>
    <mergeCell ref="H93:J93"/>
    <mergeCell ref="L93:N93"/>
    <mergeCell ref="R93:V93"/>
    <mergeCell ref="B75:F75"/>
    <mergeCell ref="H75:J75"/>
    <mergeCell ref="L75:N75"/>
    <mergeCell ref="R75:V75"/>
    <mergeCell ref="R76:V76"/>
    <mergeCell ref="R77:V77"/>
    <mergeCell ref="R78:V78"/>
    <mergeCell ref="R79:V79"/>
    <mergeCell ref="R80:V80"/>
    <mergeCell ref="R59:V59"/>
    <mergeCell ref="R60:V60"/>
    <mergeCell ref="R61:V61"/>
    <mergeCell ref="R62:V62"/>
    <mergeCell ref="B72:F72"/>
    <mergeCell ref="H72:J72"/>
    <mergeCell ref="L72:N72"/>
    <mergeCell ref="A74:H74"/>
    <mergeCell ref="I74:N74"/>
    <mergeCell ref="R74:V74"/>
    <mergeCell ref="A55:H55"/>
    <mergeCell ref="I55:N55"/>
    <mergeCell ref="R55:V55"/>
    <mergeCell ref="B56:F56"/>
    <mergeCell ref="H56:J56"/>
    <mergeCell ref="L56:N56"/>
    <mergeCell ref="R56:V56"/>
    <mergeCell ref="R57:V57"/>
    <mergeCell ref="R58:V58"/>
    <mergeCell ref="R39:V39"/>
    <mergeCell ref="R40:V40"/>
    <mergeCell ref="R41:V41"/>
    <mergeCell ref="R42:V42"/>
    <mergeCell ref="R43:V43"/>
    <mergeCell ref="R44:V44"/>
    <mergeCell ref="B53:F53"/>
    <mergeCell ref="H53:J53"/>
    <mergeCell ref="L53:N53"/>
    <mergeCell ref="R26:V26"/>
    <mergeCell ref="B35:F35"/>
    <mergeCell ref="H35:J35"/>
    <mergeCell ref="L35:N35"/>
    <mergeCell ref="A37:H37"/>
    <mergeCell ref="I37:N37"/>
    <mergeCell ref="R37:V37"/>
    <mergeCell ref="B38:F38"/>
    <mergeCell ref="H38:J38"/>
    <mergeCell ref="L38:N38"/>
    <mergeCell ref="R38:V38"/>
    <mergeCell ref="B20:F20"/>
    <mergeCell ref="H20:J20"/>
    <mergeCell ref="L20:N20"/>
    <mergeCell ref="R20:V20"/>
    <mergeCell ref="R21:V21"/>
    <mergeCell ref="R22:V22"/>
    <mergeCell ref="R23:V23"/>
    <mergeCell ref="R24:V24"/>
    <mergeCell ref="R25:V25"/>
    <mergeCell ref="R5:V5"/>
    <mergeCell ref="R6:V6"/>
    <mergeCell ref="R7:V7"/>
    <mergeCell ref="R8:V8"/>
    <mergeCell ref="B17:F17"/>
    <mergeCell ref="H17:J17"/>
    <mergeCell ref="L17:N17"/>
    <mergeCell ref="A19:H19"/>
    <mergeCell ref="I19:N19"/>
    <mergeCell ref="R19:V19"/>
    <mergeCell ref="A1:H1"/>
    <mergeCell ref="I1:N1"/>
    <mergeCell ref="R1:V1"/>
    <mergeCell ref="B2:F2"/>
    <mergeCell ref="H2:J2"/>
    <mergeCell ref="L2:N2"/>
    <mergeCell ref="R2:V2"/>
    <mergeCell ref="R3:V3"/>
    <mergeCell ref="R4:V4"/>
  </mergeCells>
  <conditionalFormatting sqref="B17">
    <cfRule type="cellIs" dxfId="165" priority="3" operator="between">
      <formula>0.2</formula>
      <formula>0.29999</formula>
    </cfRule>
    <cfRule type="cellIs" dxfId="164" priority="4" operator="greaterThanOrEqual">
      <formula>0.3</formula>
    </cfRule>
    <cfRule type="cellIs" dxfId="163" priority="2" operator="lessThan">
      <formula>0.2</formula>
    </cfRule>
  </conditionalFormatting>
  <conditionalFormatting sqref="B35">
    <cfRule type="cellIs" dxfId="162" priority="8" operator="lessThan">
      <formula>0.2</formula>
    </cfRule>
    <cfRule type="cellIs" dxfId="161" priority="9" operator="between">
      <formula>0.2</formula>
      <formula>0.29999</formula>
    </cfRule>
    <cfRule type="cellIs" dxfId="160" priority="10" operator="greaterThanOrEqual">
      <formula>0.3</formula>
    </cfRule>
  </conditionalFormatting>
  <conditionalFormatting sqref="B53">
    <cfRule type="cellIs" dxfId="159" priority="14" operator="lessThan">
      <formula>0.2</formula>
    </cfRule>
    <cfRule type="cellIs" dxfId="158" priority="15" operator="between">
      <formula>0.2</formula>
      <formula>0.29999</formula>
    </cfRule>
    <cfRule type="cellIs" dxfId="157" priority="16" operator="greaterThanOrEqual">
      <formula>0.3</formula>
    </cfRule>
  </conditionalFormatting>
  <conditionalFormatting sqref="B72">
    <cfRule type="cellIs" dxfId="156" priority="20" operator="lessThan">
      <formula>0.2</formula>
    </cfRule>
    <cfRule type="cellIs" dxfId="155" priority="22" operator="greaterThanOrEqual">
      <formula>0.3</formula>
    </cfRule>
    <cfRule type="cellIs" dxfId="154" priority="21" operator="between">
      <formula>0.2</formula>
      <formula>0.29999</formula>
    </cfRule>
  </conditionalFormatting>
  <conditionalFormatting sqref="B90">
    <cfRule type="cellIs" dxfId="153" priority="28" operator="greaterThanOrEqual">
      <formula>0.3</formula>
    </cfRule>
    <cfRule type="cellIs" dxfId="152" priority="27" operator="between">
      <formula>0.2</formula>
      <formula>0.29999</formula>
    </cfRule>
    <cfRule type="cellIs" dxfId="151" priority="26" operator="lessThan">
      <formula>0.2</formula>
    </cfRule>
  </conditionalFormatting>
  <conditionalFormatting sqref="B108">
    <cfRule type="cellIs" dxfId="150" priority="33" operator="between">
      <formula>0.2</formula>
      <formula>0.29999</formula>
    </cfRule>
    <cfRule type="cellIs" dxfId="149" priority="32" operator="lessThan">
      <formula>0.2</formula>
    </cfRule>
    <cfRule type="cellIs" dxfId="148" priority="34" operator="greaterThanOrEqual">
      <formula>0.3</formula>
    </cfRule>
  </conditionalFormatting>
  <conditionalFormatting sqref="B126">
    <cfRule type="cellIs" dxfId="147" priority="40" operator="greaterThanOrEqual">
      <formula>0.3</formula>
    </cfRule>
    <cfRule type="cellIs" dxfId="146" priority="39" operator="between">
      <formula>0.2</formula>
      <formula>0.29999</formula>
    </cfRule>
    <cfRule type="cellIs" dxfId="145" priority="38" operator="lessThan">
      <formula>0.2</formula>
    </cfRule>
  </conditionalFormatting>
  <conditionalFormatting sqref="B145">
    <cfRule type="cellIs" dxfId="144" priority="45" operator="between">
      <formula>0.2</formula>
      <formula>0.29999</formula>
    </cfRule>
    <cfRule type="cellIs" dxfId="143" priority="44" operator="lessThan">
      <formula>0.2</formula>
    </cfRule>
    <cfRule type="cellIs" dxfId="142" priority="46" operator="greaterThanOrEqual">
      <formula>0.3</formula>
    </cfRule>
  </conditionalFormatting>
  <conditionalFormatting sqref="B163">
    <cfRule type="cellIs" dxfId="141" priority="50" operator="lessThan">
      <formula>0.2</formula>
    </cfRule>
    <cfRule type="cellIs" dxfId="140" priority="51" operator="between">
      <formula>0.2</formula>
      <formula>0.29999</formula>
    </cfRule>
    <cfRule type="cellIs" dxfId="139" priority="52" operator="greaterThanOrEqual">
      <formula>0.3</formula>
    </cfRule>
  </conditionalFormatting>
  <conditionalFormatting sqref="B181">
    <cfRule type="cellIs" dxfId="138" priority="56" operator="lessThan">
      <formula>0.2</formula>
    </cfRule>
    <cfRule type="cellIs" dxfId="137" priority="57" operator="between">
      <formula>0.2</formula>
      <formula>0.29999</formula>
    </cfRule>
    <cfRule type="cellIs" dxfId="136" priority="58" operator="greaterThanOrEqual">
      <formula>0.3</formula>
    </cfRule>
  </conditionalFormatting>
  <conditionalFormatting sqref="B199">
    <cfRule type="cellIs" dxfId="135" priority="62" operator="lessThan">
      <formula>0.2</formula>
    </cfRule>
    <cfRule type="cellIs" dxfId="134" priority="63" operator="between">
      <formula>0.2</formula>
      <formula>0.29999</formula>
    </cfRule>
    <cfRule type="cellIs" dxfId="133" priority="64" operator="greaterThanOrEqual">
      <formula>0.3</formula>
    </cfRule>
  </conditionalFormatting>
  <conditionalFormatting sqref="B217">
    <cfRule type="cellIs" dxfId="132" priority="68" operator="lessThan">
      <formula>0.2</formula>
    </cfRule>
    <cfRule type="cellIs" dxfId="131" priority="69" operator="between">
      <formula>0.2</formula>
      <formula>0.29999</formula>
    </cfRule>
    <cfRule type="cellIs" dxfId="130" priority="70" operator="greaterThanOrEqual">
      <formula>0.3</formula>
    </cfRule>
  </conditionalFormatting>
  <conditionalFormatting sqref="B235">
    <cfRule type="cellIs" dxfId="129" priority="74" operator="lessThan">
      <formula>0.2</formula>
    </cfRule>
    <cfRule type="cellIs" dxfId="128" priority="75" operator="between">
      <formula>0.2</formula>
      <formula>0.29999</formula>
    </cfRule>
    <cfRule type="cellIs" dxfId="127" priority="76" operator="greaterThanOrEqual">
      <formula>0.3</formula>
    </cfRule>
  </conditionalFormatting>
  <conditionalFormatting sqref="B253">
    <cfRule type="cellIs" dxfId="126" priority="80" operator="lessThan">
      <formula>0.2</formula>
    </cfRule>
    <cfRule type="cellIs" dxfId="125" priority="82" operator="greaterThanOrEqual">
      <formula>0.3</formula>
    </cfRule>
    <cfRule type="cellIs" dxfId="124" priority="81" operator="between">
      <formula>0.2</formula>
      <formula>0.29999</formula>
    </cfRule>
  </conditionalFormatting>
  <conditionalFormatting sqref="B271">
    <cfRule type="cellIs" dxfId="123" priority="86" operator="lessThan">
      <formula>0.2</formula>
    </cfRule>
    <cfRule type="cellIs" dxfId="122" priority="87" operator="between">
      <formula>0.2</formula>
      <formula>0.29999</formula>
    </cfRule>
    <cfRule type="cellIs" dxfId="121" priority="88" operator="greaterThanOrEqual">
      <formula>0.3</formula>
    </cfRule>
  </conditionalFormatting>
  <conditionalFormatting sqref="B289">
    <cfRule type="cellIs" dxfId="120" priority="94" operator="greaterThanOrEqual">
      <formula>0.3</formula>
    </cfRule>
    <cfRule type="cellIs" dxfId="119" priority="93" operator="between">
      <formula>0.2</formula>
      <formula>0.29999</formula>
    </cfRule>
    <cfRule type="cellIs" dxfId="118" priority="92" operator="lessThan">
      <formula>0.2</formula>
    </cfRule>
  </conditionalFormatting>
  <conditionalFormatting sqref="B307">
    <cfRule type="cellIs" dxfId="117" priority="100" operator="greaterThanOrEqual">
      <formula>0.3</formula>
    </cfRule>
    <cfRule type="cellIs" dxfId="116" priority="99" operator="between">
      <formula>0.2</formula>
      <formula>0.29999</formula>
    </cfRule>
    <cfRule type="cellIs" dxfId="115" priority="98" operator="lessThan">
      <formula>0.2</formula>
    </cfRule>
  </conditionalFormatting>
  <conditionalFormatting sqref="B325">
    <cfRule type="cellIs" dxfId="114" priority="104" operator="lessThan">
      <formula>0.2</formula>
    </cfRule>
    <cfRule type="cellIs" dxfId="113" priority="105" operator="between">
      <formula>0.2</formula>
      <formula>0.29999</formula>
    </cfRule>
    <cfRule type="cellIs" dxfId="112" priority="106" operator="greaterThanOrEqual">
      <formula>0.3</formula>
    </cfRule>
  </conditionalFormatting>
  <conditionalFormatting sqref="B343">
    <cfRule type="cellIs" dxfId="111" priority="110" operator="lessThan">
      <formula>0.2</formula>
    </cfRule>
    <cfRule type="cellIs" dxfId="110" priority="111" operator="between">
      <formula>0.2</formula>
      <formula>0.29999</formula>
    </cfRule>
    <cfRule type="cellIs" dxfId="109" priority="112" operator="greaterThanOrEqual">
      <formula>0.3</formula>
    </cfRule>
  </conditionalFormatting>
  <conditionalFormatting sqref="B361">
    <cfRule type="cellIs" dxfId="108" priority="116" operator="lessThan">
      <formula>0.2</formula>
    </cfRule>
    <cfRule type="cellIs" dxfId="107" priority="117" operator="between">
      <formula>0.2</formula>
      <formula>0.29999</formula>
    </cfRule>
    <cfRule type="cellIs" dxfId="106" priority="118" operator="greaterThanOrEqual">
      <formula>0.3</formula>
    </cfRule>
  </conditionalFormatting>
  <conditionalFormatting sqref="B379">
    <cfRule type="cellIs" dxfId="105" priority="122" operator="lessThan">
      <formula>0.2</formula>
    </cfRule>
    <cfRule type="cellIs" dxfId="104" priority="124" operator="greaterThanOrEqual">
      <formula>0.3</formula>
    </cfRule>
    <cfRule type="cellIs" dxfId="103" priority="123" operator="between">
      <formula>0.2</formula>
      <formula>0.29999</formula>
    </cfRule>
  </conditionalFormatting>
  <conditionalFormatting sqref="B398">
    <cfRule type="cellIs" dxfId="102" priority="128" operator="lessThan">
      <formula>0.2</formula>
    </cfRule>
    <cfRule type="cellIs" dxfId="101" priority="129" operator="between">
      <formula>0.2</formula>
      <formula>0.29999</formula>
    </cfRule>
    <cfRule type="cellIs" dxfId="100" priority="130" operator="greaterThanOrEqual">
      <formula>0.3</formula>
    </cfRule>
  </conditionalFormatting>
  <conditionalFormatting sqref="B416">
    <cfRule type="cellIs" dxfId="99" priority="134" operator="lessThan">
      <formula>0.2</formula>
    </cfRule>
    <cfRule type="cellIs" dxfId="98" priority="135" operator="between">
      <formula>0.2</formula>
      <formula>0.29999</formula>
    </cfRule>
    <cfRule type="cellIs" dxfId="97" priority="136" operator="greaterThanOrEqual">
      <formula>0.3</formula>
    </cfRule>
  </conditionalFormatting>
  <conditionalFormatting sqref="B434">
    <cfRule type="cellIs" dxfId="96" priority="140" operator="lessThan">
      <formula>0.2</formula>
    </cfRule>
    <cfRule type="cellIs" dxfId="95" priority="142" operator="greaterThanOrEqual">
      <formula>0.3</formula>
    </cfRule>
    <cfRule type="cellIs" dxfId="94" priority="141" operator="between">
      <formula>0.2</formula>
      <formula>0.29999</formula>
    </cfRule>
  </conditionalFormatting>
  <conditionalFormatting sqref="B452">
    <cfRule type="cellIs" dxfId="93" priority="147" operator="between">
      <formula>0.2</formula>
      <formula>0.29999</formula>
    </cfRule>
    <cfRule type="cellIs" dxfId="92" priority="146" operator="lessThan">
      <formula>0.2</formula>
    </cfRule>
    <cfRule type="cellIs" dxfId="91" priority="148" operator="greaterThanOrEqual">
      <formula>0.3</formula>
    </cfRule>
  </conditionalFormatting>
  <conditionalFormatting sqref="B470">
    <cfRule type="cellIs" dxfId="90" priority="152" operator="lessThan">
      <formula>0.2</formula>
    </cfRule>
    <cfRule type="cellIs" dxfId="89" priority="154" operator="greaterThanOrEqual">
      <formula>0.3</formula>
    </cfRule>
    <cfRule type="cellIs" dxfId="88" priority="153" operator="between">
      <formula>0.2</formula>
      <formula>0.29999</formula>
    </cfRule>
  </conditionalFormatting>
  <conditionalFormatting sqref="B488">
    <cfRule type="cellIs" dxfId="87" priority="160" operator="greaterThanOrEqual">
      <formula>0.3</formula>
    </cfRule>
    <cfRule type="cellIs" dxfId="86" priority="159" operator="between">
      <formula>0.2</formula>
      <formula>0.29999</formula>
    </cfRule>
    <cfRule type="cellIs" dxfId="85" priority="158" operator="lessThan">
      <formula>0.2</formula>
    </cfRule>
  </conditionalFormatting>
  <conditionalFormatting sqref="L17">
    <cfRule type="expression" dxfId="84" priority="7">
      <formula>$B$17&gt;=0.3</formula>
    </cfRule>
    <cfRule type="expression" dxfId="83" priority="6">
      <formula>AND($B$17&gt;=0.2,$B$17&lt;0.3)</formula>
    </cfRule>
    <cfRule type="expression" dxfId="82" priority="5">
      <formula>$B$17&lt;0.2</formula>
    </cfRule>
  </conditionalFormatting>
  <conditionalFormatting sqref="L35">
    <cfRule type="expression" dxfId="81" priority="13">
      <formula>$B$35&gt;=0.3</formula>
    </cfRule>
    <cfRule type="expression" dxfId="80" priority="12">
      <formula>AND($B$35&gt;=0.2,$B$35&lt;0.3)</formula>
    </cfRule>
    <cfRule type="expression" dxfId="79" priority="11">
      <formula>$B$35&lt;0.2</formula>
    </cfRule>
  </conditionalFormatting>
  <conditionalFormatting sqref="L53">
    <cfRule type="expression" dxfId="78" priority="17">
      <formula>$B$53&lt;0.2</formula>
    </cfRule>
    <cfRule type="expression" dxfId="77" priority="19">
      <formula>$B$53&gt;=0.3</formula>
    </cfRule>
    <cfRule type="expression" dxfId="76" priority="18">
      <formula>AND($B$53&gt;=0.2,$B$53&lt;0.3)</formula>
    </cfRule>
  </conditionalFormatting>
  <conditionalFormatting sqref="L72">
    <cfRule type="expression" dxfId="75" priority="23">
      <formula>$B$72&lt;0.2</formula>
    </cfRule>
    <cfRule type="expression" dxfId="74" priority="24">
      <formula>AND($B$72&gt;=0.2,$B$72&lt;0.3)</formula>
    </cfRule>
    <cfRule type="expression" dxfId="73" priority="25">
      <formula>$B$72&gt;=0.3</formula>
    </cfRule>
  </conditionalFormatting>
  <conditionalFormatting sqref="L90">
    <cfRule type="expression" dxfId="72" priority="31">
      <formula>$B$90&gt;=0.3</formula>
    </cfRule>
    <cfRule type="expression" dxfId="71" priority="29">
      <formula>$B$90&lt;0.2</formula>
    </cfRule>
    <cfRule type="expression" dxfId="70" priority="30">
      <formula>AND($B$90&gt;=0.2,$B$90&lt;0.3)</formula>
    </cfRule>
  </conditionalFormatting>
  <conditionalFormatting sqref="L108">
    <cfRule type="expression" dxfId="69" priority="35">
      <formula>$B$108&lt;0.2</formula>
    </cfRule>
    <cfRule type="expression" dxfId="68" priority="36">
      <formula>AND($B$108&gt;=0.2,$B$108&lt;0.3)</formula>
    </cfRule>
    <cfRule type="expression" dxfId="67" priority="37">
      <formula>$B$108&gt;=0.3</formula>
    </cfRule>
  </conditionalFormatting>
  <conditionalFormatting sqref="L126">
    <cfRule type="expression" dxfId="66" priority="41">
      <formula>$B$126&lt;0.2</formula>
    </cfRule>
    <cfRule type="expression" dxfId="65" priority="42">
      <formula>AND($B$126&gt;=0.2,$B$126&lt;0.3)</formula>
    </cfRule>
    <cfRule type="expression" dxfId="64" priority="43">
      <formula>$B$126&gt;=0.3</formula>
    </cfRule>
  </conditionalFormatting>
  <conditionalFormatting sqref="L145">
    <cfRule type="expression" dxfId="63" priority="49">
      <formula>$B$145&gt;=0.3</formula>
    </cfRule>
    <cfRule type="expression" dxfId="62" priority="48">
      <formula>AND($B$145&gt;=0.2,$B$145&lt;0.3)</formula>
    </cfRule>
    <cfRule type="expression" dxfId="61" priority="47">
      <formula>$B$145&lt;0.2</formula>
    </cfRule>
  </conditionalFormatting>
  <conditionalFormatting sqref="L163">
    <cfRule type="expression" dxfId="60" priority="53">
      <formula>$B$163&lt;0.2</formula>
    </cfRule>
    <cfRule type="expression" dxfId="59" priority="54">
      <formula>AND($B$163&gt;=0.2,$B$163&lt;0.3)</formula>
    </cfRule>
    <cfRule type="expression" dxfId="58" priority="55">
      <formula>$B$163&gt;=0.3</formula>
    </cfRule>
  </conditionalFormatting>
  <conditionalFormatting sqref="L181">
    <cfRule type="expression" dxfId="57" priority="59">
      <formula>$B$181&lt;0.2</formula>
    </cfRule>
    <cfRule type="expression" dxfId="56" priority="60">
      <formula>AND($B$181&gt;=0.2,$B$181&lt;0.3)</formula>
    </cfRule>
    <cfRule type="expression" dxfId="55" priority="61">
      <formula>$B$181&gt;=0.3</formula>
    </cfRule>
  </conditionalFormatting>
  <conditionalFormatting sqref="L199">
    <cfRule type="expression" dxfId="54" priority="67">
      <formula>$B$199&gt;=0.3</formula>
    </cfRule>
    <cfRule type="expression" dxfId="53" priority="66">
      <formula>AND($B$199&gt;=0.2,$B$199&lt;0.3)</formula>
    </cfRule>
    <cfRule type="expression" dxfId="52" priority="65">
      <formula>$B$199&lt;0.2</formula>
    </cfRule>
  </conditionalFormatting>
  <conditionalFormatting sqref="L217">
    <cfRule type="expression" dxfId="51" priority="73">
      <formula>$B$217&gt;=0.3</formula>
    </cfRule>
    <cfRule type="expression" dxfId="50" priority="72">
      <formula>AND($B$217&gt;=0.2,$B$217&lt;0.3)</formula>
    </cfRule>
    <cfRule type="expression" dxfId="49" priority="71">
      <formula>$B$217&lt;0.2</formula>
    </cfRule>
  </conditionalFormatting>
  <conditionalFormatting sqref="L235">
    <cfRule type="expression" dxfId="48" priority="79">
      <formula>$B$235&gt;=0.3</formula>
    </cfRule>
    <cfRule type="expression" dxfId="47" priority="78">
      <formula>AND($B$235&gt;=0.2,$B$235&lt;0.3)</formula>
    </cfRule>
    <cfRule type="expression" dxfId="46" priority="77">
      <formula>$B$235&lt;0.2</formula>
    </cfRule>
  </conditionalFormatting>
  <conditionalFormatting sqref="L253">
    <cfRule type="expression" dxfId="45" priority="83">
      <formula>$B$253&lt;0.2</formula>
    </cfRule>
    <cfRule type="expression" dxfId="44" priority="85">
      <formula>$B$253&gt;=0.3</formula>
    </cfRule>
    <cfRule type="expression" dxfId="43" priority="84">
      <formula>AND($B$253&gt;=0.2,$B$253&lt;0.3)</formula>
    </cfRule>
  </conditionalFormatting>
  <conditionalFormatting sqref="L271">
    <cfRule type="expression" dxfId="42" priority="91">
      <formula>$B$271&gt;=0.3</formula>
    </cfRule>
    <cfRule type="expression" dxfId="41" priority="90">
      <formula>AND($B$271&gt;=0.2,$B$271&lt;0.3)</formula>
    </cfRule>
    <cfRule type="expression" dxfId="40" priority="89">
      <formula>$B$271&lt;0.2</formula>
    </cfRule>
  </conditionalFormatting>
  <conditionalFormatting sqref="L289">
    <cfRule type="expression" dxfId="39" priority="95">
      <formula>$B$289&lt;0.2</formula>
    </cfRule>
    <cfRule type="expression" dxfId="38" priority="97">
      <formula>$B$289&gt;=0.3</formula>
    </cfRule>
    <cfRule type="expression" dxfId="37" priority="96">
      <formula>AND($B$289&gt;=0.2,$B$289&lt;0.3)</formula>
    </cfRule>
  </conditionalFormatting>
  <conditionalFormatting sqref="L307">
    <cfRule type="expression" dxfId="36" priority="103">
      <formula>$B$307&gt;=0.3</formula>
    </cfRule>
    <cfRule type="expression" dxfId="35" priority="102">
      <formula>AND($B$307&gt;=0.2,$B$307&lt;0.3)</formula>
    </cfRule>
    <cfRule type="expression" dxfId="34" priority="101">
      <formula>$B$307&lt;0.2</formula>
    </cfRule>
  </conditionalFormatting>
  <conditionalFormatting sqref="L325">
    <cfRule type="expression" dxfId="33" priority="109">
      <formula>$B$325&gt;=0.3</formula>
    </cfRule>
    <cfRule type="expression" dxfId="32" priority="108">
      <formula>AND($B$325&gt;=0.2,$B$325&lt;0.3)</formula>
    </cfRule>
    <cfRule type="expression" dxfId="31" priority="107">
      <formula>$B$325&lt;0.2</formula>
    </cfRule>
  </conditionalFormatting>
  <conditionalFormatting sqref="L343">
    <cfRule type="expression" dxfId="30" priority="115">
      <formula>$B$343&gt;=0.3</formula>
    </cfRule>
    <cfRule type="expression" dxfId="29" priority="114">
      <formula>AND($B$343&gt;=0.2,$B$343&lt;0.3)</formula>
    </cfRule>
    <cfRule type="expression" dxfId="28" priority="113">
      <formula>$B$343&lt;0.2</formula>
    </cfRule>
  </conditionalFormatting>
  <conditionalFormatting sqref="L361">
    <cfRule type="expression" dxfId="27" priority="119">
      <formula>$B$361&lt;0.2</formula>
    </cfRule>
    <cfRule type="expression" dxfId="26" priority="121">
      <formula>$B$361&gt;=0.3</formula>
    </cfRule>
    <cfRule type="expression" dxfId="25" priority="120">
      <formula>AND($B$361&gt;=0.2,$B$361&lt;0.3)</formula>
    </cfRule>
  </conditionalFormatting>
  <conditionalFormatting sqref="L379">
    <cfRule type="expression" dxfId="24" priority="127">
      <formula>$B$379&gt;=0.3</formula>
    </cfRule>
    <cfRule type="expression" dxfId="23" priority="126">
      <formula>AND($B$379&gt;=0.2,$B$379&lt;0.3)</formula>
    </cfRule>
    <cfRule type="expression" dxfId="22" priority="125">
      <formula>$B$379&lt;0.2</formula>
    </cfRule>
  </conditionalFormatting>
  <conditionalFormatting sqref="L398">
    <cfRule type="expression" dxfId="21" priority="131">
      <formula>$B$398&lt;0.2</formula>
    </cfRule>
    <cfRule type="expression" dxfId="20" priority="132">
      <formula>AND($B$398&gt;=0.2,$B$398&lt;0.3)</formula>
    </cfRule>
    <cfRule type="expression" dxfId="19" priority="133">
      <formula>$B$398&gt;=0.3</formula>
    </cfRule>
  </conditionalFormatting>
  <conditionalFormatting sqref="L416">
    <cfRule type="expression" dxfId="18" priority="138">
      <formula>AND($B$416&gt;=0.2,$B$416&lt;0.3)</formula>
    </cfRule>
    <cfRule type="expression" dxfId="17" priority="139">
      <formula>$B$416&gt;=0.3</formula>
    </cfRule>
    <cfRule type="expression" dxfId="16" priority="137">
      <formula>$B$416&lt;0.2</formula>
    </cfRule>
  </conditionalFormatting>
  <conditionalFormatting sqref="L434">
    <cfRule type="expression" dxfId="15" priority="143">
      <formula>$B$434&lt;0.2</formula>
    </cfRule>
    <cfRule type="expression" dxfId="14" priority="145">
      <formula>$B$434&gt;=0.3</formula>
    </cfRule>
    <cfRule type="expression" dxfId="13" priority="144">
      <formula>AND($B$434&gt;=0.2,$B$434&lt;0.3)</formula>
    </cfRule>
  </conditionalFormatting>
  <conditionalFormatting sqref="L452">
    <cfRule type="expression" dxfId="12" priority="151">
      <formula>$B$452&gt;=0.3</formula>
    </cfRule>
    <cfRule type="expression" dxfId="11" priority="150">
      <formula>AND($B$452&gt;=0.2,$B$452&lt;0.3)</formula>
    </cfRule>
    <cfRule type="expression" dxfId="10" priority="149">
      <formula>$B$452&lt;0.2</formula>
    </cfRule>
  </conditionalFormatting>
  <conditionalFormatting sqref="L470">
    <cfRule type="expression" dxfId="9" priority="155">
      <formula>$B$470&lt;0.2</formula>
    </cfRule>
    <cfRule type="expression" dxfId="8" priority="156">
      <formula>AND($B$470&gt;=0.2,$B$470&lt;0.3)</formula>
    </cfRule>
    <cfRule type="expression" dxfId="7" priority="157">
      <formula>$B$470&gt;=0.3</formula>
    </cfRule>
  </conditionalFormatting>
  <conditionalFormatting sqref="L488">
    <cfRule type="expression" dxfId="6" priority="161">
      <formula>$B$488&lt;0.2</formula>
    </cfRule>
    <cfRule type="expression" dxfId="5" priority="162">
      <formula>AND($B$488&gt;=0.2,$B$488&lt;0.3)</formula>
    </cfRule>
    <cfRule type="expression" dxfId="4" priority="163">
      <formula>$B$488&gt;=0.3</formula>
    </cfRule>
  </conditionalFormatting>
  <pageMargins left="0.75" right="0.75" top="1" bottom="1" header="0.511811023622047" footer="0.511811023622047"/>
  <pageSetup paperSize="8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0"/>
  <sheetViews>
    <sheetView showGridLines="0" zoomScaleNormal="100" workbookViewId="0">
      <pane ySplit="4" topLeftCell="A94" activePane="bottomLeft" state="frozen"/>
      <selection pane="bottomLeft" activeCell="D3" sqref="D3"/>
    </sheetView>
  </sheetViews>
  <sheetFormatPr baseColWidth="10" defaultColWidth="8.6640625" defaultRowHeight="15" x14ac:dyDescent="0.2"/>
  <cols>
    <col min="1" max="2" width="9" customWidth="1"/>
    <col min="3" max="3" width="30" customWidth="1"/>
    <col min="4" max="4" width="9" customWidth="1"/>
    <col min="5" max="7" width="11" customWidth="1"/>
    <col min="8" max="8" width="12" customWidth="1"/>
    <col min="9" max="9" width="22" customWidth="1"/>
    <col min="11" max="11" width="13" hidden="1" customWidth="1"/>
  </cols>
  <sheetData>
    <row r="1" spans="1:11" ht="25.5" customHeight="1" x14ac:dyDescent="0.2">
      <c r="A1" s="133" t="s">
        <v>370</v>
      </c>
      <c r="B1" s="133"/>
      <c r="C1" s="133"/>
      <c r="D1" s="133"/>
      <c r="E1" s="133"/>
      <c r="F1" s="133"/>
      <c r="G1" s="133"/>
      <c r="H1" s="133"/>
      <c r="I1" s="133"/>
    </row>
    <row r="2" spans="1:11" ht="25.5" customHeight="1" x14ac:dyDescent="0.2">
      <c r="A2" s="134" t="s">
        <v>371</v>
      </c>
      <c r="B2" s="134"/>
      <c r="C2" s="134"/>
      <c r="D2" s="134"/>
      <c r="E2" s="134"/>
      <c r="F2" s="134"/>
      <c r="G2" s="134"/>
      <c r="H2" s="134"/>
      <c r="I2" s="134"/>
    </row>
    <row r="3" spans="1:11" ht="19.5" customHeight="1" x14ac:dyDescent="0.2">
      <c r="A3" s="135" t="s">
        <v>372</v>
      </c>
      <c r="B3" s="135"/>
      <c r="C3" s="135"/>
      <c r="D3" s="66" t="s">
        <v>1508</v>
      </c>
      <c r="E3" s="65" t="s">
        <v>373</v>
      </c>
      <c r="F3" s="67">
        <v>0.3</v>
      </c>
      <c r="G3" s="65" t="s">
        <v>374</v>
      </c>
      <c r="H3" s="136">
        <f>SUM(K5:K140)</f>
        <v>1508.5558999999998</v>
      </c>
      <c r="I3" s="136"/>
    </row>
    <row r="4" spans="1:11" x14ac:dyDescent="0.2">
      <c r="A4" s="68" t="s">
        <v>18</v>
      </c>
      <c r="B4" s="68" t="s">
        <v>19</v>
      </c>
      <c r="C4" s="68" t="s">
        <v>20</v>
      </c>
      <c r="D4" s="68" t="s">
        <v>21</v>
      </c>
      <c r="E4" s="68" t="s">
        <v>22</v>
      </c>
      <c r="F4" s="68" t="s">
        <v>23</v>
      </c>
      <c r="G4" s="68" t="s">
        <v>24</v>
      </c>
      <c r="H4" s="68" t="s">
        <v>25</v>
      </c>
      <c r="I4" s="68" t="s">
        <v>26</v>
      </c>
    </row>
    <row r="5" spans="1:11" x14ac:dyDescent="0.2">
      <c r="A5" s="69">
        <v>8550</v>
      </c>
      <c r="B5" s="69" t="s">
        <v>375</v>
      </c>
      <c r="C5" s="70" t="s">
        <v>376</v>
      </c>
      <c r="D5" s="69" t="s">
        <v>30</v>
      </c>
      <c r="E5" s="71">
        <f>'Detalle 2.0TD'!B15</f>
        <v>0.32906535477635784</v>
      </c>
      <c r="F5" s="72" t="str">
        <f>'Detalle 2.0TD'!D15</f>
        <v>APROBAR</v>
      </c>
      <c r="G5" s="73">
        <v>0.2802</v>
      </c>
      <c r="H5" s="74">
        <v>2435.5100000000002</v>
      </c>
      <c r="I5" s="75" t="str">
        <f>IF('Detalle 2.0TD'!B15="","Falta PC real",IF('Detalle 2.0TD'!B15&gt;=0.3,"OK · registrar",IF('Detalle 2.0TD'!B15&gt;=0.2,"Revisar margen","Revisar PC/PV")))</f>
        <v>OK · registrar</v>
      </c>
      <c r="K5">
        <f>'Detalle 2.0TD'!AD15</f>
        <v>-7.9000000000064574E-3</v>
      </c>
    </row>
    <row r="6" spans="1:11" x14ac:dyDescent="0.2">
      <c r="A6" s="69">
        <v>8551</v>
      </c>
      <c r="B6" s="69" t="s">
        <v>377</v>
      </c>
      <c r="C6" s="70" t="s">
        <v>376</v>
      </c>
      <c r="D6" s="69" t="s">
        <v>30</v>
      </c>
      <c r="E6" s="71">
        <f>'Detalle 2.0TD'!B29</f>
        <v>0.32791454206326592</v>
      </c>
      <c r="F6" s="72" t="str">
        <f>'Detalle 2.0TD'!D29</f>
        <v>APROBAR</v>
      </c>
      <c r="G6" s="73">
        <v>0.2374</v>
      </c>
      <c r="H6" s="74">
        <v>2120.4499999999998</v>
      </c>
      <c r="I6" s="75" t="str">
        <f>IF('Detalle 2.0TD'!B29="","Falta PC real",IF('Detalle 2.0TD'!B29&gt;=0.3,"OK · registrar",IF('Detalle 2.0TD'!B29&gt;=0.2,"Revisar margen","Revisar PC/PV")))</f>
        <v>OK · registrar</v>
      </c>
      <c r="K6">
        <f>'Detalle 2.0TD'!AD29</f>
        <v>4.1000000000082082E-3</v>
      </c>
    </row>
    <row r="7" spans="1:11" x14ac:dyDescent="0.2">
      <c r="A7" s="69">
        <v>8552</v>
      </c>
      <c r="B7" s="69" t="s">
        <v>378</v>
      </c>
      <c r="C7" s="70" t="s">
        <v>376</v>
      </c>
      <c r="D7" s="69" t="s">
        <v>30</v>
      </c>
      <c r="E7" s="71">
        <f>'Detalle 2.0TD'!B43</f>
        <v>0.33776614771745472</v>
      </c>
      <c r="F7" s="72" t="str">
        <f>'Detalle 2.0TD'!D43</f>
        <v>APROBAR</v>
      </c>
      <c r="G7" s="73">
        <v>0.3004</v>
      </c>
      <c r="H7" s="74">
        <v>3194.42</v>
      </c>
      <c r="I7" s="75" t="str">
        <f>IF('Detalle 2.0TD'!B43="","Falta PC real",IF('Detalle 2.0TD'!B43&gt;=0.3,"OK · registrar",IF('Detalle 2.0TD'!B43&gt;=0.2,"Revisar margen","Revisar PC/PV")))</f>
        <v>OK · registrar</v>
      </c>
      <c r="K7">
        <f>'Detalle 2.0TD'!AD43</f>
        <v>-5.7000000000186901E-3</v>
      </c>
    </row>
    <row r="8" spans="1:11" x14ac:dyDescent="0.2">
      <c r="A8" s="69">
        <v>8553</v>
      </c>
      <c r="B8" s="69" t="s">
        <v>379</v>
      </c>
      <c r="C8" s="70" t="s">
        <v>376</v>
      </c>
      <c r="D8" s="69" t="s">
        <v>30</v>
      </c>
      <c r="E8" s="71">
        <f>'Detalle 2.0TD'!B57</f>
        <v>0.29999454274684811</v>
      </c>
      <c r="F8" s="72" t="str">
        <f>'Detalle 2.0TD'!D57</f>
        <v>REVISAR</v>
      </c>
      <c r="G8" s="73">
        <v>0.29330000000000001</v>
      </c>
      <c r="H8" s="74">
        <v>2606.2800000000002</v>
      </c>
      <c r="I8" s="75" t="str">
        <f>IF('Detalle 2.0TD'!B57="","Falta PC real",IF('Detalle 2.0TD'!B57&gt;=0.3,"OK · registrar",IF('Detalle 2.0TD'!B57&gt;=0.2,"Revisar margen","Revisar PC/PV")))</f>
        <v>Revisar margen</v>
      </c>
      <c r="K8">
        <f>'Detalle 2.0TD'!AD57</f>
        <v>42.827199999999976</v>
      </c>
    </row>
    <row r="9" spans="1:11" x14ac:dyDescent="0.2">
      <c r="A9" s="69">
        <v>8554</v>
      </c>
      <c r="B9" s="69" t="s">
        <v>380</v>
      </c>
      <c r="C9" s="70" t="s">
        <v>376</v>
      </c>
      <c r="D9" s="69" t="s">
        <v>30</v>
      </c>
      <c r="E9" s="71">
        <f>'Detalle 2.0TD'!B71</f>
        <v>0.33884193506162785</v>
      </c>
      <c r="F9" s="72" t="str">
        <f>'Detalle 2.0TD'!D71</f>
        <v>APROBAR</v>
      </c>
      <c r="G9" s="73">
        <v>0.30990000000000001</v>
      </c>
      <c r="H9" s="74">
        <v>5248.88</v>
      </c>
      <c r="I9" s="75" t="str">
        <f>IF('Detalle 2.0TD'!B71="","Falta PC real",IF('Detalle 2.0TD'!B71&gt;=0.3,"OK · registrar",IF('Detalle 2.0TD'!B71&gt;=0.2,"Revisar margen","Revisar PC/PV")))</f>
        <v>OK · registrar</v>
      </c>
      <c r="K9">
        <f>'Detalle 2.0TD'!AD71</f>
        <v>2.7999999999792635E-3</v>
      </c>
    </row>
    <row r="10" spans="1:11" x14ac:dyDescent="0.2">
      <c r="A10" s="69">
        <v>8555</v>
      </c>
      <c r="B10" s="69" t="s">
        <v>381</v>
      </c>
      <c r="C10" s="70" t="s">
        <v>376</v>
      </c>
      <c r="D10" s="69" t="s">
        <v>30</v>
      </c>
      <c r="E10" s="71">
        <f>'Detalle 2.0TD'!B85</f>
        <v>0.33604893069454339</v>
      </c>
      <c r="F10" s="72" t="str">
        <f>'Detalle 2.0TD'!D85</f>
        <v>APROBAR</v>
      </c>
      <c r="G10" s="73">
        <v>0.30220000000000002</v>
      </c>
      <c r="H10" s="74">
        <v>1841.6</v>
      </c>
      <c r="I10" s="75" t="str">
        <f>IF('Detalle 2.0TD'!B85="","Falta PC real",IF('Detalle 2.0TD'!B85&gt;=0.3,"OK · registrar",IF('Detalle 2.0TD'!B85&gt;=0.2,"Revisar margen","Revisar PC/PV")))</f>
        <v>OK · registrar</v>
      </c>
      <c r="K10">
        <f>'Detalle 2.0TD'!AD85</f>
        <v>4.7999999999888132E-3</v>
      </c>
    </row>
    <row r="11" spans="1:11" x14ac:dyDescent="0.2">
      <c r="A11" s="69">
        <v>8556</v>
      </c>
      <c r="B11" s="69" t="s">
        <v>382</v>
      </c>
      <c r="C11" s="70" t="s">
        <v>376</v>
      </c>
      <c r="D11" s="69" t="s">
        <v>30</v>
      </c>
      <c r="E11" s="71">
        <f>'Detalle 2.0TD'!B99</f>
        <v>0.33892336430085818</v>
      </c>
      <c r="F11" s="72" t="str">
        <f>'Detalle 2.0TD'!D99</f>
        <v>APROBAR</v>
      </c>
      <c r="G11" s="73">
        <v>0.28949999999999998</v>
      </c>
      <c r="H11" s="74">
        <v>2954.17</v>
      </c>
      <c r="I11" s="75" t="str">
        <f>IF('Detalle 2.0TD'!B99="","Falta PC real",IF('Detalle 2.0TD'!B99&gt;=0.3,"OK · registrar",IF('Detalle 2.0TD'!B99&gt;=0.2,"Revisar margen","Revisar PC/PV")))</f>
        <v>OK · registrar</v>
      </c>
      <c r="K11">
        <f>'Detalle 2.0TD'!AD99</f>
        <v>1.0700000000014143E-2</v>
      </c>
    </row>
    <row r="12" spans="1:11" x14ac:dyDescent="0.2">
      <c r="A12" s="69">
        <v>8557</v>
      </c>
      <c r="B12" s="69" t="s">
        <v>383</v>
      </c>
      <c r="C12" s="70" t="s">
        <v>376</v>
      </c>
      <c r="D12" s="69" t="s">
        <v>30</v>
      </c>
      <c r="E12" s="71">
        <f>'Detalle 2.0TD'!B113</f>
        <v>0.33246101472615863</v>
      </c>
      <c r="F12" s="72" t="str">
        <f>'Detalle 2.0TD'!D113</f>
        <v>APROBAR</v>
      </c>
      <c r="G12" s="70"/>
      <c r="H12" s="70"/>
      <c r="I12" s="75" t="str">
        <f>IF('Detalle 2.0TD'!B113="","Falta PC real",IF('Detalle 2.0TD'!B113&gt;=0.3,"OK · registrar",IF('Detalle 2.0TD'!B113&gt;=0.2,"Revisar margen","Revisar PC/PV")))</f>
        <v>OK · registrar</v>
      </c>
      <c r="K12">
        <f>'Detalle 2.0TD'!AD113</f>
        <v>-5.7000000000044793E-3</v>
      </c>
    </row>
    <row r="13" spans="1:11" x14ac:dyDescent="0.2">
      <c r="A13" s="69">
        <v>8558</v>
      </c>
      <c r="B13" s="69" t="s">
        <v>384</v>
      </c>
      <c r="C13" s="70" t="s">
        <v>376</v>
      </c>
      <c r="D13" s="69" t="s">
        <v>30</v>
      </c>
      <c r="E13" s="71">
        <f>'Detalle 2.0TD'!B127</f>
        <v>0.33560970252505401</v>
      </c>
      <c r="F13" s="72" t="str">
        <f>'Detalle 2.0TD'!D127</f>
        <v>APROBAR</v>
      </c>
      <c r="G13" s="73">
        <v>0.29299999999999998</v>
      </c>
      <c r="H13" s="74">
        <v>3233.11</v>
      </c>
      <c r="I13" s="75" t="str">
        <f>IF('Detalle 2.0TD'!B127="","Falta PC real",IF('Detalle 2.0TD'!B127&gt;=0.3,"OK · registrar",IF('Detalle 2.0TD'!B127&gt;=0.2,"Revisar margen","Revisar PC/PV")))</f>
        <v>OK · registrar</v>
      </c>
      <c r="K13">
        <f>'Detalle 2.0TD'!AD127</f>
        <v>-4.0000000001327862E-4</v>
      </c>
    </row>
    <row r="14" spans="1:11" x14ac:dyDescent="0.2">
      <c r="A14" s="69">
        <v>8559</v>
      </c>
      <c r="B14" s="69" t="s">
        <v>385</v>
      </c>
      <c r="C14" s="70" t="s">
        <v>376</v>
      </c>
      <c r="D14" s="69" t="s">
        <v>30</v>
      </c>
      <c r="E14" s="71">
        <f>'Detalle 2.0TD'!B141</f>
        <v>0.32177701872482439</v>
      </c>
      <c r="F14" s="72" t="str">
        <f>'Detalle 2.0TD'!D141</f>
        <v>APROBAR</v>
      </c>
      <c r="G14" s="73">
        <v>0.33139999999999997</v>
      </c>
      <c r="H14" s="74">
        <v>989.5</v>
      </c>
      <c r="I14" s="75" t="str">
        <f>IF('Detalle 2.0TD'!B141="","Falta PC real",IF('Detalle 2.0TD'!B141&gt;=0.3,"OK · registrar",IF('Detalle 2.0TD'!B141&gt;=0.2,"Revisar margen","Revisar PC/PV")))</f>
        <v>OK · registrar</v>
      </c>
      <c r="K14">
        <f>'Detalle 2.0TD'!AD141</f>
        <v>1.0400000000004184E-2</v>
      </c>
    </row>
    <row r="15" spans="1:11" x14ac:dyDescent="0.2">
      <c r="A15" s="69">
        <v>8560</v>
      </c>
      <c r="B15" s="69" t="s">
        <v>386</v>
      </c>
      <c r="C15" s="70" t="s">
        <v>376</v>
      </c>
      <c r="D15" s="69" t="s">
        <v>30</v>
      </c>
      <c r="E15" s="71">
        <f>'Detalle 2.0TD'!B155</f>
        <v>0.32654454987586212</v>
      </c>
      <c r="F15" s="72" t="str">
        <f>'Detalle 2.0TD'!D155</f>
        <v>APROBAR</v>
      </c>
      <c r="G15" s="73">
        <v>0.2482</v>
      </c>
      <c r="H15" s="74">
        <v>837.32</v>
      </c>
      <c r="I15" s="75" t="str">
        <f>IF('Detalle 2.0TD'!B155="","Falta PC real",IF('Detalle 2.0TD'!B155&gt;=0.3,"OK · registrar",IF('Detalle 2.0TD'!B155&gt;=0.2,"Revisar margen","Revisar PC/PV")))</f>
        <v>OK · registrar</v>
      </c>
      <c r="K15">
        <f>'Detalle 2.0TD'!AD155</f>
        <v>-8.2999999999984198E-3</v>
      </c>
    </row>
    <row r="16" spans="1:11" x14ac:dyDescent="0.2">
      <c r="A16" s="69">
        <v>8561</v>
      </c>
      <c r="B16" s="69" t="s">
        <v>387</v>
      </c>
      <c r="C16" s="70" t="s">
        <v>376</v>
      </c>
      <c r="D16" s="69" t="s">
        <v>30</v>
      </c>
      <c r="E16" s="71">
        <f>'Detalle 2.0TD'!B169</f>
        <v>0.33709853094153364</v>
      </c>
      <c r="F16" s="72" t="str">
        <f>'Detalle 2.0TD'!D169</f>
        <v>APROBAR</v>
      </c>
      <c r="G16" s="73">
        <v>0.29809999999999998</v>
      </c>
      <c r="H16" s="74">
        <v>3102.69</v>
      </c>
      <c r="I16" s="75" t="str">
        <f>IF('Detalle 2.0TD'!B169="","Falta PC real",IF('Detalle 2.0TD'!B169&gt;=0.3,"OK · registrar",IF('Detalle 2.0TD'!B169&gt;=0.2,"Revisar margen","Revisar PC/PV")))</f>
        <v>OK · registrar</v>
      </c>
      <c r="K16">
        <f>'Detalle 2.0TD'!AD169</f>
        <v>4.3000000000006366E-3</v>
      </c>
    </row>
    <row r="17" spans="1:11" x14ac:dyDescent="0.2">
      <c r="A17" s="69">
        <v>8562</v>
      </c>
      <c r="B17" s="69" t="s">
        <v>388</v>
      </c>
      <c r="C17" s="70" t="s">
        <v>376</v>
      </c>
      <c r="D17" s="69" t="s">
        <v>30</v>
      </c>
      <c r="E17" s="71">
        <f>'Detalle 2.0TD'!B183</f>
        <v>0.33103429907643317</v>
      </c>
      <c r="F17" s="72" t="str">
        <f>'Detalle 2.0TD'!D183</f>
        <v>APROBAR</v>
      </c>
      <c r="G17" s="73">
        <v>0.29499999999999998</v>
      </c>
      <c r="H17" s="74">
        <v>2842.61</v>
      </c>
      <c r="I17" s="75" t="str">
        <f>IF('Detalle 2.0TD'!B183="","Falta PC real",IF('Detalle 2.0TD'!B183&gt;=0.3,"OK · registrar",IF('Detalle 2.0TD'!B183&gt;=0.2,"Revisar margen","Revisar PC/PV")))</f>
        <v>OK · registrar</v>
      </c>
      <c r="K17">
        <f>'Detalle 2.0TD'!AD183</f>
        <v>5.0000000001659828E-4</v>
      </c>
    </row>
    <row r="18" spans="1:11" x14ac:dyDescent="0.2">
      <c r="A18" s="69">
        <v>8563</v>
      </c>
      <c r="B18" s="69" t="s">
        <v>389</v>
      </c>
      <c r="C18" s="70" t="s">
        <v>376</v>
      </c>
      <c r="D18" s="69" t="s">
        <v>30</v>
      </c>
      <c r="E18" s="71">
        <f>'Detalle 2.0TD'!B197</f>
        <v>0.33306586254663306</v>
      </c>
      <c r="F18" s="72" t="str">
        <f>'Detalle 2.0TD'!D197</f>
        <v>APROBAR</v>
      </c>
      <c r="G18" s="73">
        <v>0.3206</v>
      </c>
      <c r="H18" s="74">
        <v>3731.12</v>
      </c>
      <c r="I18" s="75" t="str">
        <f>IF('Detalle 2.0TD'!B197="","Falta PC real",IF('Detalle 2.0TD'!B197&gt;=0.3,"OK · registrar",IF('Detalle 2.0TD'!B197&gt;=0.2,"Revisar margen","Revisar PC/PV")))</f>
        <v>OK · registrar</v>
      </c>
      <c r="K18">
        <f>'Detalle 2.0TD'!AD197</f>
        <v>-3.7000000000091404E-3</v>
      </c>
    </row>
    <row r="19" spans="1:11" x14ac:dyDescent="0.2">
      <c r="A19" s="69">
        <v>8568</v>
      </c>
      <c r="B19" s="69" t="s">
        <v>390</v>
      </c>
      <c r="C19" s="70" t="s">
        <v>391</v>
      </c>
      <c r="D19" s="69" t="s">
        <v>30</v>
      </c>
      <c r="E19" s="71">
        <f>'Detalle 2.0TD'!B211</f>
        <v>0.29999905058764342</v>
      </c>
      <c r="F19" s="72" t="str">
        <f>'Detalle 2.0TD'!D211</f>
        <v>REVISAR</v>
      </c>
      <c r="G19" s="73">
        <v>0.30309999999999998</v>
      </c>
      <c r="H19" s="74">
        <v>2280.5300000000002</v>
      </c>
      <c r="I19" s="75" t="str">
        <f>IF('Detalle 2.0TD'!B211="","Falta PC real",IF('Detalle 2.0TD'!B211&gt;=0.3,"OK · registrar",IF('Detalle 2.0TD'!B211&gt;=0.2,"Revisar margen","Revisar PC/PV")))</f>
        <v>Revisar margen</v>
      </c>
      <c r="K19">
        <f>'Detalle 2.0TD'!AD211</f>
        <v>16.567300000000017</v>
      </c>
    </row>
    <row r="20" spans="1:11" x14ac:dyDescent="0.2">
      <c r="A20" s="69">
        <v>8569</v>
      </c>
      <c r="B20" s="69" t="s">
        <v>392</v>
      </c>
      <c r="C20" s="70" t="s">
        <v>393</v>
      </c>
      <c r="D20" s="69" t="s">
        <v>30</v>
      </c>
      <c r="E20" s="71">
        <f>'Detalle 2.0TD'!B230</f>
        <v>0.30001681726155144</v>
      </c>
      <c r="F20" s="72" t="str">
        <f>'Detalle 2.0TD'!D230</f>
        <v>APROBAR</v>
      </c>
      <c r="G20" s="73">
        <v>0.35399999999999998</v>
      </c>
      <c r="H20" s="74">
        <v>452.94</v>
      </c>
      <c r="I20" s="75" t="str">
        <f>IF('Detalle 2.0TD'!B230="","Falta PC real",IF('Detalle 2.0TD'!B230&gt;=0.3,"OK · registrar",IF('Detalle 2.0TD'!B230&gt;=0.2,"Revisar margen","Revisar PC/PV")))</f>
        <v>OK · registrar</v>
      </c>
      <c r="K20">
        <f>'Detalle 2.0TD'!AD230</f>
        <v>44.717499999999987</v>
      </c>
    </row>
    <row r="21" spans="1:11" x14ac:dyDescent="0.2">
      <c r="A21" s="69">
        <v>8570</v>
      </c>
      <c r="B21" s="69" t="s">
        <v>394</v>
      </c>
      <c r="C21" s="70" t="s">
        <v>395</v>
      </c>
      <c r="D21" s="69" t="s">
        <v>30</v>
      </c>
      <c r="E21" s="71">
        <f>'Detalle 2.0TD'!B244</f>
        <v>0.15852432592820817</v>
      </c>
      <c r="F21" s="72" t="str">
        <f>'Detalle 2.0TD'!D244</f>
        <v>RECHAZAR</v>
      </c>
      <c r="G21" s="73">
        <v>1</v>
      </c>
      <c r="H21" s="74">
        <v>2.65</v>
      </c>
      <c r="I21" s="75" t="str">
        <f>IF('Detalle 2.0TD'!B244="","Falta PC real",IF('Detalle 2.0TD'!B244&gt;=0.3,"OK · registrar",IF('Detalle 2.0TD'!B244&gt;=0.2,"Revisar margen","Revisar PC/PV")))</f>
        <v>Revisar PC/PV</v>
      </c>
      <c r="K21">
        <f>'Detalle 2.0TD'!AD244</f>
        <v>-8.0000000001234639E-4</v>
      </c>
    </row>
    <row r="22" spans="1:11" x14ac:dyDescent="0.2">
      <c r="A22" s="69">
        <v>8571</v>
      </c>
      <c r="B22" s="69" t="s">
        <v>396</v>
      </c>
      <c r="C22" s="70" t="s">
        <v>397</v>
      </c>
      <c r="D22" s="69" t="s">
        <v>30</v>
      </c>
      <c r="E22" s="71">
        <f>'Detalle 2.0TD'!B258</f>
        <v>0.30013048045436747</v>
      </c>
      <c r="F22" s="72" t="str">
        <f>'Detalle 2.0TD'!D258</f>
        <v>APROBAR</v>
      </c>
      <c r="G22" s="73">
        <v>0.1991</v>
      </c>
      <c r="H22" s="74">
        <v>1674.46</v>
      </c>
      <c r="I22" s="75" t="str">
        <f>IF('Detalle 2.0TD'!B258="","Falta PC real",IF('Detalle 2.0TD'!B258&gt;=0.3,"OK · registrar",IF('Detalle 2.0TD'!B258&gt;=0.2,"Revisar margen","Revisar PC/PV")))</f>
        <v>OK · registrar</v>
      </c>
      <c r="K22">
        <f>'Detalle 2.0TD'!AD258</f>
        <v>7.2281000000000049</v>
      </c>
    </row>
    <row r="23" spans="1:11" x14ac:dyDescent="0.2">
      <c r="A23" s="69">
        <v>8572</v>
      </c>
      <c r="B23" s="69" t="s">
        <v>398</v>
      </c>
      <c r="C23" s="70" t="s">
        <v>399</v>
      </c>
      <c r="D23" s="69" t="s">
        <v>30</v>
      </c>
      <c r="E23" s="71">
        <f>'Detalle 2.0TD'!B277</f>
        <v>0.29998179066431035</v>
      </c>
      <c r="F23" s="72" t="str">
        <f>'Detalle 2.0TD'!D277</f>
        <v>REVISAR</v>
      </c>
      <c r="G23" s="73">
        <v>0.30769999999999997</v>
      </c>
      <c r="H23" s="74">
        <v>2373.4299999999998</v>
      </c>
      <c r="I23" s="75" t="str">
        <f>IF('Detalle 2.0TD'!B277="","Falta PC real",IF('Detalle 2.0TD'!B277&gt;=0.3,"OK · registrar",IF('Detalle 2.0TD'!B277&gt;=0.2,"Revisar margen","Revisar PC/PV")))</f>
        <v>Revisar margen</v>
      </c>
      <c r="K23">
        <f>'Detalle 2.0TD'!AD277</f>
        <v>10.183900000000001</v>
      </c>
    </row>
    <row r="24" spans="1:11" x14ac:dyDescent="0.2">
      <c r="A24" s="69">
        <v>8573</v>
      </c>
      <c r="B24" s="69" t="s">
        <v>400</v>
      </c>
      <c r="C24" s="70" t="s">
        <v>401</v>
      </c>
      <c r="D24" s="69" t="s">
        <v>30</v>
      </c>
      <c r="E24" s="71">
        <f>'Detalle 2.0TD'!B296</f>
        <v>0.29999239096484659</v>
      </c>
      <c r="F24" s="72" t="str">
        <f>'Detalle 2.0TD'!D296</f>
        <v>REVISAR</v>
      </c>
      <c r="G24" s="73">
        <v>5.3800000000000001E-2</v>
      </c>
      <c r="H24" s="74">
        <v>609.46</v>
      </c>
      <c r="I24" s="75" t="str">
        <f>IF('Detalle 2.0TD'!B296="","Falta PC real",IF('Detalle 2.0TD'!B296&gt;=0.3,"OK · registrar",IF('Detalle 2.0TD'!B296&gt;=0.2,"Revisar margen","Revisar PC/PV")))</f>
        <v>Revisar margen</v>
      </c>
      <c r="K24">
        <f>'Detalle 2.0TD'!AD296</f>
        <v>2.9781000000000013</v>
      </c>
    </row>
    <row r="25" spans="1:11" x14ac:dyDescent="0.2">
      <c r="A25" s="69">
        <v>8574</v>
      </c>
      <c r="B25" s="69" t="s">
        <v>402</v>
      </c>
      <c r="C25" s="70" t="s">
        <v>403</v>
      </c>
      <c r="D25" s="69" t="s">
        <v>30</v>
      </c>
      <c r="E25" s="71">
        <f>'Detalle 2.0TD'!B315</f>
        <v>9.8462767584480512E-2</v>
      </c>
      <c r="F25" s="72" t="str">
        <f>'Detalle 2.0TD'!D315</f>
        <v>RECHAZAR</v>
      </c>
      <c r="G25" s="73">
        <v>1</v>
      </c>
      <c r="H25" s="74">
        <v>0.86</v>
      </c>
      <c r="I25" s="75" t="str">
        <f>IF('Detalle 2.0TD'!B315="","Falta PC real",IF('Detalle 2.0TD'!B315&gt;=0.3,"OK · registrar",IF('Detalle 2.0TD'!B315&gt;=0.2,"Revisar margen","Revisar PC/PV")))</f>
        <v>Revisar PC/PV</v>
      </c>
      <c r="K25">
        <f>'Detalle 2.0TD'!AD315</f>
        <v>1.3999999999967372E-3</v>
      </c>
    </row>
    <row r="26" spans="1:11" x14ac:dyDescent="0.2">
      <c r="A26" s="69">
        <v>8575</v>
      </c>
      <c r="B26" s="69" t="s">
        <v>404</v>
      </c>
      <c r="C26" s="70" t="s">
        <v>405</v>
      </c>
      <c r="D26" s="69" t="s">
        <v>30</v>
      </c>
      <c r="E26" s="71">
        <f>'Detalle 2.0TD'!B329</f>
        <v>0.30004435671700602</v>
      </c>
      <c r="F26" s="72" t="str">
        <f>'Detalle 2.0TD'!D329</f>
        <v>APROBAR</v>
      </c>
      <c r="G26" s="73">
        <v>0.25559999999999999</v>
      </c>
      <c r="H26" s="74">
        <v>1316.57</v>
      </c>
      <c r="I26" s="75" t="str">
        <f>IF('Detalle 2.0TD'!B329="","Falta PC real",IF('Detalle 2.0TD'!B329&gt;=0.3,"OK · registrar",IF('Detalle 2.0TD'!B329&gt;=0.2,"Revisar margen","Revisar PC/PV")))</f>
        <v>OK · registrar</v>
      </c>
      <c r="K26">
        <f>'Detalle 2.0TD'!AD329</f>
        <v>13.680899999999998</v>
      </c>
    </row>
    <row r="27" spans="1:11" x14ac:dyDescent="0.2">
      <c r="A27" s="69">
        <v>8579</v>
      </c>
      <c r="B27" s="69" t="s">
        <v>406</v>
      </c>
      <c r="C27" s="70" t="s">
        <v>407</v>
      </c>
      <c r="D27" s="69" t="s">
        <v>30</v>
      </c>
      <c r="E27" s="71">
        <f>'Detalle 2.0TD'!B348</f>
        <v>0.30032925877378436</v>
      </c>
      <c r="F27" s="72" t="str">
        <f>'Detalle 2.0TD'!D348</f>
        <v>APROBAR</v>
      </c>
      <c r="G27" s="73">
        <v>4.0000000000000002E-4</v>
      </c>
      <c r="H27" s="74">
        <v>638.64</v>
      </c>
      <c r="I27" s="75" t="str">
        <f>IF('Detalle 2.0TD'!B348="","Falta PC real",IF('Detalle 2.0TD'!B348&gt;=0.3,"OK · registrar",IF('Detalle 2.0TD'!B348&gt;=0.2,"Revisar margen","Revisar PC/PV")))</f>
        <v>OK · registrar</v>
      </c>
      <c r="K27">
        <f>'Detalle 2.0TD'!AD348</f>
        <v>6.3609</v>
      </c>
    </row>
    <row r="28" spans="1:11" x14ac:dyDescent="0.2">
      <c r="A28" s="69">
        <v>8580</v>
      </c>
      <c r="B28" s="69" t="s">
        <v>408</v>
      </c>
      <c r="C28" s="70" t="s">
        <v>409</v>
      </c>
      <c r="D28" s="69" t="s">
        <v>30</v>
      </c>
      <c r="E28" s="71">
        <f>'Detalle 2.0TD'!B367</f>
        <v>0.29998609087614575</v>
      </c>
      <c r="F28" s="72" t="str">
        <f>'Detalle 2.0TD'!D367</f>
        <v>REVISAR</v>
      </c>
      <c r="G28" s="73">
        <v>0.47270000000000001</v>
      </c>
      <c r="H28" s="74">
        <v>1556.34</v>
      </c>
      <c r="I28" s="75" t="str">
        <f>IF('Detalle 2.0TD'!B367="","Falta PC real",IF('Detalle 2.0TD'!B367&gt;=0.3,"OK · registrar",IF('Detalle 2.0TD'!B367&gt;=0.2,"Revisar margen","Revisar PC/PV")))</f>
        <v>Revisar margen</v>
      </c>
      <c r="K28">
        <f>'Detalle 2.0TD'!AD367</f>
        <v>8.7804000000000002</v>
      </c>
    </row>
    <row r="29" spans="1:11" x14ac:dyDescent="0.2">
      <c r="A29" s="69">
        <v>8581</v>
      </c>
      <c r="B29" s="69"/>
      <c r="C29" s="70" t="s">
        <v>410</v>
      </c>
      <c r="D29" s="69" t="s">
        <v>30</v>
      </c>
      <c r="E29" s="71">
        <f>'Detalle 2.0TD'!B386</f>
        <v>0.29997434232471054</v>
      </c>
      <c r="F29" s="72" t="str">
        <f>'Detalle 2.0TD'!D386</f>
        <v>REVISAR</v>
      </c>
      <c r="G29" s="73">
        <v>0.17799999999999999</v>
      </c>
      <c r="H29" s="74">
        <v>3463.21</v>
      </c>
      <c r="I29" s="75" t="str">
        <f>IF('Detalle 2.0TD'!B386="","Falta PC real",IF('Detalle 2.0TD'!B386&gt;=0.3,"OK · registrar",IF('Detalle 2.0TD'!B386&gt;=0.2,"Revisar margen","Revisar PC/PV")))</f>
        <v>Revisar margen</v>
      </c>
      <c r="K29">
        <f>'Detalle 2.0TD'!AD386</f>
        <v>27.044699999999999</v>
      </c>
    </row>
    <row r="30" spans="1:11" x14ac:dyDescent="0.2">
      <c r="A30" s="69">
        <v>8584</v>
      </c>
      <c r="B30" s="69" t="s">
        <v>411</v>
      </c>
      <c r="C30" s="70" t="s">
        <v>412</v>
      </c>
      <c r="D30" s="69" t="s">
        <v>30</v>
      </c>
      <c r="E30" s="71">
        <f>'Detalle 2.0TD'!B400</f>
        <v>0.30001543924125673</v>
      </c>
      <c r="F30" s="72" t="str">
        <f>'Detalle 2.0TD'!D400</f>
        <v>APROBAR</v>
      </c>
      <c r="G30" s="73">
        <v>0.35770000000000002</v>
      </c>
      <c r="H30" s="74">
        <v>10840.8</v>
      </c>
      <c r="I30" s="75" t="str">
        <f>IF('Detalle 2.0TD'!B400="","Falta PC real",IF('Detalle 2.0TD'!B400&gt;=0.3,"OK · registrar",IF('Detalle 2.0TD'!B400&gt;=0.2,"Revisar margen","Revisar PC/PV")))</f>
        <v>OK · registrar</v>
      </c>
      <c r="K30">
        <f>'Detalle 2.0TD'!AD400</f>
        <v>7.3981999999999992</v>
      </c>
    </row>
    <row r="31" spans="1:11" x14ac:dyDescent="0.2">
      <c r="A31" s="69">
        <v>8585</v>
      </c>
      <c r="B31" s="69" t="s">
        <v>413</v>
      </c>
      <c r="C31" s="70" t="s">
        <v>414</v>
      </c>
      <c r="D31" s="69" t="s">
        <v>30</v>
      </c>
      <c r="E31" s="71">
        <f>'Detalle 2.0TD'!B419</f>
        <v>0.2999674464507639</v>
      </c>
      <c r="F31" s="72" t="str">
        <f>'Detalle 2.0TD'!D419</f>
        <v>REVISAR</v>
      </c>
      <c r="G31" s="73">
        <v>0.30099999999999999</v>
      </c>
      <c r="H31" s="74">
        <v>5330.72</v>
      </c>
      <c r="I31" s="75" t="str">
        <f>IF('Detalle 2.0TD'!B419="","Falta PC real",IF('Detalle 2.0TD'!B419&gt;=0.3,"OK · registrar",IF('Detalle 2.0TD'!B419&gt;=0.2,"Revisar margen","Revisar PC/PV")))</f>
        <v>Revisar margen</v>
      </c>
      <c r="K31">
        <f>'Detalle 2.0TD'!AD419</f>
        <v>19.277300000000011</v>
      </c>
    </row>
    <row r="32" spans="1:11" x14ac:dyDescent="0.2">
      <c r="A32" s="69">
        <v>8586</v>
      </c>
      <c r="B32" s="69" t="s">
        <v>408</v>
      </c>
      <c r="C32" s="70" t="s">
        <v>409</v>
      </c>
      <c r="D32" s="69" t="s">
        <v>30</v>
      </c>
      <c r="E32" s="71">
        <f>'Detalle 2.0TD'!B438</f>
        <v>0.29998609087614575</v>
      </c>
      <c r="F32" s="72" t="str">
        <f>'Detalle 2.0TD'!D438</f>
        <v>REVISAR</v>
      </c>
      <c r="G32" s="73">
        <v>0.47270000000000001</v>
      </c>
      <c r="H32" s="74">
        <v>1556.34</v>
      </c>
      <c r="I32" s="75" t="str">
        <f>IF('Detalle 2.0TD'!B438="","Falta PC real",IF('Detalle 2.0TD'!B438&gt;=0.3,"OK · registrar",IF('Detalle 2.0TD'!B438&gt;=0.2,"Revisar margen","Revisar PC/PV")))</f>
        <v>Revisar margen</v>
      </c>
      <c r="K32">
        <f>'Detalle 2.0TD'!AD438</f>
        <v>8.7804000000000002</v>
      </c>
    </row>
    <row r="33" spans="1:11" x14ac:dyDescent="0.2">
      <c r="A33" s="69">
        <v>8588</v>
      </c>
      <c r="B33" s="69" t="s">
        <v>415</v>
      </c>
      <c r="C33" s="70" t="s">
        <v>416</v>
      </c>
      <c r="D33" s="69" t="s">
        <v>30</v>
      </c>
      <c r="E33" s="71">
        <f>'Detalle 2.0TD'!B457</f>
        <v>0.37156634770479335</v>
      </c>
      <c r="F33" s="72" t="str">
        <f>'Detalle 2.0TD'!D457</f>
        <v>APROBAR</v>
      </c>
      <c r="G33" s="73">
        <v>0.46760000000000002</v>
      </c>
      <c r="H33" s="74">
        <v>1874.26</v>
      </c>
      <c r="I33" s="75" t="str">
        <f>IF('Detalle 2.0TD'!B457="","Falta PC real",IF('Detalle 2.0TD'!B457&gt;=0.3,"OK · registrar",IF('Detalle 2.0TD'!B457&gt;=0.2,"Revisar margen","Revisar PC/PV")))</f>
        <v>OK · registrar</v>
      </c>
      <c r="K33">
        <f>'Detalle 2.0TD'!AD457</f>
        <v>6.8999999999999062E-3</v>
      </c>
    </row>
    <row r="34" spans="1:11" x14ac:dyDescent="0.2">
      <c r="A34" s="69">
        <v>8589</v>
      </c>
      <c r="B34" s="69" t="s">
        <v>417</v>
      </c>
      <c r="C34" s="70" t="s">
        <v>418</v>
      </c>
      <c r="D34" s="69" t="s">
        <v>30</v>
      </c>
      <c r="E34" s="71">
        <f>'Detalle 2.0TD'!B476</f>
        <v>0.32105090511353146</v>
      </c>
      <c r="F34" s="72" t="str">
        <f>'Detalle 2.0TD'!D476</f>
        <v>APROBAR</v>
      </c>
      <c r="G34" s="73">
        <v>0.31969999999999998</v>
      </c>
      <c r="H34" s="74">
        <v>3583.48</v>
      </c>
      <c r="I34" s="75" t="str">
        <f>IF('Detalle 2.0TD'!B476="","Falta PC real",IF('Detalle 2.0TD'!B476&gt;=0.3,"OK · registrar",IF('Detalle 2.0TD'!B476&gt;=0.2,"Revisar margen","Revisar PC/PV")))</f>
        <v>OK · registrar</v>
      </c>
      <c r="K34">
        <f>'Detalle 2.0TD'!AD476</f>
        <v>-4.99999999995282E-4</v>
      </c>
    </row>
    <row r="35" spans="1:11" x14ac:dyDescent="0.2">
      <c r="A35" s="69">
        <v>8590</v>
      </c>
      <c r="B35" s="69" t="s">
        <v>419</v>
      </c>
      <c r="C35" s="70" t="s">
        <v>420</v>
      </c>
      <c r="D35" s="69" t="s">
        <v>30</v>
      </c>
      <c r="E35" s="71">
        <f>'Detalle 2.0TD'!B495</f>
        <v>0.30004484104013551</v>
      </c>
      <c r="F35" s="72" t="str">
        <f>'Detalle 2.0TD'!D495</f>
        <v>APROBAR</v>
      </c>
      <c r="G35" s="73">
        <v>0.42959999999999998</v>
      </c>
      <c r="H35" s="74">
        <v>3448.6</v>
      </c>
      <c r="I35" s="75" t="str">
        <f>IF('Detalle 2.0TD'!B495="","Falta PC real",IF('Detalle 2.0TD'!B495&gt;=0.3,"OK · registrar",IF('Detalle 2.0TD'!B495&gt;=0.2,"Revisar margen","Revisar PC/PV")))</f>
        <v>OK · registrar</v>
      </c>
      <c r="K35">
        <f>'Detalle 2.0TD'!AD495</f>
        <v>7.8378999999999976</v>
      </c>
    </row>
    <row r="36" spans="1:11" x14ac:dyDescent="0.2">
      <c r="A36" s="69">
        <v>8593</v>
      </c>
      <c r="B36" s="69" t="s">
        <v>421</v>
      </c>
      <c r="C36" s="70" t="s">
        <v>422</v>
      </c>
      <c r="D36" s="69" t="s">
        <v>30</v>
      </c>
      <c r="E36" s="71">
        <f>'Detalle 2.0TD'!B514</f>
        <v>0.29997654632449711</v>
      </c>
      <c r="F36" s="72" t="str">
        <f>'Detalle 2.0TD'!D514</f>
        <v>REVISAR</v>
      </c>
      <c r="G36" s="73">
        <v>0.46</v>
      </c>
      <c r="H36" s="74">
        <v>4468.12</v>
      </c>
      <c r="I36" s="75" t="str">
        <f>IF('Detalle 2.0TD'!B514="","Falta PC real",IF('Detalle 2.0TD'!B514&gt;=0.3,"OK · registrar",IF('Detalle 2.0TD'!B514&gt;=0.2,"Revisar margen","Revisar PC/PV")))</f>
        <v>Revisar margen</v>
      </c>
      <c r="K36">
        <f>'Detalle 2.0TD'!AD514</f>
        <v>16.914099999999998</v>
      </c>
    </row>
    <row r="37" spans="1:11" x14ac:dyDescent="0.2">
      <c r="A37" s="69">
        <v>8594</v>
      </c>
      <c r="B37" s="69" t="s">
        <v>423</v>
      </c>
      <c r="C37" s="70" t="s">
        <v>424</v>
      </c>
      <c r="D37" s="69" t="s">
        <v>30</v>
      </c>
      <c r="E37" s="71">
        <f>'Detalle 2.0TD'!B533</f>
        <v>0.30009092645803692</v>
      </c>
      <c r="F37" s="72" t="str">
        <f>'Detalle 2.0TD'!D533</f>
        <v>APROBAR</v>
      </c>
      <c r="G37" s="73">
        <v>0.50970000000000004</v>
      </c>
      <c r="H37" s="74">
        <v>1087.08</v>
      </c>
      <c r="I37" s="75" t="str">
        <f>IF('Detalle 2.0TD'!B533="","Falta PC real",IF('Detalle 2.0TD'!B533&gt;=0.3,"OK · registrar",IF('Detalle 2.0TD'!B533&gt;=0.2,"Revisar margen","Revisar PC/PV")))</f>
        <v>OK · registrar</v>
      </c>
      <c r="K37">
        <f>'Detalle 2.0TD'!AD533</f>
        <v>17.0578</v>
      </c>
    </row>
    <row r="38" spans="1:11" x14ac:dyDescent="0.2">
      <c r="A38" s="69">
        <v>8597</v>
      </c>
      <c r="B38" s="69" t="s">
        <v>425</v>
      </c>
      <c r="C38" s="70" t="s">
        <v>426</v>
      </c>
      <c r="D38" s="69" t="s">
        <v>30</v>
      </c>
      <c r="E38" s="71">
        <f>'Detalle 2.0TD'!B552</f>
        <v>0.30004772834253041</v>
      </c>
      <c r="F38" s="72" t="str">
        <f>'Detalle 2.0TD'!D552</f>
        <v>APROBAR</v>
      </c>
      <c r="G38" s="73">
        <v>0.39040000000000002</v>
      </c>
      <c r="H38" s="74">
        <v>3173.99</v>
      </c>
      <c r="I38" s="75" t="str">
        <f>IF('Detalle 2.0TD'!B552="","Falta PC real",IF('Detalle 2.0TD'!B552&gt;=0.3,"OK · registrar",IF('Detalle 2.0TD'!B552&gt;=0.2,"Revisar margen","Revisar PC/PV")))</f>
        <v>OK · registrar</v>
      </c>
      <c r="K38">
        <f>'Detalle 2.0TD'!AD552</f>
        <v>23.281899999999993</v>
      </c>
    </row>
    <row r="39" spans="1:11" x14ac:dyDescent="0.2">
      <c r="A39" s="69">
        <v>8599</v>
      </c>
      <c r="B39" s="69" t="s">
        <v>427</v>
      </c>
      <c r="C39" s="70" t="s">
        <v>428</v>
      </c>
      <c r="D39" s="69" t="s">
        <v>30</v>
      </c>
      <c r="E39" s="71">
        <f>'Detalle 2.0TD'!B571</f>
        <v>0.30028533212777181</v>
      </c>
      <c r="F39" s="72" t="str">
        <f>'Detalle 2.0TD'!D571</f>
        <v>APROBAR</v>
      </c>
      <c r="G39" s="73">
        <v>0.28839999999999999</v>
      </c>
      <c r="H39" s="74">
        <v>910.46</v>
      </c>
      <c r="I39" s="75" t="str">
        <f>IF('Detalle 2.0TD'!B571="","Falta PC real",IF('Detalle 2.0TD'!B571&gt;=0.3,"OK · registrar",IF('Detalle 2.0TD'!B571&gt;=0.2,"Revisar margen","Revisar PC/PV")))</f>
        <v>OK · registrar</v>
      </c>
      <c r="K39">
        <f>'Detalle 2.0TD'!AD571</f>
        <v>6.3638999999999974</v>
      </c>
    </row>
    <row r="40" spans="1:11" x14ac:dyDescent="0.2">
      <c r="A40" s="69">
        <v>8600</v>
      </c>
      <c r="B40" s="69" t="s">
        <v>429</v>
      </c>
      <c r="C40" s="70" t="s">
        <v>430</v>
      </c>
      <c r="D40" s="69" t="s">
        <v>30</v>
      </c>
      <c r="E40" s="71">
        <f>'Detalle 2.0TD'!B590</f>
        <v>0.30002542227688944</v>
      </c>
      <c r="F40" s="72" t="str">
        <f>'Detalle 2.0TD'!D590</f>
        <v>APROBAR</v>
      </c>
      <c r="G40" s="73">
        <v>0.43519999999999998</v>
      </c>
      <c r="H40" s="74">
        <v>5027.47</v>
      </c>
      <c r="I40" s="75" t="str">
        <f>IF('Detalle 2.0TD'!B590="","Falta PC real",IF('Detalle 2.0TD'!B590&gt;=0.3,"OK · registrar",IF('Detalle 2.0TD'!B590&gt;=0.2,"Revisar margen","Revisar PC/PV")))</f>
        <v>OK · registrar</v>
      </c>
      <c r="K40">
        <f>'Detalle 2.0TD'!AD590</f>
        <v>29.913400000000024</v>
      </c>
    </row>
    <row r="41" spans="1:11" x14ac:dyDescent="0.2">
      <c r="A41" s="69">
        <v>8601</v>
      </c>
      <c r="B41" s="69" t="s">
        <v>396</v>
      </c>
      <c r="C41" s="70" t="s">
        <v>397</v>
      </c>
      <c r="D41" s="69" t="s">
        <v>30</v>
      </c>
      <c r="E41" s="71">
        <f>'Detalle 2.0TD'!B604</f>
        <v>0.30013048045436747</v>
      </c>
      <c r="F41" s="72" t="str">
        <f>'Detalle 2.0TD'!D604</f>
        <v>APROBAR</v>
      </c>
      <c r="G41" s="73">
        <v>0.1991</v>
      </c>
      <c r="H41" s="74">
        <v>1674.46</v>
      </c>
      <c r="I41" s="75" t="str">
        <f>IF('Detalle 2.0TD'!B604="","Falta PC real",IF('Detalle 2.0TD'!B604&gt;=0.3,"OK · registrar",IF('Detalle 2.0TD'!B604&gt;=0.2,"Revisar margen","Revisar PC/PV")))</f>
        <v>OK · registrar</v>
      </c>
      <c r="K41">
        <f>'Detalle 2.0TD'!AD604</f>
        <v>7.2281000000000049</v>
      </c>
    </row>
    <row r="42" spans="1:11" x14ac:dyDescent="0.2">
      <c r="A42" s="69">
        <v>8604</v>
      </c>
      <c r="B42" s="69" t="s">
        <v>431</v>
      </c>
      <c r="C42" s="70" t="s">
        <v>432</v>
      </c>
      <c r="D42" s="69" t="s">
        <v>30</v>
      </c>
      <c r="E42" s="71">
        <f>'Detalle 2.0TD'!B623</f>
        <v>0.30003121075584238</v>
      </c>
      <c r="F42" s="72" t="str">
        <f>'Detalle 2.0TD'!D623</f>
        <v>APROBAR</v>
      </c>
      <c r="G42" s="73">
        <v>9.1800000000000007E-2</v>
      </c>
      <c r="H42" s="74">
        <v>1103.81</v>
      </c>
      <c r="I42" s="75" t="str">
        <f>IF('Detalle 2.0TD'!B623="","Falta PC real",IF('Detalle 2.0TD'!B623&gt;=0.3,"OK · registrar",IF('Detalle 2.0TD'!B623&gt;=0.2,"Revisar margen","Revisar PC/PV")))</f>
        <v>OK · registrar</v>
      </c>
      <c r="K42">
        <f>'Detalle 2.0TD'!AD623</f>
        <v>14.3506</v>
      </c>
    </row>
    <row r="43" spans="1:11" x14ac:dyDescent="0.2">
      <c r="A43" s="69">
        <v>8605</v>
      </c>
      <c r="B43" s="69" t="s">
        <v>433</v>
      </c>
      <c r="C43" s="70" t="s">
        <v>434</v>
      </c>
      <c r="D43" s="69" t="s">
        <v>30</v>
      </c>
      <c r="E43" s="71">
        <f>'Detalle 2.0TD'!B642</f>
        <v>0.30005957691855684</v>
      </c>
      <c r="F43" s="72" t="str">
        <f>'Detalle 2.0TD'!D642</f>
        <v>APROBAR</v>
      </c>
      <c r="G43" s="73">
        <v>0.3695</v>
      </c>
      <c r="H43" s="74">
        <v>1904.3</v>
      </c>
      <c r="I43" s="75" t="str">
        <f>IF('Detalle 2.0TD'!B642="","Falta PC real",IF('Detalle 2.0TD'!B642&gt;=0.3,"OK · registrar",IF('Detalle 2.0TD'!B642&gt;=0.2,"Revisar margen","Revisar PC/PV")))</f>
        <v>OK · registrar</v>
      </c>
      <c r="K43">
        <f>'Detalle 2.0TD'!AD642</f>
        <v>14.2835</v>
      </c>
    </row>
    <row r="44" spans="1:11" x14ac:dyDescent="0.2">
      <c r="A44" s="69">
        <v>8606</v>
      </c>
      <c r="B44" s="69" t="s">
        <v>435</v>
      </c>
      <c r="C44" s="70" t="s">
        <v>436</v>
      </c>
      <c r="D44" s="69" t="s">
        <v>30</v>
      </c>
      <c r="E44" s="71">
        <f>'Detalle 2.0TD'!B661</f>
        <v>0.3139113403343613</v>
      </c>
      <c r="F44" s="72" t="str">
        <f>'Detalle 2.0TD'!D661</f>
        <v>APROBAR</v>
      </c>
      <c r="G44" s="73">
        <v>0.4652</v>
      </c>
      <c r="H44" s="74">
        <v>1466.53</v>
      </c>
      <c r="I44" s="75" t="str">
        <f>IF('Detalle 2.0TD'!B661="","Falta PC real",IF('Detalle 2.0TD'!B661&gt;=0.3,"OK · registrar",IF('Detalle 2.0TD'!B661&gt;=0.2,"Revisar margen","Revisar PC/PV")))</f>
        <v>OK · registrar</v>
      </c>
      <c r="K44">
        <f>'Detalle 2.0TD'!AD661</f>
        <v>3.3999999999991815E-3</v>
      </c>
    </row>
    <row r="45" spans="1:11" x14ac:dyDescent="0.2">
      <c r="A45" s="69">
        <v>8607</v>
      </c>
      <c r="B45" s="69" t="s">
        <v>437</v>
      </c>
      <c r="C45" s="70" t="s">
        <v>438</v>
      </c>
      <c r="D45" s="69" t="s">
        <v>30</v>
      </c>
      <c r="E45" s="71">
        <f>'Detalle 2.0TD'!B680</f>
        <v>0.30001227093095895</v>
      </c>
      <c r="F45" s="72" t="str">
        <f>'Detalle 2.0TD'!D680</f>
        <v>APROBAR</v>
      </c>
      <c r="G45" s="73">
        <v>0.49359999999999998</v>
      </c>
      <c r="H45" s="74">
        <v>2318.2600000000002</v>
      </c>
      <c r="I45" s="75" t="str">
        <f>IF('Detalle 2.0TD'!B680="","Falta PC real",IF('Detalle 2.0TD'!B680&gt;=0.3,"OK · registrar",IF('Detalle 2.0TD'!B680&gt;=0.2,"Revisar margen","Revisar PC/PV")))</f>
        <v>OK · registrar</v>
      </c>
      <c r="K45">
        <f>'Detalle 2.0TD'!AD680</f>
        <v>11.607200000000006</v>
      </c>
    </row>
    <row r="46" spans="1:11" x14ac:dyDescent="0.2">
      <c r="A46" s="69">
        <v>8611</v>
      </c>
      <c r="B46" s="69" t="s">
        <v>404</v>
      </c>
      <c r="C46" s="70" t="s">
        <v>405</v>
      </c>
      <c r="D46" s="69" t="s">
        <v>30</v>
      </c>
      <c r="E46" s="71">
        <f>'Detalle 2.0TD'!B699</f>
        <v>0.30004435671700602</v>
      </c>
      <c r="F46" s="72" t="str">
        <f>'Detalle 2.0TD'!D699</f>
        <v>APROBAR</v>
      </c>
      <c r="G46" s="73">
        <v>0.25559999999999999</v>
      </c>
      <c r="H46" s="74">
        <v>1316.57</v>
      </c>
      <c r="I46" s="75" t="str">
        <f>IF('Detalle 2.0TD'!B699="","Falta PC real",IF('Detalle 2.0TD'!B699&gt;=0.3,"OK · registrar",IF('Detalle 2.0TD'!B699&gt;=0.2,"Revisar margen","Revisar PC/PV")))</f>
        <v>OK · registrar</v>
      </c>
      <c r="K46">
        <f>'Detalle 2.0TD'!AD699</f>
        <v>13.680899999999998</v>
      </c>
    </row>
    <row r="47" spans="1:11" x14ac:dyDescent="0.2">
      <c r="A47" s="69">
        <v>8612</v>
      </c>
      <c r="B47" s="69" t="s">
        <v>439</v>
      </c>
      <c r="C47" s="70" t="s">
        <v>440</v>
      </c>
      <c r="D47" s="69" t="s">
        <v>30</v>
      </c>
      <c r="E47" s="71">
        <f>'Detalle 2.0TD'!B718</f>
        <v>0.30002289220916561</v>
      </c>
      <c r="F47" s="72" t="str">
        <f>'Detalle 2.0TD'!D718</f>
        <v>APROBAR</v>
      </c>
      <c r="G47" s="73">
        <v>0.37240000000000001</v>
      </c>
      <c r="H47" s="74">
        <v>2947.02</v>
      </c>
      <c r="I47" s="75" t="str">
        <f>IF('Detalle 2.0TD'!B718="","Falta PC real",IF('Detalle 2.0TD'!B718&gt;=0.3,"OK · registrar",IF('Detalle 2.0TD'!B718&gt;=0.2,"Revisar margen","Revisar PC/PV")))</f>
        <v>OK · registrar</v>
      </c>
      <c r="K47">
        <f>'Detalle 2.0TD'!AD718</f>
        <v>25.439299999999989</v>
      </c>
    </row>
    <row r="48" spans="1:11" x14ac:dyDescent="0.2">
      <c r="A48" s="69">
        <v>8613</v>
      </c>
      <c r="B48" s="69" t="s">
        <v>441</v>
      </c>
      <c r="C48" s="70" t="s">
        <v>442</v>
      </c>
      <c r="D48" s="69" t="s">
        <v>30</v>
      </c>
      <c r="E48" s="71">
        <f>'Detalle 2.0TD'!B737</f>
        <v>0.30002993028130176</v>
      </c>
      <c r="F48" s="72" t="str">
        <f>'Detalle 2.0TD'!D737</f>
        <v>APROBAR</v>
      </c>
      <c r="G48" s="73">
        <v>0.4239</v>
      </c>
      <c r="H48" s="74">
        <v>3342.92</v>
      </c>
      <c r="I48" s="75" t="str">
        <f>IF('Detalle 2.0TD'!B737="","Falta PC real",IF('Detalle 2.0TD'!B737&gt;=0.3,"OK · registrar",IF('Detalle 2.0TD'!B737&gt;=0.2,"Revisar margen","Revisar PC/PV")))</f>
        <v>OK · registrar</v>
      </c>
      <c r="K48">
        <f>'Detalle 2.0TD'!AD737</f>
        <v>19.863700000000001</v>
      </c>
    </row>
    <row r="49" spans="1:11" x14ac:dyDescent="0.2">
      <c r="A49" s="69">
        <v>8614</v>
      </c>
      <c r="B49" s="69" t="s">
        <v>443</v>
      </c>
      <c r="C49" s="70" t="s">
        <v>444</v>
      </c>
      <c r="D49" s="69" t="s">
        <v>30</v>
      </c>
      <c r="E49" s="71">
        <f>'Detalle 2.0TD'!B756</f>
        <v>0.30020445688581321</v>
      </c>
      <c r="F49" s="72" t="str">
        <f>'Detalle 2.0TD'!D756</f>
        <v>APROBAR</v>
      </c>
      <c r="G49" s="73">
        <v>0.32300000000000001</v>
      </c>
      <c r="H49" s="74">
        <v>755.04</v>
      </c>
      <c r="I49" s="75" t="str">
        <f>IF('Detalle 2.0TD'!B756="","Falta PC real",IF('Detalle 2.0TD'!B756&gt;=0.3,"OK · registrar",IF('Detalle 2.0TD'!B756&gt;=0.2,"Revisar margen","Revisar PC/PV")))</f>
        <v>OK · registrar</v>
      </c>
      <c r="K49">
        <f>'Detalle 2.0TD'!AD756</f>
        <v>5.3493999999999993</v>
      </c>
    </row>
    <row r="50" spans="1:11" x14ac:dyDescent="0.2">
      <c r="A50" s="69">
        <v>8617</v>
      </c>
      <c r="B50" s="69" t="s">
        <v>445</v>
      </c>
      <c r="C50" s="70" t="s">
        <v>446</v>
      </c>
      <c r="D50" s="69" t="s">
        <v>30</v>
      </c>
      <c r="E50" s="71">
        <f>'Detalle 2.0TD'!B775</f>
        <v>0.30015950413739262</v>
      </c>
      <c r="F50" s="72" t="str">
        <f>'Detalle 2.0TD'!D775</f>
        <v>APROBAR</v>
      </c>
      <c r="G50" s="73">
        <v>0.34449999999999997</v>
      </c>
      <c r="H50" s="74">
        <v>840.98</v>
      </c>
      <c r="I50" s="75" t="str">
        <f>IF('Detalle 2.0TD'!B775="","Falta PC real",IF('Detalle 2.0TD'!B775&gt;=0.3,"OK · registrar",IF('Detalle 2.0TD'!B775&gt;=0.2,"Revisar margen","Revisar PC/PV")))</f>
        <v>OK · registrar</v>
      </c>
      <c r="K50">
        <f>'Detalle 2.0TD'!AD775</f>
        <v>7.0733000000000015</v>
      </c>
    </row>
    <row r="51" spans="1:11" x14ac:dyDescent="0.2">
      <c r="A51" s="69">
        <v>8618</v>
      </c>
      <c r="B51" s="69" t="s">
        <v>398</v>
      </c>
      <c r="C51" s="70" t="s">
        <v>399</v>
      </c>
      <c r="D51" s="69" t="s">
        <v>30</v>
      </c>
      <c r="E51" s="71">
        <f>'Detalle 2.0TD'!B794</f>
        <v>0.29998179066431035</v>
      </c>
      <c r="F51" s="72" t="str">
        <f>'Detalle 2.0TD'!D794</f>
        <v>REVISAR</v>
      </c>
      <c r="G51" s="73">
        <v>0.30769999999999997</v>
      </c>
      <c r="H51" s="74">
        <v>2373.4299999999998</v>
      </c>
      <c r="I51" s="75" t="str">
        <f>IF('Detalle 2.0TD'!B794="","Falta PC real",IF('Detalle 2.0TD'!B794&gt;=0.3,"OK · registrar",IF('Detalle 2.0TD'!B794&gt;=0.2,"Revisar margen","Revisar PC/PV")))</f>
        <v>Revisar margen</v>
      </c>
      <c r="K51">
        <f>'Detalle 2.0TD'!AD794</f>
        <v>10.183900000000001</v>
      </c>
    </row>
    <row r="52" spans="1:11" x14ac:dyDescent="0.2">
      <c r="A52" s="69">
        <v>8620</v>
      </c>
      <c r="B52" s="69" t="s">
        <v>447</v>
      </c>
      <c r="C52" s="70" t="s">
        <v>448</v>
      </c>
      <c r="D52" s="69" t="s">
        <v>30</v>
      </c>
      <c r="E52" s="71">
        <f>'Detalle 2.0TD'!B813</f>
        <v>0.30026167879137811</v>
      </c>
      <c r="F52" s="72" t="str">
        <f>'Detalle 2.0TD'!D813</f>
        <v>APROBAR</v>
      </c>
      <c r="G52" s="73">
        <v>0.34239999999999998</v>
      </c>
      <c r="H52" s="74">
        <v>1175.92</v>
      </c>
      <c r="I52" s="75" t="str">
        <f>IF('Detalle 2.0TD'!B813="","Falta PC real",IF('Detalle 2.0TD'!B813&gt;=0.3,"OK · registrar",IF('Detalle 2.0TD'!B813&gt;=0.2,"Revisar margen","Revisar PC/PV")))</f>
        <v>OK · registrar</v>
      </c>
      <c r="K52">
        <f>'Detalle 2.0TD'!AD813</f>
        <v>5.8044000000000011</v>
      </c>
    </row>
    <row r="53" spans="1:11" x14ac:dyDescent="0.2">
      <c r="A53" s="69">
        <v>8621</v>
      </c>
      <c r="B53" s="69" t="s">
        <v>406</v>
      </c>
      <c r="C53" s="70" t="s">
        <v>407</v>
      </c>
      <c r="D53" s="69" t="s">
        <v>30</v>
      </c>
      <c r="E53" s="71">
        <f>'Detalle 2.0TD'!B832</f>
        <v>0.30032925877378436</v>
      </c>
      <c r="F53" s="72" t="str">
        <f>'Detalle 2.0TD'!D832</f>
        <v>APROBAR</v>
      </c>
      <c r="G53" s="73">
        <v>4.0000000000000002E-4</v>
      </c>
      <c r="H53" s="74">
        <v>638.64</v>
      </c>
      <c r="I53" s="75" t="str">
        <f>IF('Detalle 2.0TD'!B832="","Falta PC real",IF('Detalle 2.0TD'!B832&gt;=0.3,"OK · registrar",IF('Detalle 2.0TD'!B832&gt;=0.2,"Revisar margen","Revisar PC/PV")))</f>
        <v>OK · registrar</v>
      </c>
      <c r="K53">
        <f>'Detalle 2.0TD'!AD832</f>
        <v>6.3609</v>
      </c>
    </row>
    <row r="54" spans="1:11" x14ac:dyDescent="0.2">
      <c r="A54" s="69">
        <v>8622</v>
      </c>
      <c r="B54" s="69" t="s">
        <v>449</v>
      </c>
      <c r="C54" s="70" t="s">
        <v>450</v>
      </c>
      <c r="D54" s="69" t="s">
        <v>30</v>
      </c>
      <c r="E54" s="71">
        <f>'Detalle 2.0TD'!B851</f>
        <v>0.36428090778011657</v>
      </c>
      <c r="F54" s="72" t="str">
        <f>'Detalle 2.0TD'!D851</f>
        <v>APROBAR</v>
      </c>
      <c r="G54" s="73">
        <v>0.31280000000000002</v>
      </c>
      <c r="H54" s="74">
        <v>4238.97</v>
      </c>
      <c r="I54" s="75" t="str">
        <f>IF('Detalle 2.0TD'!B851="","Falta PC real",IF('Detalle 2.0TD'!B851&gt;=0.3,"OK · registrar",IF('Detalle 2.0TD'!B851&gt;=0.2,"Revisar margen","Revisar PC/PV")))</f>
        <v>OK · registrar</v>
      </c>
      <c r="K54">
        <f>'Detalle 2.0TD'!AD851</f>
        <v>9.8000000000126875E-3</v>
      </c>
    </row>
    <row r="55" spans="1:11" x14ac:dyDescent="0.2">
      <c r="A55" s="69">
        <v>8623</v>
      </c>
      <c r="B55" s="69" t="s">
        <v>390</v>
      </c>
      <c r="C55" s="70" t="s">
        <v>391</v>
      </c>
      <c r="D55" s="69" t="s">
        <v>30</v>
      </c>
      <c r="E55" s="71">
        <f>'Detalle 2.0TD'!B870</f>
        <v>0.29999905058764342</v>
      </c>
      <c r="F55" s="72" t="str">
        <f>'Detalle 2.0TD'!D870</f>
        <v>REVISAR</v>
      </c>
      <c r="G55" s="73">
        <v>0.30309999999999998</v>
      </c>
      <c r="H55" s="74">
        <v>2280.5300000000002</v>
      </c>
      <c r="I55" s="75" t="str">
        <f>IF('Detalle 2.0TD'!B870="","Falta PC real",IF('Detalle 2.0TD'!B870&gt;=0.3,"OK · registrar",IF('Detalle 2.0TD'!B870&gt;=0.2,"Revisar margen","Revisar PC/PV")))</f>
        <v>Revisar margen</v>
      </c>
      <c r="K55">
        <f>'Detalle 2.0TD'!AD870</f>
        <v>16.567300000000017</v>
      </c>
    </row>
    <row r="56" spans="1:11" x14ac:dyDescent="0.2">
      <c r="A56" s="69">
        <v>8624</v>
      </c>
      <c r="B56" s="69" t="s">
        <v>451</v>
      </c>
      <c r="C56" s="70" t="s">
        <v>452</v>
      </c>
      <c r="D56" s="69" t="s">
        <v>30</v>
      </c>
      <c r="E56" s="71">
        <f>'Detalle 2.0TD'!B889</f>
        <v>0.30001405261627906</v>
      </c>
      <c r="F56" s="72" t="str">
        <f>'Detalle 2.0TD'!D889</f>
        <v>APROBAR</v>
      </c>
      <c r="G56" s="73">
        <v>0.27100000000000002</v>
      </c>
      <c r="H56" s="74">
        <v>3219.58</v>
      </c>
      <c r="I56" s="75" t="str">
        <f>IF('Detalle 2.0TD'!B889="","Falta PC real",IF('Detalle 2.0TD'!B889&gt;=0.3,"OK · registrar",IF('Detalle 2.0TD'!B889&gt;=0.2,"Revisar margen","Revisar PC/PV")))</f>
        <v>OK · registrar</v>
      </c>
      <c r="K56">
        <f>'Detalle 2.0TD'!AD889</f>
        <v>15.451900000000002</v>
      </c>
    </row>
    <row r="57" spans="1:11" x14ac:dyDescent="0.2">
      <c r="A57" s="69">
        <v>8625</v>
      </c>
      <c r="B57" s="69" t="s">
        <v>453</v>
      </c>
      <c r="C57" s="70" t="s">
        <v>454</v>
      </c>
      <c r="D57" s="69" t="s">
        <v>30</v>
      </c>
      <c r="E57" s="71">
        <f>'Detalle 2.0TD'!B903</f>
        <v>0.30005550447450569</v>
      </c>
      <c r="F57" s="72" t="str">
        <f>'Detalle 2.0TD'!D903</f>
        <v>APROBAR</v>
      </c>
      <c r="G57" s="73">
        <v>0.2944</v>
      </c>
      <c r="H57" s="74">
        <v>1840.65</v>
      </c>
      <c r="I57" s="75" t="str">
        <f>IF('Detalle 2.0TD'!B903="","Falta PC real",IF('Detalle 2.0TD'!B903&gt;=0.3,"OK · registrar",IF('Detalle 2.0TD'!B903&gt;=0.2,"Revisar margen","Revisar PC/PV")))</f>
        <v>OK · registrar</v>
      </c>
      <c r="K57">
        <f>'Detalle 2.0TD'!AD903</f>
        <v>16.067600000000002</v>
      </c>
    </row>
    <row r="58" spans="1:11" x14ac:dyDescent="0.2">
      <c r="A58" s="69">
        <v>8626</v>
      </c>
      <c r="B58" s="69" t="s">
        <v>455</v>
      </c>
      <c r="C58" s="70" t="s">
        <v>456</v>
      </c>
      <c r="D58" s="69" t="s">
        <v>30</v>
      </c>
      <c r="E58" s="71">
        <f>'Detalle 2.0TD'!B917</f>
        <v>0.30001460873900276</v>
      </c>
      <c r="F58" s="72" t="str">
        <f>'Detalle 2.0TD'!D917</f>
        <v>APROBAR</v>
      </c>
      <c r="G58" s="73">
        <v>8.5599999999999996E-2</v>
      </c>
      <c r="H58" s="74">
        <v>936.83</v>
      </c>
      <c r="I58" s="75" t="str">
        <f>IF('Detalle 2.0TD'!B917="","Falta PC real",IF('Detalle 2.0TD'!B917&gt;=0.3,"OK · registrar",IF('Detalle 2.0TD'!B917&gt;=0.2,"Revisar margen","Revisar PC/PV")))</f>
        <v>OK · registrar</v>
      </c>
      <c r="K58">
        <f>'Detalle 2.0TD'!AD917</f>
        <v>13.572900000000002</v>
      </c>
    </row>
    <row r="59" spans="1:11" x14ac:dyDescent="0.2">
      <c r="A59" s="69">
        <v>8627</v>
      </c>
      <c r="B59" s="69" t="s">
        <v>457</v>
      </c>
      <c r="C59" s="70" t="s">
        <v>458</v>
      </c>
      <c r="D59" s="69" t="s">
        <v>30</v>
      </c>
      <c r="E59" s="71">
        <f>'Detalle 2.0TD'!B936</f>
        <v>0.3001273305095542</v>
      </c>
      <c r="F59" s="72" t="str">
        <f>'Detalle 2.0TD'!D936</f>
        <v>APROBAR</v>
      </c>
      <c r="G59" s="73">
        <v>0.30380000000000001</v>
      </c>
      <c r="H59" s="74">
        <v>1173.8800000000001</v>
      </c>
      <c r="I59" s="75" t="str">
        <f>IF('Detalle 2.0TD'!B936="","Falta PC real",IF('Detalle 2.0TD'!B936&gt;=0.3,"OK · registrar",IF('Detalle 2.0TD'!B936&gt;=0.2,"Revisar margen","Revisar PC/PV")))</f>
        <v>OK · registrar</v>
      </c>
      <c r="K59">
        <f>'Detalle 2.0TD'!AD936</f>
        <v>10.456399999999999</v>
      </c>
    </row>
    <row r="60" spans="1:11" x14ac:dyDescent="0.2">
      <c r="A60" s="69">
        <v>8628</v>
      </c>
      <c r="B60" s="69" t="s">
        <v>459</v>
      </c>
      <c r="C60" s="70" t="s">
        <v>460</v>
      </c>
      <c r="D60" s="69" t="s">
        <v>30</v>
      </c>
      <c r="E60" s="71">
        <f>'Detalle 2.0TD'!B955</f>
        <v>0.30005441056768556</v>
      </c>
      <c r="F60" s="72" t="str">
        <f>'Detalle 2.0TD'!D955</f>
        <v>APROBAR</v>
      </c>
      <c r="G60" s="73">
        <v>0.22919999999999999</v>
      </c>
      <c r="H60" s="74">
        <v>3231.67</v>
      </c>
      <c r="I60" s="75" t="str">
        <f>IF('Detalle 2.0TD'!B955="","Falta PC real",IF('Detalle 2.0TD'!B955&gt;=0.3,"OK · registrar",IF('Detalle 2.0TD'!B955&gt;=0.2,"Revisar margen","Revisar PC/PV")))</f>
        <v>OK · registrar</v>
      </c>
      <c r="K60">
        <f>'Detalle 2.0TD'!AD955</f>
        <v>25.233000000000004</v>
      </c>
    </row>
    <row r="61" spans="1:11" x14ac:dyDescent="0.2">
      <c r="A61" s="69">
        <v>8630</v>
      </c>
      <c r="B61" s="69" t="s">
        <v>461</v>
      </c>
      <c r="C61" s="70" t="s">
        <v>462</v>
      </c>
      <c r="D61" s="69" t="s">
        <v>30</v>
      </c>
      <c r="E61" s="71">
        <f>'Detalle 2.0TD'!B969</f>
        <v>0.29991349457836886</v>
      </c>
      <c r="F61" s="72" t="str">
        <f>'Detalle 2.0TD'!D969</f>
        <v>REVISAR</v>
      </c>
      <c r="G61" s="73">
        <v>0.378</v>
      </c>
      <c r="H61" s="74">
        <v>2148.3200000000002</v>
      </c>
      <c r="I61" s="75" t="str">
        <f>IF('Detalle 2.0TD'!B969="","Falta PC real",IF('Detalle 2.0TD'!B969&gt;=0.3,"OK · registrar",IF('Detalle 2.0TD'!B969&gt;=0.2,"Revisar margen","Revisar PC/PV")))</f>
        <v>Revisar margen</v>
      </c>
      <c r="K61">
        <f>'Detalle 2.0TD'!AD969</f>
        <v>9.5093000000000103</v>
      </c>
    </row>
    <row r="62" spans="1:11" x14ac:dyDescent="0.2">
      <c r="A62" s="69">
        <v>8631</v>
      </c>
      <c r="B62" s="69" t="s">
        <v>463</v>
      </c>
      <c r="C62" s="70" t="s">
        <v>464</v>
      </c>
      <c r="D62" s="69" t="s">
        <v>30</v>
      </c>
      <c r="E62" s="71">
        <f>'Detalle 2.0TD'!B988</f>
        <v>0.29999699328958818</v>
      </c>
      <c r="F62" s="72" t="str">
        <f>'Detalle 2.0TD'!D988</f>
        <v>REVISAR</v>
      </c>
      <c r="G62" s="73">
        <v>0.32440000000000002</v>
      </c>
      <c r="H62" s="74">
        <v>13789.11</v>
      </c>
      <c r="I62" s="75" t="str">
        <f>IF('Detalle 2.0TD'!B988="","Falta PC real",IF('Detalle 2.0TD'!B988&gt;=0.3,"OK · registrar",IF('Detalle 2.0TD'!B988&gt;=0.2,"Revisar margen","Revisar PC/PV")))</f>
        <v>Revisar margen</v>
      </c>
      <c r="K62">
        <f>'Detalle 2.0TD'!AD988</f>
        <v>174.64379999999994</v>
      </c>
    </row>
    <row r="63" spans="1:11" x14ac:dyDescent="0.2">
      <c r="A63" s="69">
        <v>8632</v>
      </c>
      <c r="B63" s="69" t="s">
        <v>465</v>
      </c>
      <c r="C63" s="70" t="s">
        <v>466</v>
      </c>
      <c r="D63" s="69" t="s">
        <v>30</v>
      </c>
      <c r="E63" s="71">
        <f>'Detalle 2.0TD'!B1002</f>
        <v>0.29993279714512294</v>
      </c>
      <c r="F63" s="72" t="str">
        <f>'Detalle 2.0TD'!D1002</f>
        <v>REVISAR</v>
      </c>
      <c r="G63" s="73">
        <v>0.36799999999999999</v>
      </c>
      <c r="H63" s="74">
        <v>1850.34</v>
      </c>
      <c r="I63" s="75" t="str">
        <f>IF('Detalle 2.0TD'!B1002="","Falta PC real",IF('Detalle 2.0TD'!B1002&gt;=0.3,"OK · registrar",IF('Detalle 2.0TD'!B1002&gt;=0.2,"Revisar margen","Revisar PC/PV")))</f>
        <v>Revisar margen</v>
      </c>
      <c r="K63">
        <f>'Detalle 2.0TD'!AD1002</f>
        <v>9.9684000000000026</v>
      </c>
    </row>
    <row r="64" spans="1:11" x14ac:dyDescent="0.2">
      <c r="A64" s="69">
        <v>8633</v>
      </c>
      <c r="B64" s="69" t="s">
        <v>467</v>
      </c>
      <c r="C64" s="70" t="s">
        <v>468</v>
      </c>
      <c r="D64" s="69" t="s">
        <v>30</v>
      </c>
      <c r="E64" s="71">
        <f>'Detalle 2.0TD'!B1016</f>
        <v>0.30000685787766457</v>
      </c>
      <c r="F64" s="72" t="str">
        <f>'Detalle 2.0TD'!D1016</f>
        <v>APROBAR</v>
      </c>
      <c r="G64" s="73">
        <v>0.2792</v>
      </c>
      <c r="H64" s="74">
        <v>2070.0500000000002</v>
      </c>
      <c r="I64" s="75" t="str">
        <f>IF('Detalle 2.0TD'!B1016="","Falta PC real",IF('Detalle 2.0TD'!B1016&gt;=0.3,"OK · registrar",IF('Detalle 2.0TD'!B1016&gt;=0.2,"Revisar margen","Revisar PC/PV")))</f>
        <v>OK · registrar</v>
      </c>
      <c r="K64">
        <f>'Detalle 2.0TD'!AD1016</f>
        <v>10.335999999999999</v>
      </c>
    </row>
    <row r="65" spans="1:11" x14ac:dyDescent="0.2">
      <c r="A65" s="69">
        <v>8634</v>
      </c>
      <c r="B65" s="69" t="s">
        <v>469</v>
      </c>
      <c r="C65" s="70" t="s">
        <v>470</v>
      </c>
      <c r="D65" s="69" t="s">
        <v>30</v>
      </c>
      <c r="E65" s="71">
        <f>'Detalle 2.0TD'!B1035</f>
        <v>0.20721250353728493</v>
      </c>
      <c r="F65" s="72" t="str">
        <f>'Detalle 2.0TD'!D1035</f>
        <v>REVISAR</v>
      </c>
      <c r="G65" s="73">
        <v>-0.82399999999999995</v>
      </c>
      <c r="H65" s="74">
        <v>282.36</v>
      </c>
      <c r="I65" s="75" t="str">
        <f>IF('Detalle 2.0TD'!B1035="","Falta PC real",IF('Detalle 2.0TD'!B1035&gt;=0.3,"OK · registrar",IF('Detalle 2.0TD'!B1035&gt;=0.2,"Revisar margen","Revisar PC/PV")))</f>
        <v>Revisar margen</v>
      </c>
      <c r="K65">
        <f>'Detalle 2.0TD'!AD1035</f>
        <v>1.5999999999998238E-3</v>
      </c>
    </row>
    <row r="66" spans="1:11" x14ac:dyDescent="0.2">
      <c r="A66" s="69">
        <v>8636</v>
      </c>
      <c r="B66" s="69" t="s">
        <v>471</v>
      </c>
      <c r="C66" s="70" t="s">
        <v>472</v>
      </c>
      <c r="D66" s="69" t="s">
        <v>30</v>
      </c>
      <c r="E66" s="71">
        <f>'Detalle 2.0TD'!B1054</f>
        <v>0.30001998681318687</v>
      </c>
      <c r="F66" s="72" t="str">
        <f>'Detalle 2.0TD'!D1054</f>
        <v>APROBAR</v>
      </c>
      <c r="G66" s="73">
        <v>0.27750000000000002</v>
      </c>
      <c r="H66" s="74">
        <v>2326.6799999999998</v>
      </c>
      <c r="I66" s="75" t="str">
        <f>IF('Detalle 2.0TD'!B1054="","Falta PC real",IF('Detalle 2.0TD'!B1054&gt;=0.3,"OK · registrar",IF('Detalle 2.0TD'!B1054&gt;=0.2,"Revisar margen","Revisar PC/PV")))</f>
        <v>OK · registrar</v>
      </c>
      <c r="K66">
        <f>'Detalle 2.0TD'!AD1054</f>
        <v>11.352799999999998</v>
      </c>
    </row>
    <row r="67" spans="1:11" x14ac:dyDescent="0.2">
      <c r="A67" s="69">
        <v>8637</v>
      </c>
      <c r="B67" s="69" t="s">
        <v>473</v>
      </c>
      <c r="C67" s="70" t="s">
        <v>474</v>
      </c>
      <c r="D67" s="69" t="s">
        <v>30</v>
      </c>
      <c r="E67" s="71">
        <f>'Detalle 2.0TD'!B1073</f>
        <v>0.29999813464153635</v>
      </c>
      <c r="F67" s="72" t="str">
        <f>'Detalle 2.0TD'!D1073</f>
        <v>REVISAR</v>
      </c>
      <c r="G67" s="73">
        <v>0.30869999999999997</v>
      </c>
      <c r="H67" s="74">
        <v>5393.13</v>
      </c>
      <c r="I67" s="75" t="str">
        <f>IF('Detalle 2.0TD'!B1073="","Falta PC real",IF('Detalle 2.0TD'!B1073&gt;=0.3,"OK · registrar",IF('Detalle 2.0TD'!B1073&gt;=0.2,"Revisar margen","Revisar PC/PV")))</f>
        <v>Revisar margen</v>
      </c>
      <c r="K67">
        <f>'Detalle 2.0TD'!AD1073</f>
        <v>21.7911</v>
      </c>
    </row>
    <row r="68" spans="1:11" x14ac:dyDescent="0.2">
      <c r="A68" s="69">
        <v>8639</v>
      </c>
      <c r="B68" s="69" t="s">
        <v>475</v>
      </c>
      <c r="C68" s="70" t="s">
        <v>476</v>
      </c>
      <c r="D68" s="69" t="s">
        <v>30</v>
      </c>
      <c r="E68" s="71">
        <f>'Detalle 2.0TD'!B1087</f>
        <v>0.30000555142308044</v>
      </c>
      <c r="F68" s="72" t="str">
        <f>'Detalle 2.0TD'!D1087</f>
        <v>APROBAR</v>
      </c>
      <c r="G68" s="73">
        <v>0.33600000000000002</v>
      </c>
      <c r="H68" s="74">
        <v>1989.67</v>
      </c>
      <c r="I68" s="75" t="str">
        <f>IF('Detalle 2.0TD'!B1087="","Falta PC real",IF('Detalle 2.0TD'!B1087&gt;=0.3,"OK · registrar",IF('Detalle 2.0TD'!B1087&gt;=0.2,"Revisar margen","Revisar PC/PV")))</f>
        <v>OK · registrar</v>
      </c>
      <c r="K68">
        <f>'Detalle 2.0TD'!AD1087</f>
        <v>20.332800000000006</v>
      </c>
    </row>
    <row r="69" spans="1:11" x14ac:dyDescent="0.2">
      <c r="A69" s="69">
        <v>8640</v>
      </c>
      <c r="B69" s="69" t="s">
        <v>477</v>
      </c>
      <c r="C69" s="70" t="s">
        <v>478</v>
      </c>
      <c r="D69" s="69" t="s">
        <v>30</v>
      </c>
      <c r="E69" s="71">
        <f>'Detalle 2.0TD'!B1101</f>
        <v>0.29999239878966438</v>
      </c>
      <c r="F69" s="72" t="str">
        <f>'Detalle 2.0TD'!D1101</f>
        <v>REVISAR</v>
      </c>
      <c r="G69" s="73">
        <v>0.3488</v>
      </c>
      <c r="H69" s="74">
        <v>7310.54</v>
      </c>
      <c r="I69" s="75" t="str">
        <f>IF('Detalle 2.0TD'!B1101="","Falta PC real",IF('Detalle 2.0TD'!B1101&gt;=0.3,"OK · registrar",IF('Detalle 2.0TD'!B1101&gt;=0.2,"Revisar margen","Revisar PC/PV")))</f>
        <v>Revisar margen</v>
      </c>
      <c r="K69">
        <f>'Detalle 2.0TD'!AD1101</f>
        <v>76.53329999999994</v>
      </c>
    </row>
    <row r="70" spans="1:11" x14ac:dyDescent="0.2">
      <c r="A70" s="69">
        <v>8642</v>
      </c>
      <c r="B70" s="69" t="s">
        <v>479</v>
      </c>
      <c r="C70" s="70" t="s">
        <v>480</v>
      </c>
      <c r="D70" s="69" t="s">
        <v>30</v>
      </c>
      <c r="E70" s="71">
        <f>'Detalle 2.0TD'!B1115</f>
        <v>0.29987194334054179</v>
      </c>
      <c r="F70" s="72" t="str">
        <f>'Detalle 2.0TD'!D1115</f>
        <v>REVISAR</v>
      </c>
      <c r="G70" s="73">
        <v>0.22509999999999999</v>
      </c>
      <c r="H70" s="74">
        <v>1291.58</v>
      </c>
      <c r="I70" s="75" t="str">
        <f>IF('Detalle 2.0TD'!B1115="","Falta PC real",IF('Detalle 2.0TD'!B1115&gt;=0.3,"OK · registrar",IF('Detalle 2.0TD'!B1115&gt;=0.2,"Revisar margen","Revisar PC/PV")))</f>
        <v>Revisar margen</v>
      </c>
      <c r="K70">
        <f>'Detalle 2.0TD'!AD1115</f>
        <v>9.2566999999999986</v>
      </c>
    </row>
    <row r="71" spans="1:11" x14ac:dyDescent="0.2">
      <c r="A71" s="69">
        <v>8645</v>
      </c>
      <c r="B71" s="69" t="s">
        <v>481</v>
      </c>
      <c r="C71" s="70" t="s">
        <v>482</v>
      </c>
      <c r="D71" s="69" t="s">
        <v>30</v>
      </c>
      <c r="E71" s="71">
        <f>'Detalle 2.0TD'!B1134</f>
        <v>0.30022182531107733</v>
      </c>
      <c r="F71" s="72" t="str">
        <f>'Detalle 2.0TD'!D1134</f>
        <v>APROBAR</v>
      </c>
      <c r="G71" s="73">
        <v>0.2601</v>
      </c>
      <c r="H71" s="74">
        <v>669.11</v>
      </c>
      <c r="I71" s="75" t="str">
        <f>IF('Detalle 2.0TD'!B1134="","Falta PC real",IF('Detalle 2.0TD'!B1134&gt;=0.3,"OK · registrar",IF('Detalle 2.0TD'!B1134&gt;=0.2,"Revisar margen","Revisar PC/PV")))</f>
        <v>OK · registrar</v>
      </c>
      <c r="K71">
        <f>'Detalle 2.0TD'!AD1134</f>
        <v>7.7514999999999983</v>
      </c>
    </row>
    <row r="72" spans="1:11" x14ac:dyDescent="0.2">
      <c r="A72" s="69">
        <v>8646</v>
      </c>
      <c r="B72" s="69" t="s">
        <v>483</v>
      </c>
      <c r="C72" s="70" t="s">
        <v>482</v>
      </c>
      <c r="D72" s="69" t="s">
        <v>30</v>
      </c>
      <c r="E72" s="71">
        <f>'Detalle 2.0TD'!B1148</f>
        <v>0.30001424908775598</v>
      </c>
      <c r="F72" s="72" t="str">
        <f>'Detalle 2.0TD'!D1148</f>
        <v>APROBAR</v>
      </c>
      <c r="G72" s="73">
        <v>0.13450000000000001</v>
      </c>
      <c r="H72" s="74">
        <v>3661.58</v>
      </c>
      <c r="I72" s="75" t="str">
        <f>IF('Detalle 2.0TD'!B1148="","Falta PC real",IF('Detalle 2.0TD'!B1148&gt;=0.3,"OK · registrar",IF('Detalle 2.0TD'!B1148&gt;=0.2,"Revisar margen","Revisar PC/PV")))</f>
        <v>OK · registrar</v>
      </c>
      <c r="K72">
        <f>'Detalle 2.0TD'!AD1148</f>
        <v>45.575999999999993</v>
      </c>
    </row>
    <row r="73" spans="1:11" x14ac:dyDescent="0.2">
      <c r="A73" s="69">
        <v>8647</v>
      </c>
      <c r="B73" s="69" t="s">
        <v>484</v>
      </c>
      <c r="C73" s="70" t="s">
        <v>482</v>
      </c>
      <c r="D73" s="69" t="s">
        <v>30</v>
      </c>
      <c r="E73" s="71">
        <f>'Detalle 2.0TD'!B1162</f>
        <v>0.30009195514588866</v>
      </c>
      <c r="F73" s="72" t="str">
        <f>'Detalle 2.0TD'!D1162</f>
        <v>APROBAR</v>
      </c>
      <c r="G73" s="73">
        <v>0.1953</v>
      </c>
      <c r="H73" s="74">
        <v>1401.63</v>
      </c>
      <c r="I73" s="75" t="str">
        <f>IF('Detalle 2.0TD'!B1162="","Falta PC real",IF('Detalle 2.0TD'!B1162&gt;=0.3,"OK · registrar",IF('Detalle 2.0TD'!B1162&gt;=0.2,"Revisar margen","Revisar PC/PV")))</f>
        <v>OK · registrar</v>
      </c>
      <c r="K73">
        <f>'Detalle 2.0TD'!AD1162</f>
        <v>15.106900000000003</v>
      </c>
    </row>
    <row r="74" spans="1:11" x14ac:dyDescent="0.2">
      <c r="A74" s="69">
        <v>8648</v>
      </c>
      <c r="B74" s="69" t="s">
        <v>485</v>
      </c>
      <c r="C74" s="70" t="s">
        <v>63</v>
      </c>
      <c r="D74" s="69" t="s">
        <v>30</v>
      </c>
      <c r="E74" s="71">
        <f>'Detalle 2.0TD'!B1176</f>
        <v>0.30000206853368561</v>
      </c>
      <c r="F74" s="72" t="str">
        <f>'Detalle 2.0TD'!D1176</f>
        <v>APROBAR</v>
      </c>
      <c r="G74" s="73">
        <v>0.2432</v>
      </c>
      <c r="H74" s="74">
        <v>1364.97</v>
      </c>
      <c r="I74" s="75" t="str">
        <f>IF('Detalle 2.0TD'!B1176="","Falta PC real",IF('Detalle 2.0TD'!B1176&gt;=0.3,"OK · registrar",IF('Detalle 2.0TD'!B1176&gt;=0.2,"Revisar margen","Revisar PC/PV")))</f>
        <v>OK · registrar</v>
      </c>
      <c r="K74">
        <f>'Detalle 2.0TD'!AD1176</f>
        <v>16.791299999999993</v>
      </c>
    </row>
    <row r="75" spans="1:11" x14ac:dyDescent="0.2">
      <c r="A75" s="69">
        <v>8650</v>
      </c>
      <c r="B75" s="69" t="s">
        <v>400</v>
      </c>
      <c r="C75" s="70" t="s">
        <v>401</v>
      </c>
      <c r="D75" s="69" t="s">
        <v>30</v>
      </c>
      <c r="E75" s="71">
        <f>'Detalle 2.0TD'!B1190</f>
        <v>0.29999239096484659</v>
      </c>
      <c r="F75" s="72" t="str">
        <f>'Detalle 2.0TD'!D1190</f>
        <v>REVISAR</v>
      </c>
      <c r="G75" s="73">
        <v>5.3800000000000001E-2</v>
      </c>
      <c r="H75" s="74">
        <v>609.46</v>
      </c>
      <c r="I75" s="75" t="str">
        <f>IF('Detalle 2.0TD'!B1190="","Falta PC real",IF('Detalle 2.0TD'!B1190&gt;=0.3,"OK · registrar",IF('Detalle 2.0TD'!B1190&gt;=0.2,"Revisar margen","Revisar PC/PV")))</f>
        <v>Revisar margen</v>
      </c>
      <c r="K75">
        <f>'Detalle 2.0TD'!AD1190</f>
        <v>2.9781000000000013</v>
      </c>
    </row>
    <row r="76" spans="1:11" x14ac:dyDescent="0.2">
      <c r="A76" s="69">
        <v>8651</v>
      </c>
      <c r="B76" s="69" t="s">
        <v>486</v>
      </c>
      <c r="C76" s="70" t="s">
        <v>487</v>
      </c>
      <c r="D76" s="69" t="s">
        <v>30</v>
      </c>
      <c r="E76" s="71">
        <f>'Detalle 2.0TD'!B1209</f>
        <v>0.30002556911214956</v>
      </c>
      <c r="F76" s="72" t="str">
        <f>'Detalle 2.0TD'!D1209</f>
        <v>APROBAR</v>
      </c>
      <c r="G76" s="73">
        <v>0.3125</v>
      </c>
      <c r="H76" s="74">
        <v>2035.12</v>
      </c>
      <c r="I76" s="75" t="str">
        <f>IF('Detalle 2.0TD'!B1209="","Falta PC real",IF('Detalle 2.0TD'!B1209&gt;=0.3,"OK · registrar",IF('Detalle 2.0TD'!B1209&gt;=0.2,"Revisar margen","Revisar PC/PV")))</f>
        <v>OK · registrar</v>
      </c>
      <c r="K76">
        <f>'Detalle 2.0TD'!AD1209</f>
        <v>22.370200000000011</v>
      </c>
    </row>
    <row r="77" spans="1:11" x14ac:dyDescent="0.2">
      <c r="A77" s="69">
        <v>8653</v>
      </c>
      <c r="B77" s="69" t="s">
        <v>488</v>
      </c>
      <c r="C77" s="70" t="s">
        <v>489</v>
      </c>
      <c r="D77" s="69" t="s">
        <v>30</v>
      </c>
      <c r="E77" s="71">
        <f>'Detalle 2.0TD'!B1223</f>
        <v>0.30010864964385253</v>
      </c>
      <c r="F77" s="72" t="str">
        <f>'Detalle 2.0TD'!D1223</f>
        <v>APROBAR</v>
      </c>
      <c r="G77" s="73">
        <v>0.11890000000000001</v>
      </c>
      <c r="H77" s="74">
        <v>597.67999999999995</v>
      </c>
      <c r="I77" s="75" t="str">
        <f>IF('Detalle 2.0TD'!B1223="","Falta PC real",IF('Detalle 2.0TD'!B1223&gt;=0.3,"OK · registrar",IF('Detalle 2.0TD'!B1223&gt;=0.2,"Revisar margen","Revisar PC/PV")))</f>
        <v>OK · registrar</v>
      </c>
      <c r="K77">
        <f>'Detalle 2.0TD'!AD1223</f>
        <v>15.596599999999999</v>
      </c>
    </row>
    <row r="78" spans="1:11" x14ac:dyDescent="0.2">
      <c r="A78" s="69">
        <v>8655</v>
      </c>
      <c r="B78" s="69" t="s">
        <v>490</v>
      </c>
      <c r="C78" s="70" t="s">
        <v>491</v>
      </c>
      <c r="D78" s="69" t="s">
        <v>30</v>
      </c>
      <c r="E78" s="71">
        <f>'Detalle 2.0TD'!B1237</f>
        <v>0.15935029945450049</v>
      </c>
      <c r="F78" s="72" t="str">
        <f>'Detalle 2.0TD'!D1237</f>
        <v>RECHAZAR</v>
      </c>
      <c r="G78" s="73">
        <v>-0.12670000000000001</v>
      </c>
      <c r="H78" s="74">
        <v>194.94</v>
      </c>
      <c r="I78" s="75" t="str">
        <f>IF('Detalle 2.0TD'!B1237="","Falta PC real",IF('Detalle 2.0TD'!B1237&gt;=0.3,"OK · registrar",IF('Detalle 2.0TD'!B1237&gt;=0.2,"Revisar margen","Revisar PC/PV")))</f>
        <v>Revisar PC/PV</v>
      </c>
      <c r="K78">
        <f>'Detalle 2.0TD'!AD1237</f>
        <v>2.6000000000010459E-3</v>
      </c>
    </row>
    <row r="79" spans="1:11" x14ac:dyDescent="0.2">
      <c r="A79" s="69">
        <v>8656</v>
      </c>
      <c r="B79" s="69" t="s">
        <v>492</v>
      </c>
      <c r="C79" s="70" t="s">
        <v>493</v>
      </c>
      <c r="D79" s="69" t="s">
        <v>30</v>
      </c>
      <c r="E79" s="71">
        <f>'Detalle 2.0TD'!B1251</f>
        <v>0.30002549352893881</v>
      </c>
      <c r="F79" s="72" t="str">
        <f>'Detalle 2.0TD'!D1251</f>
        <v>APROBAR</v>
      </c>
      <c r="G79" s="73">
        <v>-1.7000000000000001E-2</v>
      </c>
      <c r="H79" s="74">
        <v>1439.26</v>
      </c>
      <c r="I79" s="75" t="str">
        <f>IF('Detalle 2.0TD'!B1251="","Falta PC real",IF('Detalle 2.0TD'!B1251&gt;=0.3,"OK · registrar",IF('Detalle 2.0TD'!B1251&gt;=0.2,"Revisar margen","Revisar PC/PV")))</f>
        <v>OK · registrar</v>
      </c>
      <c r="K79">
        <f>'Detalle 2.0TD'!AD1251</f>
        <v>26.609299999999998</v>
      </c>
    </row>
    <row r="80" spans="1:11" x14ac:dyDescent="0.2">
      <c r="A80" s="69">
        <v>8657</v>
      </c>
      <c r="B80" s="69" t="s">
        <v>494</v>
      </c>
      <c r="C80" s="70" t="s">
        <v>495</v>
      </c>
      <c r="D80" s="69" t="s">
        <v>30</v>
      </c>
      <c r="E80" s="71">
        <f>'Detalle 2.0TD'!B1265</f>
        <v>0.29999604714985412</v>
      </c>
      <c r="F80" s="72" t="str">
        <f>'Detalle 2.0TD'!D1265</f>
        <v>REVISAR</v>
      </c>
      <c r="G80" s="73">
        <v>8.0600000000000005E-2</v>
      </c>
      <c r="H80" s="74">
        <v>4242.2299999999996</v>
      </c>
      <c r="I80" s="75" t="str">
        <f>IF('Detalle 2.0TD'!B1265="","Falta PC real",IF('Detalle 2.0TD'!B1265&gt;=0.3,"OK · registrar",IF('Detalle 2.0TD'!B1265&gt;=0.2,"Revisar margen","Revisar PC/PV")))</f>
        <v>Revisar margen</v>
      </c>
      <c r="K80">
        <f>'Detalle 2.0TD'!AD1265</f>
        <v>111.07799999999992</v>
      </c>
    </row>
    <row r="81" spans="1:11" x14ac:dyDescent="0.2">
      <c r="A81" s="69">
        <v>8658</v>
      </c>
      <c r="B81" s="69" t="s">
        <v>496</v>
      </c>
      <c r="C81" s="70" t="s">
        <v>497</v>
      </c>
      <c r="D81" s="69" t="s">
        <v>30</v>
      </c>
      <c r="E81" s="71">
        <f>'Detalle 2.0TD'!B1279</f>
        <v>0.29995371679999994</v>
      </c>
      <c r="F81" s="72" t="str">
        <f>'Detalle 2.0TD'!D1279</f>
        <v>REVISAR</v>
      </c>
      <c r="G81" s="73">
        <v>0.35020000000000001</v>
      </c>
      <c r="H81" s="74">
        <v>944.84</v>
      </c>
      <c r="I81" s="75" t="str">
        <f>IF('Detalle 2.0TD'!B1279="","Falta PC real",IF('Detalle 2.0TD'!B1279&gt;=0.3,"OK · registrar",IF('Detalle 2.0TD'!B1279&gt;=0.2,"Revisar margen","Revisar PC/PV")))</f>
        <v>Revisar margen</v>
      </c>
      <c r="K81">
        <f>'Detalle 2.0TD'!AD1279</f>
        <v>27.638799999999989</v>
      </c>
    </row>
    <row r="82" spans="1:11" x14ac:dyDescent="0.2">
      <c r="A82" s="69">
        <v>8659</v>
      </c>
      <c r="B82" s="69" t="s">
        <v>498</v>
      </c>
      <c r="C82" s="70" t="s">
        <v>499</v>
      </c>
      <c r="D82" s="69" t="s">
        <v>30</v>
      </c>
      <c r="E82" s="71">
        <f>'Detalle 2.0TD'!B1293</f>
        <v>0.24737253939215095</v>
      </c>
      <c r="F82" s="72" t="str">
        <f>'Detalle 2.0TD'!D1293</f>
        <v>REVISAR</v>
      </c>
      <c r="G82" s="73">
        <v>0.29260000000000003</v>
      </c>
      <c r="H82" s="74">
        <v>416.78</v>
      </c>
      <c r="I82" s="75" t="str">
        <f>IF('Detalle 2.0TD'!B1293="","Falta PC real",IF('Detalle 2.0TD'!B1293&gt;=0.3,"OK · registrar",IF('Detalle 2.0TD'!B1293&gt;=0.2,"Revisar margen","Revisar PC/PV")))</f>
        <v>Revisar margen</v>
      </c>
      <c r="K82">
        <f>'Detalle 2.0TD'!AD1293</f>
        <v>16.3429</v>
      </c>
    </row>
    <row r="83" spans="1:11" x14ac:dyDescent="0.2">
      <c r="A83" s="69">
        <v>8660</v>
      </c>
      <c r="B83" s="69" t="s">
        <v>500</v>
      </c>
      <c r="C83" s="70" t="s">
        <v>501</v>
      </c>
      <c r="D83" s="69" t="s">
        <v>30</v>
      </c>
      <c r="E83" s="71">
        <f>'Detalle 2.0TD'!B1307</f>
        <v>0.29999035715210881</v>
      </c>
      <c r="F83" s="72" t="str">
        <f>'Detalle 2.0TD'!D1307</f>
        <v>REVISAR</v>
      </c>
      <c r="G83" s="73">
        <v>0.2427</v>
      </c>
      <c r="H83" s="74">
        <v>1451.67</v>
      </c>
      <c r="I83" s="75" t="str">
        <f>IF('Detalle 2.0TD'!B1307="","Falta PC real",IF('Detalle 2.0TD'!B1307&gt;=0.3,"OK · registrar",IF('Detalle 2.0TD'!B1307&gt;=0.2,"Revisar margen","Revisar PC/PV")))</f>
        <v>Revisar margen</v>
      </c>
      <c r="K83">
        <f>'Detalle 2.0TD'!AD1307</f>
        <v>19.239599999999996</v>
      </c>
    </row>
    <row r="84" spans="1:11" x14ac:dyDescent="0.2">
      <c r="A84" s="69">
        <v>8662</v>
      </c>
      <c r="B84" s="69" t="s">
        <v>502</v>
      </c>
      <c r="C84" s="70" t="s">
        <v>503</v>
      </c>
      <c r="D84" s="69" t="s">
        <v>30</v>
      </c>
      <c r="E84" s="71">
        <f>'Detalle 2.0TD'!B1321</f>
        <v>0.30000519978889961</v>
      </c>
      <c r="F84" s="72" t="str">
        <f>'Detalle 2.0TD'!D1321</f>
        <v>APROBAR</v>
      </c>
      <c r="G84" s="73">
        <v>0.20530000000000001</v>
      </c>
      <c r="H84" s="74">
        <v>338.33</v>
      </c>
      <c r="I84" s="75" t="str">
        <f>IF('Detalle 2.0TD'!B1321="","Falta PC real",IF('Detalle 2.0TD'!B1321&gt;=0.3,"OK · registrar",IF('Detalle 2.0TD'!B1321&gt;=0.2,"Revisar margen","Revisar PC/PV")))</f>
        <v>OK · registrar</v>
      </c>
      <c r="K84">
        <f>'Detalle 2.0TD'!AD1321</f>
        <v>19.124600000000008</v>
      </c>
    </row>
    <row r="85" spans="1:11" x14ac:dyDescent="0.2">
      <c r="A85" s="69">
        <v>8663</v>
      </c>
      <c r="B85" s="69" t="s">
        <v>504</v>
      </c>
      <c r="C85" s="70" t="s">
        <v>505</v>
      </c>
      <c r="D85" s="69" t="s">
        <v>30</v>
      </c>
      <c r="E85" s="71">
        <f>'Detalle 2.0TD'!B1335</f>
        <v>0.30005910294117627</v>
      </c>
      <c r="F85" s="72" t="str">
        <f>'Detalle 2.0TD'!D1335</f>
        <v>APROBAR</v>
      </c>
      <c r="G85" s="73">
        <v>0.1704</v>
      </c>
      <c r="H85" s="74">
        <v>233.61</v>
      </c>
      <c r="I85" s="75" t="str">
        <f>IF('Detalle 2.0TD'!B1335="","Falta PC real",IF('Detalle 2.0TD'!B1335&gt;=0.3,"OK · registrar",IF('Detalle 2.0TD'!B1335&gt;=0.2,"Revisar margen","Revisar PC/PV")))</f>
        <v>OK · registrar</v>
      </c>
      <c r="K85">
        <f>'Detalle 2.0TD'!AD1335</f>
        <v>23.301199999999994</v>
      </c>
    </row>
    <row r="86" spans="1:11" x14ac:dyDescent="0.2">
      <c r="A86" s="69">
        <v>8665</v>
      </c>
      <c r="B86" s="69" t="s">
        <v>506</v>
      </c>
      <c r="C86" s="70" t="s">
        <v>507</v>
      </c>
      <c r="D86" s="69" t="s">
        <v>30</v>
      </c>
      <c r="E86" s="71">
        <f>'Detalle 2.0TD'!B1349</f>
        <v>0.25814076589809276</v>
      </c>
      <c r="F86" s="72" t="str">
        <f>'Detalle 2.0TD'!D1349</f>
        <v>REVISAR</v>
      </c>
      <c r="G86" s="73">
        <v>0.19389999999999999</v>
      </c>
      <c r="H86" s="74">
        <v>274.94</v>
      </c>
      <c r="I86" s="75" t="str">
        <f>IF('Detalle 2.0TD'!B1349="","Falta PC real",IF('Detalle 2.0TD'!B1349&gt;=0.3,"OK · registrar",IF('Detalle 2.0TD'!B1349&gt;=0.2,"Revisar margen","Revisar PC/PV")))</f>
        <v>Revisar margen</v>
      </c>
      <c r="K86">
        <f>'Detalle 2.0TD'!AD1349</f>
        <v>19.144100000000002</v>
      </c>
    </row>
    <row r="87" spans="1:11" x14ac:dyDescent="0.2">
      <c r="A87" s="69">
        <v>8666</v>
      </c>
      <c r="B87" s="69" t="s">
        <v>508</v>
      </c>
      <c r="C87" s="70" t="s">
        <v>509</v>
      </c>
      <c r="D87" s="69" t="s">
        <v>30</v>
      </c>
      <c r="E87" s="71">
        <f>'Detalle 2.0TD'!B1363</f>
        <v>0.29998451421407574</v>
      </c>
      <c r="F87" s="72" t="str">
        <f>'Detalle 2.0TD'!D1363</f>
        <v>REVISAR</v>
      </c>
      <c r="G87" s="73">
        <v>0.2397</v>
      </c>
      <c r="H87" s="74">
        <v>167.54</v>
      </c>
      <c r="I87" s="75" t="str">
        <f>IF('Detalle 2.0TD'!B1363="","Falta PC real",IF('Detalle 2.0TD'!B1363&gt;=0.3,"OK · registrar",IF('Detalle 2.0TD'!B1363&gt;=0.2,"Revisar margen","Revisar PC/PV")))</f>
        <v>Revisar margen</v>
      </c>
      <c r="K87">
        <f>'Detalle 2.0TD'!AD1363</f>
        <v>11.749299999999998</v>
      </c>
    </row>
    <row r="88" spans="1:11" x14ac:dyDescent="0.2">
      <c r="A88" s="69">
        <v>8667</v>
      </c>
      <c r="B88" s="69" t="s">
        <v>392</v>
      </c>
      <c r="C88" s="70" t="s">
        <v>393</v>
      </c>
      <c r="D88" s="69" t="s">
        <v>30</v>
      </c>
      <c r="E88" s="71">
        <f>'Detalle 2.0TD'!B1377</f>
        <v>0.30001681726155144</v>
      </c>
      <c r="F88" s="72" t="str">
        <f>'Detalle 2.0TD'!D1377</f>
        <v>APROBAR</v>
      </c>
      <c r="G88" s="73">
        <v>0.35399999999999998</v>
      </c>
      <c r="H88" s="74">
        <v>452.94</v>
      </c>
      <c r="I88" s="75" t="str">
        <f>IF('Detalle 2.0TD'!B1377="","Falta PC real",IF('Detalle 2.0TD'!B1377&gt;=0.3,"OK · registrar",IF('Detalle 2.0TD'!B1377&gt;=0.2,"Revisar margen","Revisar PC/PV")))</f>
        <v>OK · registrar</v>
      </c>
      <c r="K88">
        <f>'Detalle 2.0TD'!AD1377</f>
        <v>44.717499999999987</v>
      </c>
    </row>
    <row r="89" spans="1:11" x14ac:dyDescent="0.2">
      <c r="A89" s="69">
        <v>8670</v>
      </c>
      <c r="B89" s="69" t="s">
        <v>510</v>
      </c>
      <c r="C89" s="70" t="s">
        <v>511</v>
      </c>
      <c r="D89" s="69" t="s">
        <v>30</v>
      </c>
      <c r="E89" s="71">
        <f>'Detalle 2.0TD'!B1391</f>
        <v>0.30001410958959235</v>
      </c>
      <c r="F89" s="72" t="str">
        <f>'Detalle 2.0TD'!D1391</f>
        <v>APROBAR</v>
      </c>
      <c r="G89" s="73">
        <v>0.28000000000000003</v>
      </c>
      <c r="H89" s="74">
        <v>563.42999999999995</v>
      </c>
      <c r="I89" s="75" t="str">
        <f>IF('Detalle 2.0TD'!B1391="","Falta PC real",IF('Detalle 2.0TD'!B1391&gt;=0.3,"OK · registrar",IF('Detalle 2.0TD'!B1391&gt;=0.2,"Revisar margen","Revisar PC/PV")))</f>
        <v>OK · registrar</v>
      </c>
      <c r="K89">
        <f>'Detalle 2.0TD'!AD1391</f>
        <v>39.807899999999989</v>
      </c>
    </row>
    <row r="90" spans="1:11" x14ac:dyDescent="0.2">
      <c r="A90" s="69">
        <v>8671</v>
      </c>
      <c r="B90" s="69" t="s">
        <v>512</v>
      </c>
      <c r="C90" s="70" t="s">
        <v>513</v>
      </c>
      <c r="D90" s="69" t="s">
        <v>30</v>
      </c>
      <c r="E90" s="71">
        <f>'Detalle 2.0TD'!B1405</f>
        <v>0.13328534776012074</v>
      </c>
      <c r="F90" s="72" t="str">
        <f>'Detalle 2.0TD'!D1405</f>
        <v>RECHAZAR</v>
      </c>
      <c r="G90" s="73">
        <v>0.2041</v>
      </c>
      <c r="H90" s="74">
        <v>145.19999999999999</v>
      </c>
      <c r="I90" s="75" t="str">
        <f>IF('Detalle 2.0TD'!B1405="","Falta PC real",IF('Detalle 2.0TD'!B1405&gt;=0.3,"OK · registrar",IF('Detalle 2.0TD'!B1405&gt;=0.2,"Revisar margen","Revisar PC/PV")))</f>
        <v>Revisar PC/PV</v>
      </c>
      <c r="K90">
        <f>'Detalle 2.0TD'!AD1405</f>
        <v>-3.6999999999949296E-3</v>
      </c>
    </row>
    <row r="91" spans="1:11" x14ac:dyDescent="0.2">
      <c r="A91" s="69">
        <v>8672</v>
      </c>
      <c r="B91" s="69" t="s">
        <v>514</v>
      </c>
      <c r="C91" s="70" t="s">
        <v>515</v>
      </c>
      <c r="D91" s="69" t="s">
        <v>30</v>
      </c>
      <c r="E91" s="71">
        <f>'Detalle 2.0TD'!B1419</f>
        <v>0.14430626736548577</v>
      </c>
      <c r="F91" s="72" t="str">
        <f>'Detalle 2.0TD'!D1419</f>
        <v>RECHAZAR</v>
      </c>
      <c r="G91" s="70"/>
      <c r="H91" s="70"/>
      <c r="I91" s="75" t="str">
        <f>IF('Detalle 2.0TD'!B1419="","Falta PC real",IF('Detalle 2.0TD'!B1419&gt;=0.3,"OK · registrar",IF('Detalle 2.0TD'!B1419&gt;=0.2,"Revisar margen","Revisar PC/PV")))</f>
        <v>Revisar PC/PV</v>
      </c>
      <c r="K91">
        <f>'Detalle 2.0TD'!AD1419</f>
        <v>-5.7000000000044793E-3</v>
      </c>
    </row>
    <row r="92" spans="1:11" x14ac:dyDescent="0.2">
      <c r="A92" s="69">
        <v>8674</v>
      </c>
      <c r="B92" s="69" t="s">
        <v>394</v>
      </c>
      <c r="C92" s="70" t="s">
        <v>395</v>
      </c>
      <c r="D92" s="69" t="s">
        <v>30</v>
      </c>
      <c r="E92" s="71">
        <f>'Detalle 2.0TD'!B1433</f>
        <v>0.15852432592820817</v>
      </c>
      <c r="F92" s="72" t="str">
        <f>'Detalle 2.0TD'!D1433</f>
        <v>RECHAZAR</v>
      </c>
      <c r="G92" s="73">
        <v>1</v>
      </c>
      <c r="H92" s="74">
        <v>2.65</v>
      </c>
      <c r="I92" s="75" t="str">
        <f>IF('Detalle 2.0TD'!B1433="","Falta PC real",IF('Detalle 2.0TD'!B1433&gt;=0.3,"OK · registrar",IF('Detalle 2.0TD'!B1433&gt;=0.2,"Revisar margen","Revisar PC/PV")))</f>
        <v>Revisar PC/PV</v>
      </c>
      <c r="K92">
        <f>'Detalle 2.0TD'!AD1433</f>
        <v>-8.0000000001234639E-4</v>
      </c>
    </row>
    <row r="93" spans="1:11" x14ac:dyDescent="0.2">
      <c r="A93" s="69">
        <v>8676</v>
      </c>
      <c r="B93" s="69" t="s">
        <v>516</v>
      </c>
      <c r="C93" s="70" t="s">
        <v>517</v>
      </c>
      <c r="D93" s="69" t="s">
        <v>30</v>
      </c>
      <c r="E93" s="71">
        <f>'Detalle 2.0TD'!B1447</f>
        <v>0.16525708433385838</v>
      </c>
      <c r="F93" s="72" t="str">
        <f>'Detalle 2.0TD'!D1447</f>
        <v>RECHAZAR</v>
      </c>
      <c r="G93" s="73">
        <v>1</v>
      </c>
      <c r="H93" s="74">
        <v>3.77</v>
      </c>
      <c r="I93" s="75" t="str">
        <f>IF('Detalle 2.0TD'!B1447="","Falta PC real",IF('Detalle 2.0TD'!B1447&gt;=0.3,"OK · registrar",IF('Detalle 2.0TD'!B1447&gt;=0.2,"Revisar margen","Revisar PC/PV")))</f>
        <v>Revisar PC/PV</v>
      </c>
      <c r="K93">
        <f>'Detalle 2.0TD'!AD1447</f>
        <v>-4.400000000032378E-3</v>
      </c>
    </row>
    <row r="94" spans="1:11" x14ac:dyDescent="0.2">
      <c r="A94" s="69">
        <v>8677</v>
      </c>
      <c r="B94" s="69" t="s">
        <v>518</v>
      </c>
      <c r="C94" s="70" t="s">
        <v>519</v>
      </c>
      <c r="D94" s="69" t="s">
        <v>30</v>
      </c>
      <c r="E94" s="71">
        <f>'Detalle 2.0TD'!B1461</f>
        <v>0.20549392916501771</v>
      </c>
      <c r="F94" s="72" t="str">
        <f>'Detalle 2.0TD'!D1461</f>
        <v>REVISAR</v>
      </c>
      <c r="G94" s="73">
        <v>1</v>
      </c>
      <c r="H94" s="74">
        <v>3.17</v>
      </c>
      <c r="I94" s="75" t="str">
        <f>IF('Detalle 2.0TD'!B1461="","Falta PC real",IF('Detalle 2.0TD'!B1461&gt;=0.3,"OK · registrar",IF('Detalle 2.0TD'!B1461&gt;=0.2,"Revisar margen","Revisar PC/PV")))</f>
        <v>Revisar margen</v>
      </c>
      <c r="K94">
        <f>'Detalle 2.0TD'!AD1461</f>
        <v>1.089999999999236E-2</v>
      </c>
    </row>
    <row r="95" spans="1:11" x14ac:dyDescent="0.2">
      <c r="A95" s="69">
        <v>8678</v>
      </c>
      <c r="B95" s="69" t="s">
        <v>520</v>
      </c>
      <c r="C95" s="70" t="s">
        <v>521</v>
      </c>
      <c r="D95" s="69" t="s">
        <v>30</v>
      </c>
      <c r="E95" s="71">
        <f>'Detalle 2.0TD'!B1475</f>
        <v>0.19502710523060873</v>
      </c>
      <c r="F95" s="72" t="str">
        <f>'Detalle 2.0TD'!D1475</f>
        <v>RECHAZAR</v>
      </c>
      <c r="G95" s="73">
        <v>1</v>
      </c>
      <c r="H95" s="74">
        <v>3.07</v>
      </c>
      <c r="I95" s="75" t="str">
        <f>IF('Detalle 2.0TD'!B1475="","Falta PC real",IF('Detalle 2.0TD'!B1475&gt;=0.3,"OK · registrar",IF('Detalle 2.0TD'!B1475&gt;=0.2,"Revisar margen","Revisar PC/PV")))</f>
        <v>Revisar PC/PV</v>
      </c>
      <c r="K95">
        <f>'Detalle 2.0TD'!AD1475</f>
        <v>3.6000000000058208E-3</v>
      </c>
    </row>
    <row r="96" spans="1:11" x14ac:dyDescent="0.2">
      <c r="A96" s="69">
        <v>8679</v>
      </c>
      <c r="B96" s="69" t="s">
        <v>522</v>
      </c>
      <c r="C96" s="70" t="s">
        <v>523</v>
      </c>
      <c r="D96" s="69" t="s">
        <v>30</v>
      </c>
      <c r="E96" s="71">
        <f>'Detalle 2.0TD'!B1489</f>
        <v>0.14012933346966586</v>
      </c>
      <c r="F96" s="72" t="str">
        <f>'Detalle 2.0TD'!D1489</f>
        <v>RECHAZAR</v>
      </c>
      <c r="G96" s="73">
        <v>1</v>
      </c>
      <c r="H96" s="74">
        <v>3.15</v>
      </c>
      <c r="I96" s="75" t="str">
        <f>IF('Detalle 2.0TD'!B1489="","Falta PC real",IF('Detalle 2.0TD'!B1489&gt;=0.3,"OK · registrar",IF('Detalle 2.0TD'!B1489&gt;=0.2,"Revisar margen","Revisar PC/PV")))</f>
        <v>Revisar PC/PV</v>
      </c>
      <c r="K96">
        <f>'Detalle 2.0TD'!AD1489</f>
        <v>-1.7999999999993577E-3</v>
      </c>
    </row>
    <row r="97" spans="1:11" x14ac:dyDescent="0.2">
      <c r="A97" s="69">
        <v>8680</v>
      </c>
      <c r="B97" s="69" t="s">
        <v>524</v>
      </c>
      <c r="C97" s="70" t="s">
        <v>525</v>
      </c>
      <c r="D97" s="69" t="s">
        <v>526</v>
      </c>
      <c r="E97" s="71">
        <f>'Detalle 2.0TD'!B1503</f>
        <v>-4.447850807669089E-2</v>
      </c>
      <c r="F97" s="72" t="str">
        <f>'Detalle 2.0TD'!D1503</f>
        <v>RECHAZAR</v>
      </c>
      <c r="G97" s="70"/>
      <c r="H97" s="70"/>
      <c r="I97" s="75" t="str">
        <f>IF('Detalle 2.0TD'!B1503="","Falta PC real",IF('Detalle 2.0TD'!B1503&gt;=0.3,"OK · registrar",IF('Detalle 2.0TD'!B1503&gt;=0.2,"Revisar margen","Revisar PC/PV")))</f>
        <v>Revisar PC/PV</v>
      </c>
      <c r="K97">
        <f>'Detalle 2.0TD'!AD1503</f>
        <v>-1.4000000000038426E-3</v>
      </c>
    </row>
    <row r="98" spans="1:11" x14ac:dyDescent="0.2">
      <c r="A98" s="69">
        <v>8681</v>
      </c>
      <c r="B98" s="69" t="s">
        <v>527</v>
      </c>
      <c r="C98" s="70" t="s">
        <v>519</v>
      </c>
      <c r="D98" s="69" t="s">
        <v>526</v>
      </c>
      <c r="E98" s="71">
        <f>'Detalle 2.0TD'!B1517</f>
        <v>-9.1232327876412264E-2</v>
      </c>
      <c r="F98" s="72" t="str">
        <f>'Detalle 2.0TD'!D1517</f>
        <v>RECHAZAR</v>
      </c>
      <c r="G98" s="73">
        <v>1</v>
      </c>
      <c r="H98" s="74">
        <v>1.22</v>
      </c>
      <c r="I98" s="75" t="str">
        <f>IF('Detalle 2.0TD'!B1517="","Falta PC real",IF('Detalle 2.0TD'!B1517&gt;=0.3,"OK · registrar",IF('Detalle 2.0TD'!B1517&gt;=0.2,"Revisar margen","Revisar PC/PV")))</f>
        <v>Revisar PC/PV</v>
      </c>
      <c r="K98">
        <f>'Detalle 2.0TD'!AD1517</f>
        <v>5.5000000000049454E-3</v>
      </c>
    </row>
    <row r="99" spans="1:11" x14ac:dyDescent="0.2">
      <c r="A99" s="69">
        <v>8682</v>
      </c>
      <c r="B99" s="69" t="s">
        <v>528</v>
      </c>
      <c r="C99" s="70" t="s">
        <v>454</v>
      </c>
      <c r="D99" s="69" t="s">
        <v>30</v>
      </c>
      <c r="E99" s="71">
        <f>'Detalle 2.0TD'!B1531</f>
        <v>0.19200775692076213</v>
      </c>
      <c r="F99" s="72" t="str">
        <f>'Detalle 2.0TD'!D1531</f>
        <v>RECHAZAR</v>
      </c>
      <c r="G99" s="73">
        <v>1</v>
      </c>
      <c r="H99" s="74">
        <v>3.47</v>
      </c>
      <c r="I99" s="75" t="str">
        <f>IF('Detalle 2.0TD'!B1531="","Falta PC real",IF('Detalle 2.0TD'!B1531&gt;=0.3,"OK · registrar",IF('Detalle 2.0TD'!B1531&gt;=0.2,"Revisar margen","Revisar PC/PV")))</f>
        <v>Revisar PC/PV</v>
      </c>
      <c r="K99">
        <f>'Detalle 2.0TD'!AD1531</f>
        <v>4.7999999999959186E-3</v>
      </c>
    </row>
    <row r="100" spans="1:11" x14ac:dyDescent="0.2">
      <c r="A100" s="69">
        <v>8683</v>
      </c>
      <c r="B100" s="69" t="s">
        <v>529</v>
      </c>
      <c r="C100" s="70" t="s">
        <v>530</v>
      </c>
      <c r="D100" s="69" t="s">
        <v>30</v>
      </c>
      <c r="E100" s="71">
        <f>'Detalle 2.0TD'!B1545</f>
        <v>0.20981102546724553</v>
      </c>
      <c r="F100" s="72" t="str">
        <f>'Detalle 2.0TD'!D1545</f>
        <v>REVISAR</v>
      </c>
      <c r="G100" s="73">
        <v>1</v>
      </c>
      <c r="H100" s="74">
        <v>3.75</v>
      </c>
      <c r="I100" s="75" t="str">
        <f>IF('Detalle 2.0TD'!B1545="","Falta PC real",IF('Detalle 2.0TD'!B1545&gt;=0.3,"OK · registrar",IF('Detalle 2.0TD'!B1545&gt;=0.2,"Revisar margen","Revisar PC/PV")))</f>
        <v>Revisar margen</v>
      </c>
      <c r="K100">
        <f>'Detalle 2.0TD'!AD1545</f>
        <v>-5.0000000000096634E-3</v>
      </c>
    </row>
    <row r="101" spans="1:11" x14ac:dyDescent="0.2">
      <c r="A101" s="69">
        <v>8685</v>
      </c>
      <c r="B101" s="69" t="s">
        <v>531</v>
      </c>
      <c r="C101" s="70" t="s">
        <v>532</v>
      </c>
      <c r="D101" s="69" t="s">
        <v>30</v>
      </c>
      <c r="E101" s="71">
        <f>'Detalle 2.0TD'!B1559</f>
        <v>9.3701390274841478E-2</v>
      </c>
      <c r="F101" s="72" t="str">
        <f>'Detalle 2.0TD'!D1559</f>
        <v>RECHAZAR</v>
      </c>
      <c r="G101" s="73">
        <v>1</v>
      </c>
      <c r="H101" s="74">
        <v>1.24</v>
      </c>
      <c r="I101" s="75" t="str">
        <f>IF('Detalle 2.0TD'!B1559="","Falta PC real",IF('Detalle 2.0TD'!B1559&gt;=0.3,"OK · registrar",IF('Detalle 2.0TD'!B1559&gt;=0.2,"Revisar margen","Revisar PC/PV")))</f>
        <v>Revisar PC/PV</v>
      </c>
      <c r="K101">
        <f>'Detalle 2.0TD'!AD1559</f>
        <v>4.8000000000030241E-3</v>
      </c>
    </row>
    <row r="102" spans="1:11" x14ac:dyDescent="0.2">
      <c r="A102" s="69">
        <v>8686</v>
      </c>
      <c r="B102" s="69" t="s">
        <v>533</v>
      </c>
      <c r="C102" s="70" t="s">
        <v>534</v>
      </c>
      <c r="D102" s="69" t="s">
        <v>30</v>
      </c>
      <c r="E102" s="71">
        <f>'Detalle 2.0TD'!B1573</f>
        <v>0.10940855202146693</v>
      </c>
      <c r="F102" s="72" t="str">
        <f>'Detalle 2.0TD'!D1573</f>
        <v>RECHAZAR</v>
      </c>
      <c r="G102" s="73">
        <v>1</v>
      </c>
      <c r="H102" s="74">
        <v>2.17</v>
      </c>
      <c r="I102" s="75" t="str">
        <f>IF('Detalle 2.0TD'!B1573="","Falta PC real",IF('Detalle 2.0TD'!B1573&gt;=0.3,"OK · registrar",IF('Detalle 2.0TD'!B1573&gt;=0.2,"Revisar margen","Revisar PC/PV")))</f>
        <v>Revisar PC/PV</v>
      </c>
      <c r="K102">
        <f>'Detalle 2.0TD'!AD1573</f>
        <v>-2.5000000000003908E-3</v>
      </c>
    </row>
    <row r="103" spans="1:11" x14ac:dyDescent="0.2">
      <c r="A103" s="69">
        <v>8687</v>
      </c>
      <c r="B103" s="69" t="s">
        <v>535</v>
      </c>
      <c r="C103" s="70" t="s">
        <v>536</v>
      </c>
      <c r="D103" s="69" t="s">
        <v>30</v>
      </c>
      <c r="E103" s="71">
        <f>'Detalle 2.0TD'!B1587</f>
        <v>0.18718627522321421</v>
      </c>
      <c r="F103" s="72" t="str">
        <f>'Detalle 2.0TD'!D1587</f>
        <v>RECHAZAR</v>
      </c>
      <c r="G103" s="73">
        <v>1</v>
      </c>
      <c r="H103" s="74">
        <v>-2.42</v>
      </c>
      <c r="I103" s="75" t="str">
        <f>IF('Detalle 2.0TD'!B1587="","Falta PC real",IF('Detalle 2.0TD'!B1587&gt;=0.3,"OK · registrar",IF('Detalle 2.0TD'!B1587&gt;=0.2,"Revisar margen","Revisar PC/PV")))</f>
        <v>Revisar PC/PV</v>
      </c>
      <c r="K103">
        <f>'Detalle 2.0TD'!AD1587</f>
        <v>-5.5000000000013927E-3</v>
      </c>
    </row>
    <row r="104" spans="1:11" x14ac:dyDescent="0.2">
      <c r="A104" s="69">
        <v>8688</v>
      </c>
      <c r="B104" s="69" t="s">
        <v>537</v>
      </c>
      <c r="C104" s="70" t="s">
        <v>538</v>
      </c>
      <c r="D104" s="69" t="s">
        <v>30</v>
      </c>
      <c r="E104" s="71">
        <f>'Detalle 2.0TD'!B1601</f>
        <v>7.4418509838107078E-2</v>
      </c>
      <c r="F104" s="72" t="str">
        <f>'Detalle 2.0TD'!D1601</f>
        <v>RECHAZAR</v>
      </c>
      <c r="G104" s="73">
        <v>1</v>
      </c>
      <c r="H104" s="74">
        <v>2.19</v>
      </c>
      <c r="I104" s="75" t="str">
        <f>IF('Detalle 2.0TD'!B1601="","Falta PC real",IF('Detalle 2.0TD'!B1601&gt;=0.3,"OK · registrar",IF('Detalle 2.0TD'!B1601&gt;=0.2,"Revisar margen","Revisar PC/PV")))</f>
        <v>Revisar PC/PV</v>
      </c>
      <c r="K104">
        <f>'Detalle 2.0TD'!AD1601</f>
        <v>-3.6000000000004917E-3</v>
      </c>
    </row>
    <row r="105" spans="1:11" x14ac:dyDescent="0.2">
      <c r="A105" s="69">
        <v>8689</v>
      </c>
      <c r="B105" s="69" t="s">
        <v>539</v>
      </c>
      <c r="C105" s="70" t="s">
        <v>540</v>
      </c>
      <c r="D105" s="69" t="s">
        <v>526</v>
      </c>
      <c r="E105" s="71">
        <f>'Detalle 2.0TD'!B1615</f>
        <v>6.2389940414854496E-2</v>
      </c>
      <c r="F105" s="72" t="str">
        <f>'Detalle 2.0TD'!D1615</f>
        <v>RECHAZAR</v>
      </c>
      <c r="G105" s="73">
        <v>1</v>
      </c>
      <c r="H105" s="74">
        <v>-0.04</v>
      </c>
      <c r="I105" s="75" t="str">
        <f>IF('Detalle 2.0TD'!B1615="","Falta PC real",IF('Detalle 2.0TD'!B1615&gt;=0.3,"OK · registrar",IF('Detalle 2.0TD'!B1615&gt;=0.2,"Revisar margen","Revisar PC/PV")))</f>
        <v>Revisar PC/PV</v>
      </c>
      <c r="K105">
        <f>'Detalle 2.0TD'!AD1615</f>
        <v>-7.3999999999999899E-3</v>
      </c>
    </row>
    <row r="106" spans="1:11" x14ac:dyDescent="0.2">
      <c r="A106" s="69">
        <v>8690</v>
      </c>
      <c r="B106" s="69" t="s">
        <v>541</v>
      </c>
      <c r="C106" s="70" t="s">
        <v>542</v>
      </c>
      <c r="D106" s="69" t="s">
        <v>30</v>
      </c>
      <c r="E106" s="71">
        <f>'Detalle 2.0TD'!B1634</f>
        <v>0.15294487965551073</v>
      </c>
      <c r="F106" s="72" t="str">
        <f>'Detalle 2.0TD'!D1634</f>
        <v>RECHAZAR</v>
      </c>
      <c r="G106" s="73">
        <v>1</v>
      </c>
      <c r="H106" s="74">
        <v>1.71</v>
      </c>
      <c r="I106" s="75" t="str">
        <f>IF('Detalle 2.0TD'!B1634="","Falta PC real",IF('Detalle 2.0TD'!B1634&gt;=0.3,"OK · registrar",IF('Detalle 2.0TD'!B1634&gt;=0.2,"Revisar margen","Revisar PC/PV")))</f>
        <v>Revisar PC/PV</v>
      </c>
      <c r="K106">
        <f>'Detalle 2.0TD'!AD1634</f>
        <v>6.9999999999765805E-3</v>
      </c>
    </row>
    <row r="107" spans="1:11" x14ac:dyDescent="0.2">
      <c r="A107" s="69">
        <v>8692</v>
      </c>
      <c r="B107" s="69" t="s">
        <v>543</v>
      </c>
      <c r="C107" s="70" t="s">
        <v>544</v>
      </c>
      <c r="D107" s="69" t="s">
        <v>526</v>
      </c>
      <c r="E107" s="71">
        <f>'Detalle 2.0TD'!B1648</f>
        <v>0.11686732030798826</v>
      </c>
      <c r="F107" s="72" t="str">
        <f>'Detalle 2.0TD'!D1648</f>
        <v>RECHAZAR</v>
      </c>
      <c r="G107" s="73">
        <v>1</v>
      </c>
      <c r="H107" s="74">
        <v>1.27</v>
      </c>
      <c r="I107" s="75" t="str">
        <f>IF('Detalle 2.0TD'!B1648="","Falta PC real",IF('Detalle 2.0TD'!B1648&gt;=0.3,"OK · registrar",IF('Detalle 2.0TD'!B1648&gt;=0.2,"Revisar margen","Revisar PC/PV")))</f>
        <v>Revisar PC/PV</v>
      </c>
      <c r="K107">
        <f>'Detalle 2.0TD'!AD1648</f>
        <v>-9.4000000000011852E-3</v>
      </c>
    </row>
    <row r="108" spans="1:11" x14ac:dyDescent="0.2">
      <c r="A108" s="69">
        <v>8693</v>
      </c>
      <c r="B108" s="69" t="s">
        <v>545</v>
      </c>
      <c r="C108" s="70" t="s">
        <v>544</v>
      </c>
      <c r="D108" s="69" t="s">
        <v>30</v>
      </c>
      <c r="E108" s="71">
        <f>'Detalle 2.0TD'!B1662</f>
        <v>0.1102273649406933</v>
      </c>
      <c r="F108" s="72" t="str">
        <f>'Detalle 2.0TD'!D1662</f>
        <v>RECHAZAR</v>
      </c>
      <c r="G108" s="73">
        <v>1</v>
      </c>
      <c r="H108" s="74">
        <v>1.2</v>
      </c>
      <c r="I108" s="75" t="str">
        <f>IF('Detalle 2.0TD'!B1662="","Falta PC real",IF('Detalle 2.0TD'!B1662&gt;=0.3,"OK · registrar",IF('Detalle 2.0TD'!B1662&gt;=0.2,"Revisar margen","Revisar PC/PV")))</f>
        <v>Revisar PC/PV</v>
      </c>
      <c r="K108">
        <f>'Detalle 2.0TD'!AD1662</f>
        <v>2.4999999999977263E-3</v>
      </c>
    </row>
    <row r="109" spans="1:11" x14ac:dyDescent="0.2">
      <c r="A109" s="69">
        <v>8694</v>
      </c>
      <c r="B109" s="69" t="s">
        <v>546</v>
      </c>
      <c r="C109" s="70" t="s">
        <v>547</v>
      </c>
      <c r="D109" s="69" t="s">
        <v>30</v>
      </c>
      <c r="E109" s="71">
        <f>'Detalle 2.0TD'!B1676</f>
        <v>0.15994676899917668</v>
      </c>
      <c r="F109" s="72" t="str">
        <f>'Detalle 2.0TD'!D1676</f>
        <v>RECHAZAR</v>
      </c>
      <c r="G109" s="73">
        <v>1</v>
      </c>
      <c r="H109" s="74">
        <v>1.77</v>
      </c>
      <c r="I109" s="75" t="str">
        <f>IF('Detalle 2.0TD'!B1676="","Falta PC real",IF('Detalle 2.0TD'!B1676&gt;=0.3,"OK · registrar",IF('Detalle 2.0TD'!B1676&gt;=0.2,"Revisar margen","Revisar PC/PV")))</f>
        <v>Revisar PC/PV</v>
      </c>
      <c r="K109">
        <f>'Detalle 2.0TD'!AD1676</f>
        <v>-2.0000000000663931E-4</v>
      </c>
    </row>
    <row r="110" spans="1:11" x14ac:dyDescent="0.2">
      <c r="A110" s="69">
        <v>8695</v>
      </c>
      <c r="B110" s="69" t="s">
        <v>548</v>
      </c>
      <c r="C110" s="70" t="s">
        <v>549</v>
      </c>
      <c r="D110" s="69" t="s">
        <v>30</v>
      </c>
      <c r="E110" s="71">
        <f>'Detalle 2.0TD'!B1690</f>
        <v>6.3098679050736683E-2</v>
      </c>
      <c r="F110" s="72" t="str">
        <f>'Detalle 2.0TD'!D1690</f>
        <v>RECHAZAR</v>
      </c>
      <c r="G110" s="73">
        <v>1</v>
      </c>
      <c r="H110" s="74">
        <v>1.43</v>
      </c>
      <c r="I110" s="75" t="str">
        <f>IF('Detalle 2.0TD'!B1690="","Falta PC real",IF('Detalle 2.0TD'!B1690&gt;=0.3,"OK · registrar",IF('Detalle 2.0TD'!B1690&gt;=0.2,"Revisar margen","Revisar PC/PV")))</f>
        <v>Revisar PC/PV</v>
      </c>
      <c r="K110">
        <f>'Detalle 2.0TD'!AD1690</f>
        <v>-1.1000000000000121E-2</v>
      </c>
    </row>
    <row r="111" spans="1:11" x14ac:dyDescent="0.2">
      <c r="A111" s="69">
        <v>8696</v>
      </c>
      <c r="B111" s="69" t="s">
        <v>550</v>
      </c>
      <c r="C111" s="70" t="s">
        <v>551</v>
      </c>
      <c r="D111" s="69" t="s">
        <v>30</v>
      </c>
      <c r="E111" s="71">
        <f>'Detalle 2.0TD'!B1704</f>
        <v>3.4146443887775373E-2</v>
      </c>
      <c r="F111" s="72" t="str">
        <f>'Detalle 2.0TD'!D1704</f>
        <v>RECHAZAR</v>
      </c>
      <c r="G111" s="73">
        <v>1</v>
      </c>
      <c r="H111" s="74">
        <v>1.01</v>
      </c>
      <c r="I111" s="75" t="str">
        <f>IF('Detalle 2.0TD'!B1704="","Falta PC real",IF('Detalle 2.0TD'!B1704&gt;=0.3,"OK · registrar",IF('Detalle 2.0TD'!B1704&gt;=0.2,"Revisar margen","Revisar PC/PV")))</f>
        <v>Revisar PC/PV</v>
      </c>
      <c r="K111">
        <f>'Detalle 2.0TD'!AD1704</f>
        <v>2.5000000000000022E-3</v>
      </c>
    </row>
    <row r="112" spans="1:11" x14ac:dyDescent="0.2">
      <c r="A112" s="69">
        <v>8697</v>
      </c>
      <c r="B112" s="69" t="s">
        <v>552</v>
      </c>
      <c r="C112" s="70" t="s">
        <v>553</v>
      </c>
      <c r="D112" s="69" t="s">
        <v>30</v>
      </c>
      <c r="E112" s="71">
        <f>'Detalle 2.0TD'!B1718</f>
        <v>0.16036474023977884</v>
      </c>
      <c r="F112" s="72" t="str">
        <f>'Detalle 2.0TD'!D1718</f>
        <v>RECHAZAR</v>
      </c>
      <c r="G112" s="73">
        <v>1</v>
      </c>
      <c r="H112" s="74">
        <v>-0.06</v>
      </c>
      <c r="I112" s="75" t="str">
        <f>IF('Detalle 2.0TD'!B1718="","Falta PC real",IF('Detalle 2.0TD'!B1718&gt;=0.3,"OK · registrar",IF('Detalle 2.0TD'!B1718&gt;=0.2,"Revisar margen","Revisar PC/PV")))</f>
        <v>Revisar PC/PV</v>
      </c>
      <c r="K112">
        <f>'Detalle 2.0TD'!AD1718</f>
        <v>3.9999999999906777E-4</v>
      </c>
    </row>
    <row r="113" spans="1:11" x14ac:dyDescent="0.2">
      <c r="A113" s="69">
        <v>8698</v>
      </c>
      <c r="B113" s="69" t="s">
        <v>554</v>
      </c>
      <c r="C113" s="70" t="s">
        <v>555</v>
      </c>
      <c r="D113" s="69" t="s">
        <v>30</v>
      </c>
      <c r="E113" s="71">
        <f>'Detalle 2.0TD'!B1732</f>
        <v>0.11664647787355094</v>
      </c>
      <c r="F113" s="72" t="str">
        <f>'Detalle 2.0TD'!D1732</f>
        <v>RECHAZAR</v>
      </c>
      <c r="G113" s="73">
        <v>1</v>
      </c>
      <c r="H113" s="74">
        <v>1.93</v>
      </c>
      <c r="I113" s="75" t="str">
        <f>IF('Detalle 2.0TD'!B1732="","Falta PC real",IF('Detalle 2.0TD'!B1732&gt;=0.3,"OK · registrar",IF('Detalle 2.0TD'!B1732&gt;=0.2,"Revisar margen","Revisar PC/PV")))</f>
        <v>Revisar PC/PV</v>
      </c>
      <c r="K113">
        <f>'Detalle 2.0TD'!AD1732</f>
        <v>2.0000000000095497E-3</v>
      </c>
    </row>
    <row r="114" spans="1:11" x14ac:dyDescent="0.2">
      <c r="A114" s="69">
        <v>8702</v>
      </c>
      <c r="B114" s="69" t="s">
        <v>556</v>
      </c>
      <c r="C114" s="70" t="s">
        <v>557</v>
      </c>
      <c r="D114" s="69" t="s">
        <v>30</v>
      </c>
      <c r="E114" s="71">
        <f>'Detalle 2.0TD'!B1751</f>
        <v>0.14299950916961349</v>
      </c>
      <c r="F114" s="72" t="str">
        <f>'Detalle 2.0TD'!D1751</f>
        <v>RECHAZAR</v>
      </c>
      <c r="G114" s="73">
        <v>1</v>
      </c>
      <c r="H114" s="74">
        <v>1.42</v>
      </c>
      <c r="I114" s="75" t="str">
        <f>IF('Detalle 2.0TD'!B1751="","Falta PC real",IF('Detalle 2.0TD'!B1751&gt;=0.3,"OK · registrar",IF('Detalle 2.0TD'!B1751&gt;=0.2,"Revisar margen","Revisar PC/PV")))</f>
        <v>Revisar PC/PV</v>
      </c>
      <c r="K114">
        <f>'Detalle 2.0TD'!AD1751</f>
        <v>7.0000000000192131E-4</v>
      </c>
    </row>
    <row r="115" spans="1:11" x14ac:dyDescent="0.2">
      <c r="A115" s="69">
        <v>8703</v>
      </c>
      <c r="B115" s="69" t="s">
        <v>558</v>
      </c>
      <c r="C115" s="70" t="s">
        <v>559</v>
      </c>
      <c r="D115" s="69" t="s">
        <v>30</v>
      </c>
      <c r="E115" s="71">
        <f>'Detalle 2.0TD'!B1765</f>
        <v>0.13575902723278532</v>
      </c>
      <c r="F115" s="72" t="str">
        <f>'Detalle 2.0TD'!D1765</f>
        <v>RECHAZAR</v>
      </c>
      <c r="G115" s="73">
        <v>1</v>
      </c>
      <c r="H115" s="74">
        <v>1.48</v>
      </c>
      <c r="I115" s="75" t="str">
        <f>IF('Detalle 2.0TD'!B1765="","Falta PC real",IF('Detalle 2.0TD'!B1765&gt;=0.3,"OK · registrar",IF('Detalle 2.0TD'!B1765&gt;=0.2,"Revisar margen","Revisar PC/PV")))</f>
        <v>Revisar PC/PV</v>
      </c>
      <c r="K115">
        <f>'Detalle 2.0TD'!AD1765</f>
        <v>-2.0000000000663931E-4</v>
      </c>
    </row>
    <row r="116" spans="1:11" x14ac:dyDescent="0.2">
      <c r="A116" s="69">
        <v>8704</v>
      </c>
      <c r="B116" s="69" t="s">
        <v>560</v>
      </c>
      <c r="C116" s="70" t="s">
        <v>561</v>
      </c>
      <c r="D116" s="69" t="s">
        <v>30</v>
      </c>
      <c r="E116" s="71">
        <f>'Detalle 2.0TD'!B1779</f>
        <v>0.12066545645083931</v>
      </c>
      <c r="F116" s="72" t="str">
        <f>'Detalle 2.0TD'!D1779</f>
        <v>RECHAZAR</v>
      </c>
      <c r="G116" s="73">
        <v>1</v>
      </c>
      <c r="H116" s="74">
        <v>1.75</v>
      </c>
      <c r="I116" s="75" t="str">
        <f>IF('Detalle 2.0TD'!B1779="","Falta PC real",IF('Detalle 2.0TD'!B1779&gt;=0.3,"OK · registrar",IF('Detalle 2.0TD'!B1779&gt;=0.2,"Revisar margen","Revisar PC/PV")))</f>
        <v>Revisar PC/PV</v>
      </c>
      <c r="K116">
        <f>'Detalle 2.0TD'!AD1779</f>
        <v>-2.0999999999986585E-3</v>
      </c>
    </row>
    <row r="117" spans="1:11" x14ac:dyDescent="0.2">
      <c r="A117" s="69">
        <v>8706</v>
      </c>
      <c r="B117" s="69" t="s">
        <v>562</v>
      </c>
      <c r="C117" s="70" t="s">
        <v>563</v>
      </c>
      <c r="D117" s="69" t="s">
        <v>30</v>
      </c>
      <c r="E117" s="71">
        <f>'Detalle 2.0TD'!B1793</f>
        <v>4.1201838449272637E-2</v>
      </c>
      <c r="F117" s="72" t="str">
        <f>'Detalle 2.0TD'!D1793</f>
        <v>RECHAZAR</v>
      </c>
      <c r="G117" s="73">
        <v>1</v>
      </c>
      <c r="H117" s="74">
        <v>0.61</v>
      </c>
      <c r="I117" s="75" t="str">
        <f>IF('Detalle 2.0TD'!B1793="","Falta PC real",IF('Detalle 2.0TD'!B1793&gt;=0.3,"OK · registrar",IF('Detalle 2.0TD'!B1793&gt;=0.2,"Revisar margen","Revisar PC/PV")))</f>
        <v>Revisar PC/PV</v>
      </c>
      <c r="K117">
        <f>'Detalle 2.0TD'!AD1793</f>
        <v>-1.4999999999996128E-3</v>
      </c>
    </row>
    <row r="118" spans="1:11" x14ac:dyDescent="0.2">
      <c r="A118" s="69">
        <v>8707</v>
      </c>
      <c r="B118" s="69" t="s">
        <v>564</v>
      </c>
      <c r="C118" s="70" t="s">
        <v>565</v>
      </c>
      <c r="D118" s="69" t="s">
        <v>30</v>
      </c>
      <c r="E118" s="71">
        <f>'Detalle 2.0TD'!B1807</f>
        <v>0.1131838617325483</v>
      </c>
      <c r="F118" s="72" t="str">
        <f>'Detalle 2.0TD'!D1807</f>
        <v>RECHAZAR</v>
      </c>
      <c r="G118" s="73">
        <v>1</v>
      </c>
      <c r="H118" s="74">
        <v>0.65</v>
      </c>
      <c r="I118" s="75" t="str">
        <f>IF('Detalle 2.0TD'!B1807="","Falta PC real",IF('Detalle 2.0TD'!B1807&gt;=0.3,"OK · registrar",IF('Detalle 2.0TD'!B1807&gt;=0.2,"Revisar margen","Revisar PC/PV")))</f>
        <v>Revisar PC/PV</v>
      </c>
      <c r="K118">
        <f>'Detalle 2.0TD'!AD1807</f>
        <v>-1.9999999999988916E-3</v>
      </c>
    </row>
    <row r="119" spans="1:11" x14ac:dyDescent="0.2">
      <c r="A119" s="69">
        <v>8708</v>
      </c>
      <c r="B119" s="69" t="s">
        <v>566</v>
      </c>
      <c r="C119" s="70" t="s">
        <v>567</v>
      </c>
      <c r="D119" s="69" t="s">
        <v>30</v>
      </c>
      <c r="E119" s="71">
        <f>'Detalle 2.0TD'!B1821</f>
        <v>9.9928921150705979E-2</v>
      </c>
      <c r="F119" s="72" t="str">
        <f>'Detalle 2.0TD'!D1821</f>
        <v>RECHAZAR</v>
      </c>
      <c r="G119" s="73">
        <v>1</v>
      </c>
      <c r="H119" s="74">
        <v>0.56999999999999995</v>
      </c>
      <c r="I119" s="75" t="str">
        <f>IF('Detalle 2.0TD'!B1821="","Falta PC real",IF('Detalle 2.0TD'!B1821&gt;=0.3,"OK · registrar",IF('Detalle 2.0TD'!B1821&gt;=0.2,"Revisar margen","Revisar PC/PV")))</f>
        <v>Revisar PC/PV</v>
      </c>
      <c r="K119">
        <f>'Detalle 2.0TD'!AD1821</f>
        <v>17.961299999999994</v>
      </c>
    </row>
    <row r="120" spans="1:11" x14ac:dyDescent="0.2">
      <c r="A120" s="69">
        <v>8709</v>
      </c>
      <c r="B120" s="69" t="s">
        <v>568</v>
      </c>
      <c r="C120" s="70" t="s">
        <v>569</v>
      </c>
      <c r="D120" s="69" t="s">
        <v>30</v>
      </c>
      <c r="E120" s="71">
        <f>'Detalle 2.0TD'!B1835</f>
        <v>0.14953136995839117</v>
      </c>
      <c r="F120" s="72" t="str">
        <f>'Detalle 2.0TD'!D1835</f>
        <v>RECHAZAR</v>
      </c>
      <c r="G120" s="73">
        <v>1</v>
      </c>
      <c r="H120" s="74">
        <v>1.23</v>
      </c>
      <c r="I120" s="75" t="str">
        <f>IF('Detalle 2.0TD'!B1835="","Falta PC real",IF('Detalle 2.0TD'!B1835&gt;=0.3,"OK · registrar",IF('Detalle 2.0TD'!B1835&gt;=0.2,"Revisar margen","Revisar PC/PV")))</f>
        <v>Revisar PC/PV</v>
      </c>
      <c r="K120">
        <f>'Detalle 2.0TD'!AD1835</f>
        <v>1.5999999999962711E-3</v>
      </c>
    </row>
    <row r="121" spans="1:11" x14ac:dyDescent="0.2">
      <c r="A121" s="69">
        <v>8710</v>
      </c>
      <c r="B121" s="69" t="s">
        <v>570</v>
      </c>
      <c r="C121" s="70" t="s">
        <v>569</v>
      </c>
      <c r="D121" s="69" t="s">
        <v>30</v>
      </c>
      <c r="E121" s="71">
        <f>'Detalle 2.0TD'!B1849</f>
        <v>0.11190142053388089</v>
      </c>
      <c r="F121" s="72" t="str">
        <f>'Detalle 2.0TD'!D1849</f>
        <v>RECHAZAR</v>
      </c>
      <c r="G121" s="73">
        <v>1</v>
      </c>
      <c r="H121" s="74">
        <v>1</v>
      </c>
      <c r="I121" s="75" t="str">
        <f>IF('Detalle 2.0TD'!B1849="","Falta PC real",IF('Detalle 2.0TD'!B1849&gt;=0.3,"OK · registrar",IF('Detalle 2.0TD'!B1849&gt;=0.2,"Revisar margen","Revisar PC/PV")))</f>
        <v>Revisar PC/PV</v>
      </c>
      <c r="K121">
        <f>'Detalle 2.0TD'!AD1849</f>
        <v>-2.0000000000024443E-3</v>
      </c>
    </row>
    <row r="122" spans="1:11" x14ac:dyDescent="0.2">
      <c r="A122" s="69">
        <v>8711</v>
      </c>
      <c r="B122" s="69" t="s">
        <v>402</v>
      </c>
      <c r="C122" s="70" t="s">
        <v>403</v>
      </c>
      <c r="D122" s="69" t="s">
        <v>30</v>
      </c>
      <c r="E122" s="71">
        <f>'Detalle 2.0TD'!B1863</f>
        <v>9.8462767584480512E-2</v>
      </c>
      <c r="F122" s="72" t="str">
        <f>'Detalle 2.0TD'!D1863</f>
        <v>RECHAZAR</v>
      </c>
      <c r="G122" s="73">
        <v>1</v>
      </c>
      <c r="H122" s="74">
        <v>0.86</v>
      </c>
      <c r="I122" s="75" t="str">
        <f>IF('Detalle 2.0TD'!B1863="","Falta PC real",IF('Detalle 2.0TD'!B1863&gt;=0.3,"OK · registrar",IF('Detalle 2.0TD'!B1863&gt;=0.2,"Revisar margen","Revisar PC/PV")))</f>
        <v>Revisar PC/PV</v>
      </c>
      <c r="K122">
        <f>'Detalle 2.0TD'!AD1863</f>
        <v>1.3999999999967372E-3</v>
      </c>
    </row>
    <row r="123" spans="1:11" x14ac:dyDescent="0.2">
      <c r="A123" s="69">
        <v>8712</v>
      </c>
      <c r="B123" s="69" t="s">
        <v>571</v>
      </c>
      <c r="C123" s="70" t="s">
        <v>572</v>
      </c>
      <c r="D123" s="69" t="s">
        <v>30</v>
      </c>
      <c r="E123" s="71">
        <f>'Detalle 2.0TD'!B1877</f>
        <v>0.12907431292066504</v>
      </c>
      <c r="F123" s="72" t="str">
        <f>'Detalle 2.0TD'!D1877</f>
        <v>RECHAZAR</v>
      </c>
      <c r="G123" s="73">
        <v>1</v>
      </c>
      <c r="H123" s="74">
        <v>1.39</v>
      </c>
      <c r="I123" s="75" t="str">
        <f>IF('Detalle 2.0TD'!B1877="","Falta PC real",IF('Detalle 2.0TD'!B1877&gt;=0.3,"OK · registrar",IF('Detalle 2.0TD'!B1877&gt;=0.2,"Revisar margen","Revisar PC/PV")))</f>
        <v>Revisar PC/PV</v>
      </c>
      <c r="K123">
        <f>'Detalle 2.0TD'!AD1877</f>
        <v>-3.8999999999944635E-3</v>
      </c>
    </row>
    <row r="124" spans="1:11" x14ac:dyDescent="0.2">
      <c r="A124" s="69">
        <v>8714</v>
      </c>
      <c r="B124" s="69" t="s">
        <v>573</v>
      </c>
      <c r="C124" s="70" t="s">
        <v>574</v>
      </c>
      <c r="D124" s="69" t="s">
        <v>30</v>
      </c>
      <c r="E124" s="71">
        <f>'Detalle 2.0TD'!B1891</f>
        <v>0.11655173867010979</v>
      </c>
      <c r="F124" s="72" t="str">
        <f>'Detalle 2.0TD'!D1891</f>
        <v>RECHAZAR</v>
      </c>
      <c r="G124" s="73">
        <v>1</v>
      </c>
      <c r="H124" s="74">
        <v>1.21</v>
      </c>
      <c r="I124" s="75" t="str">
        <f>IF('Detalle 2.0TD'!B1891="","Falta PC real",IF('Detalle 2.0TD'!B1891&gt;=0.3,"OK · registrar",IF('Detalle 2.0TD'!B1891&gt;=0.2,"Revisar margen","Revisar PC/PV")))</f>
        <v>Revisar PC/PV</v>
      </c>
      <c r="K124">
        <f>'Detalle 2.0TD'!AD1891</f>
        <v>-1.799999999995805E-3</v>
      </c>
    </row>
    <row r="125" spans="1:11" x14ac:dyDescent="0.2">
      <c r="A125" s="69">
        <v>8715</v>
      </c>
      <c r="B125" s="69" t="s">
        <v>575</v>
      </c>
      <c r="C125" s="70" t="s">
        <v>576</v>
      </c>
      <c r="D125" s="69" t="s">
        <v>30</v>
      </c>
      <c r="E125" s="71">
        <f>'Detalle 2.0TD'!B1905</f>
        <v>8.5320312942294071E-2</v>
      </c>
      <c r="F125" s="72" t="str">
        <f>'Detalle 2.0TD'!D1905</f>
        <v>RECHAZAR</v>
      </c>
      <c r="G125" s="73">
        <v>1</v>
      </c>
      <c r="H125" s="74">
        <v>1.1100000000000001</v>
      </c>
      <c r="I125" s="75" t="str">
        <f>IF('Detalle 2.0TD'!B1905="","Falta PC real",IF('Detalle 2.0TD'!B1905&gt;=0.3,"OK · registrar",IF('Detalle 2.0TD'!B1905&gt;=0.2,"Revisar margen","Revisar PC/PV")))</f>
        <v>Revisar PC/PV</v>
      </c>
      <c r="K125">
        <f>'Detalle 2.0TD'!AD1905</f>
        <v>3.7000000000002586E-3</v>
      </c>
    </row>
    <row r="126" spans="1:11" x14ac:dyDescent="0.2">
      <c r="A126" s="69">
        <v>8716</v>
      </c>
      <c r="B126" s="69" t="s">
        <v>577</v>
      </c>
      <c r="C126" s="70" t="s">
        <v>578</v>
      </c>
      <c r="D126" s="69" t="s">
        <v>30</v>
      </c>
      <c r="E126" s="71">
        <f>'Detalle 2.0TD'!B1919</f>
        <v>0.13635088640383755</v>
      </c>
      <c r="F126" s="72" t="str">
        <f>'Detalle 2.0TD'!D1919</f>
        <v>RECHAZAR</v>
      </c>
      <c r="G126" s="73">
        <v>1</v>
      </c>
      <c r="H126" s="74">
        <v>0.92</v>
      </c>
      <c r="I126" s="75" t="str">
        <f>IF('Detalle 2.0TD'!B1919="","Falta PC real",IF('Detalle 2.0TD'!B1919&gt;=0.3,"OK · registrar",IF('Detalle 2.0TD'!B1919&gt;=0.2,"Revisar margen","Revisar PC/PV")))</f>
        <v>Revisar PC/PV</v>
      </c>
      <c r="K126">
        <f>'Detalle 2.0TD'!AD1919</f>
        <v>-1.8000000000029104E-3</v>
      </c>
    </row>
    <row r="127" spans="1:11" x14ac:dyDescent="0.2">
      <c r="A127" s="69">
        <v>8717</v>
      </c>
      <c r="B127" s="69" t="s">
        <v>579</v>
      </c>
      <c r="C127" s="70" t="s">
        <v>580</v>
      </c>
      <c r="D127" s="69" t="s">
        <v>30</v>
      </c>
      <c r="E127" s="71">
        <f>'Detalle 2.0TD'!B1933</f>
        <v>8.7919565611146458E-2</v>
      </c>
      <c r="F127" s="72" t="str">
        <f>'Detalle 2.0TD'!D1933</f>
        <v>RECHAZAR</v>
      </c>
      <c r="G127" s="73">
        <v>1</v>
      </c>
      <c r="H127" s="74">
        <v>0.21</v>
      </c>
      <c r="I127" s="75" t="str">
        <f>IF('Detalle 2.0TD'!B1933="","Falta PC real",IF('Detalle 2.0TD'!B1933&gt;=0.3,"OK · registrar",IF('Detalle 2.0TD'!B1933&gt;=0.2,"Revisar margen","Revisar PC/PV")))</f>
        <v>Revisar PC/PV</v>
      </c>
      <c r="K127">
        <f>'Detalle 2.0TD'!AD1933</f>
        <v>2.1000000000022112E-3</v>
      </c>
    </row>
    <row r="128" spans="1:11" x14ac:dyDescent="0.2">
      <c r="A128" s="69">
        <v>8718</v>
      </c>
      <c r="B128" s="69" t="s">
        <v>581</v>
      </c>
      <c r="C128" s="70" t="s">
        <v>582</v>
      </c>
      <c r="D128" s="69" t="s">
        <v>30</v>
      </c>
      <c r="E128" s="71">
        <f>'Detalle 2.0TD'!B1947</f>
        <v>0.12643599761068153</v>
      </c>
      <c r="F128" s="72" t="str">
        <f>'Detalle 2.0TD'!D1947</f>
        <v>RECHAZAR</v>
      </c>
      <c r="G128" s="73">
        <v>1</v>
      </c>
      <c r="H128" s="74">
        <v>0.7</v>
      </c>
      <c r="I128" s="75" t="str">
        <f>IF('Detalle 2.0TD'!B1947="","Falta PC real",IF('Detalle 2.0TD'!B1947&gt;=0.3,"OK · registrar",IF('Detalle 2.0TD'!B1947&gt;=0.2,"Revisar margen","Revisar PC/PV")))</f>
        <v>Revisar PC/PV</v>
      </c>
      <c r="K128">
        <f>'Detalle 2.0TD'!AD1947</f>
        <v>-1.4000000000002899E-3</v>
      </c>
    </row>
    <row r="129" spans="1:11" x14ac:dyDescent="0.2">
      <c r="A129" s="69">
        <v>8719</v>
      </c>
      <c r="B129" s="69" t="s">
        <v>583</v>
      </c>
      <c r="C129" s="70" t="s">
        <v>584</v>
      </c>
      <c r="D129" s="69" t="s">
        <v>30</v>
      </c>
      <c r="E129" s="71">
        <f>'Detalle 2.0TD'!B1961</f>
        <v>0.11629919120972296</v>
      </c>
      <c r="F129" s="72" t="str">
        <f>'Detalle 2.0TD'!D1961</f>
        <v>RECHAZAR</v>
      </c>
      <c r="G129" s="73">
        <v>1</v>
      </c>
      <c r="H129" s="74">
        <v>0.48</v>
      </c>
      <c r="I129" s="75" t="str">
        <f>IF('Detalle 2.0TD'!B1961="","Falta PC real",IF('Detalle 2.0TD'!B1961&gt;=0.3,"OK · registrar",IF('Detalle 2.0TD'!B1961&gt;=0.2,"Revisar margen","Revisar PC/PV")))</f>
        <v>Revisar PC/PV</v>
      </c>
      <c r="K129">
        <f>'Detalle 2.0TD'!AD1961</f>
        <v>1.9000000000026773E-3</v>
      </c>
    </row>
    <row r="130" spans="1:11" x14ac:dyDescent="0.2">
      <c r="A130" s="69">
        <v>8720</v>
      </c>
      <c r="B130" s="69" t="s">
        <v>585</v>
      </c>
      <c r="C130" s="70" t="s">
        <v>586</v>
      </c>
      <c r="D130" s="69" t="s">
        <v>30</v>
      </c>
      <c r="E130" s="71">
        <f>'Detalle 2.0TD'!B1975</f>
        <v>0.11506046575212861</v>
      </c>
      <c r="F130" s="72" t="str">
        <f>'Detalle 2.0TD'!D1975</f>
        <v>RECHAZAR</v>
      </c>
      <c r="G130" s="73">
        <v>1</v>
      </c>
      <c r="H130" s="74">
        <v>0.48</v>
      </c>
      <c r="I130" s="75" t="str">
        <f>IF('Detalle 2.0TD'!B1975="","Falta PC real",IF('Detalle 2.0TD'!B1975&gt;=0.3,"OK · registrar",IF('Detalle 2.0TD'!B1975&gt;=0.2,"Revisar margen","Revisar PC/PV")))</f>
        <v>Revisar PC/PV</v>
      </c>
      <c r="K130">
        <f>'Detalle 2.0TD'!AD1975</f>
        <v>2.6999999999972601E-3</v>
      </c>
    </row>
    <row r="131" spans="1:11" x14ac:dyDescent="0.2">
      <c r="A131" s="69">
        <v>8721</v>
      </c>
      <c r="B131" s="69" t="s">
        <v>587</v>
      </c>
      <c r="C131" s="70"/>
      <c r="D131" s="69" t="s">
        <v>30</v>
      </c>
      <c r="E131" s="71">
        <f>'Detalle 2.0TD'!B1989</f>
        <v>1</v>
      </c>
      <c r="F131" s="72" t="str">
        <f>'Detalle 2.0TD'!D1989</f>
        <v>APROBAR</v>
      </c>
      <c r="G131" s="73">
        <v>1</v>
      </c>
      <c r="H131" s="74">
        <v>1.1599999999999999</v>
      </c>
      <c r="I131" s="75" t="str">
        <f>IF('Detalle 2.0TD'!B1989="","Falta PC real",IF('Detalle 2.0TD'!B1989&gt;=0.3,"OK · registrar",IF('Detalle 2.0TD'!B1989&gt;=0.2,"Revisar margen","Revisar PC/PV")))</f>
        <v>OK · registrar</v>
      </c>
      <c r="K131">
        <f>'Detalle 2.0TD'!AD1989</f>
        <v>-4.5000000000001705E-3</v>
      </c>
    </row>
    <row r="132" spans="1:11" x14ac:dyDescent="0.2">
      <c r="A132" s="69">
        <v>8722</v>
      </c>
      <c r="B132" s="69" t="s">
        <v>588</v>
      </c>
      <c r="C132" s="70" t="s">
        <v>589</v>
      </c>
      <c r="D132" s="69" t="s">
        <v>30</v>
      </c>
      <c r="E132" s="71">
        <f>'Detalle 2.0TD'!B2003</f>
        <v>0.1028730861354127</v>
      </c>
      <c r="F132" s="72" t="str">
        <f>'Detalle 2.0TD'!D2003</f>
        <v>RECHAZAR</v>
      </c>
      <c r="G132" s="73">
        <v>1</v>
      </c>
      <c r="H132" s="74">
        <v>0.67</v>
      </c>
      <c r="I132" s="75" t="str">
        <f>IF('Detalle 2.0TD'!B2003="","Falta PC real",IF('Detalle 2.0TD'!B2003&gt;=0.3,"OK · registrar",IF('Detalle 2.0TD'!B2003&gt;=0.2,"Revisar margen","Revisar PC/PV")))</f>
        <v>Revisar PC/PV</v>
      </c>
      <c r="K132">
        <f>'Detalle 2.0TD'!AD2003</f>
        <v>3.7999999999982492E-3</v>
      </c>
    </row>
    <row r="133" spans="1:11" x14ac:dyDescent="0.2">
      <c r="A133" s="69">
        <v>8723</v>
      </c>
      <c r="B133" s="69" t="s">
        <v>590</v>
      </c>
      <c r="C133" s="70" t="s">
        <v>591</v>
      </c>
      <c r="D133" s="69" t="s">
        <v>30</v>
      </c>
      <c r="E133" s="71">
        <f>'Detalle 2.0TD'!B2017</f>
        <v>0.10645193265157796</v>
      </c>
      <c r="F133" s="72" t="str">
        <f>'Detalle 2.0TD'!D2017</f>
        <v>RECHAZAR</v>
      </c>
      <c r="G133" s="73">
        <v>1</v>
      </c>
      <c r="H133" s="74">
        <v>0.68</v>
      </c>
      <c r="I133" s="75" t="str">
        <f>IF('Detalle 2.0TD'!B2017="","Falta PC real",IF('Detalle 2.0TD'!B2017&gt;=0.3,"OK · registrar",IF('Detalle 2.0TD'!B2017&gt;=0.2,"Revisar margen","Revisar PC/PV")))</f>
        <v>Revisar PC/PV</v>
      </c>
      <c r="K133">
        <f>'Detalle 2.0TD'!AD2017</f>
        <v>-5.4000000000016257E-3</v>
      </c>
    </row>
    <row r="134" spans="1:11" x14ac:dyDescent="0.2">
      <c r="A134" s="69">
        <v>8724</v>
      </c>
      <c r="B134" s="69" t="s">
        <v>592</v>
      </c>
      <c r="C134" s="70" t="s">
        <v>593</v>
      </c>
      <c r="D134" s="69" t="s">
        <v>30</v>
      </c>
      <c r="E134" s="71">
        <f>'Detalle 2.0TD'!B2031</f>
        <v>6.0593617578849499E-2</v>
      </c>
      <c r="F134" s="72" t="str">
        <f>'Detalle 2.0TD'!D2031</f>
        <v>RECHAZAR</v>
      </c>
      <c r="G134" s="73">
        <v>1</v>
      </c>
      <c r="H134" s="74">
        <v>0.65</v>
      </c>
      <c r="I134" s="75" t="str">
        <f>IF('Detalle 2.0TD'!B2031="","Falta PC real",IF('Detalle 2.0TD'!B2031&gt;=0.3,"OK · registrar",IF('Detalle 2.0TD'!B2031&gt;=0.2,"Revisar margen","Revisar PC/PV")))</f>
        <v>Revisar PC/PV</v>
      </c>
      <c r="K134">
        <f>'Detalle 2.0TD'!AD2031</f>
        <v>1.000000000000334E-3</v>
      </c>
    </row>
    <row r="135" spans="1:11" x14ac:dyDescent="0.2">
      <c r="A135" s="69">
        <v>8725</v>
      </c>
      <c r="B135" s="69" t="s">
        <v>594</v>
      </c>
      <c r="C135" s="70" t="s">
        <v>595</v>
      </c>
      <c r="D135" s="69" t="s">
        <v>30</v>
      </c>
      <c r="E135" s="71">
        <f>'Detalle 2.0TD'!B2045</f>
        <v>9.8800458506017999E-2</v>
      </c>
      <c r="F135" s="72" t="str">
        <f>'Detalle 2.0TD'!D2045</f>
        <v>RECHAZAR</v>
      </c>
      <c r="G135" s="73">
        <v>1</v>
      </c>
      <c r="H135" s="74">
        <v>0.41</v>
      </c>
      <c r="I135" s="75" t="str">
        <f>IF('Detalle 2.0TD'!B2045="","Falta PC real",IF('Detalle 2.0TD'!B2045&gt;=0.3,"OK · registrar",IF('Detalle 2.0TD'!B2045&gt;=0.2,"Revisar margen","Revisar PC/PV")))</f>
        <v>Revisar PC/PV</v>
      </c>
      <c r="K135">
        <f>'Detalle 2.0TD'!AD2045</f>
        <v>1.5999999999962711E-3</v>
      </c>
    </row>
    <row r="136" spans="1:11" x14ac:dyDescent="0.2">
      <c r="A136" s="69">
        <v>8726</v>
      </c>
      <c r="B136" s="69" t="s">
        <v>596</v>
      </c>
      <c r="C136" s="70" t="s">
        <v>597</v>
      </c>
      <c r="D136" s="69" t="s">
        <v>30</v>
      </c>
      <c r="E136" s="71">
        <f>'Detalle 2.0TD'!B2059</f>
        <v>2.6919246588954598E-2</v>
      </c>
      <c r="F136" s="72" t="str">
        <f>'Detalle 2.0TD'!D2059</f>
        <v>RECHAZAR</v>
      </c>
      <c r="G136" s="73">
        <v>1</v>
      </c>
      <c r="H136" s="74">
        <v>0.54</v>
      </c>
      <c r="I136" s="75" t="str">
        <f>IF('Detalle 2.0TD'!B2059="","Falta PC real",IF('Detalle 2.0TD'!B2059&gt;=0.3,"OK · registrar",IF('Detalle 2.0TD'!B2059&gt;=0.2,"Revisar margen","Revisar PC/PV")))</f>
        <v>Revisar PC/PV</v>
      </c>
      <c r="K136">
        <f>'Detalle 2.0TD'!AD2059</f>
        <v>-1.1099999999999E-2</v>
      </c>
    </row>
    <row r="137" spans="1:11" x14ac:dyDescent="0.2">
      <c r="A137" s="69">
        <v>8727</v>
      </c>
      <c r="B137" s="69" t="s">
        <v>598</v>
      </c>
      <c r="C137" s="70" t="s">
        <v>599</v>
      </c>
      <c r="D137" s="69" t="s">
        <v>30</v>
      </c>
      <c r="E137" s="71">
        <f>'Detalle 2.0TD'!B2073</f>
        <v>-0.28882809085809263</v>
      </c>
      <c r="F137" s="72" t="str">
        <f>'Detalle 2.0TD'!D2073</f>
        <v>RECHAZAR</v>
      </c>
      <c r="G137" s="73">
        <v>1</v>
      </c>
      <c r="H137" s="74">
        <v>0.3</v>
      </c>
      <c r="I137" s="75" t="str">
        <f>IF('Detalle 2.0TD'!B2073="","Falta PC real",IF('Detalle 2.0TD'!B2073&gt;=0.3,"OK · registrar",IF('Detalle 2.0TD'!B2073&gt;=0.2,"Revisar margen","Revisar PC/PV")))</f>
        <v>Revisar PC/PV</v>
      </c>
      <c r="K137">
        <f>'Detalle 2.0TD'!AD2073</f>
        <v>3.7999999999982492E-3</v>
      </c>
    </row>
    <row r="138" spans="1:11" x14ac:dyDescent="0.2">
      <c r="A138" s="69">
        <v>8728</v>
      </c>
      <c r="B138" s="69" t="s">
        <v>600</v>
      </c>
      <c r="C138" s="70"/>
      <c r="D138" s="69" t="s">
        <v>30</v>
      </c>
      <c r="E138" s="71">
        <f>'Detalle 2.0TD'!B2087</f>
        <v>1</v>
      </c>
      <c r="F138" s="72" t="str">
        <f>'Detalle 2.0TD'!D2087</f>
        <v>APROBAR</v>
      </c>
      <c r="G138" s="70"/>
      <c r="H138" s="70"/>
      <c r="I138" s="75" t="str">
        <f>IF('Detalle 2.0TD'!B2087="","Falta PC real",IF('Detalle 2.0TD'!B2087&gt;=0.3,"OK · registrar",IF('Detalle 2.0TD'!B2087&gt;=0.2,"Revisar margen","Revisar PC/PV")))</f>
        <v>OK · registrar</v>
      </c>
      <c r="K138">
        <f>'Detalle 2.0TD'!AD2087</f>
        <v>0</v>
      </c>
    </row>
    <row r="139" spans="1:11" x14ac:dyDescent="0.2">
      <c r="A139" s="69">
        <v>8729</v>
      </c>
      <c r="B139" s="69" t="s">
        <v>601</v>
      </c>
      <c r="C139" s="70" t="s">
        <v>602</v>
      </c>
      <c r="D139" s="69" t="s">
        <v>30</v>
      </c>
      <c r="E139" s="71">
        <f>'Detalle 2.0TD'!B2101</f>
        <v>0.10641320211942509</v>
      </c>
      <c r="F139" s="72" t="str">
        <f>'Detalle 2.0TD'!D2101</f>
        <v>RECHAZAR</v>
      </c>
      <c r="G139" s="73">
        <v>1</v>
      </c>
      <c r="H139" s="74">
        <v>0.69</v>
      </c>
      <c r="I139" s="75" t="str">
        <f>IF('Detalle 2.0TD'!B2101="","Falta PC real",IF('Detalle 2.0TD'!B2101&gt;=0.3,"OK · registrar",IF('Detalle 2.0TD'!B2101&gt;=0.2,"Revisar margen","Revisar PC/PV")))</f>
        <v>Revisar PC/PV</v>
      </c>
      <c r="K139">
        <f>'Detalle 2.0TD'!AD2101</f>
        <v>2.2000000000019782E-3</v>
      </c>
    </row>
    <row r="140" spans="1:11" x14ac:dyDescent="0.2">
      <c r="A140" s="69">
        <v>8730</v>
      </c>
      <c r="B140" s="69" t="s">
        <v>603</v>
      </c>
      <c r="C140" s="70" t="s">
        <v>530</v>
      </c>
      <c r="D140" s="69" t="s">
        <v>30</v>
      </c>
      <c r="E140" s="71">
        <f>'Detalle 2.0TD'!B2115</f>
        <v>0.3000008066492304</v>
      </c>
      <c r="F140" s="72" t="str">
        <f>'Detalle 2.0TD'!D2115</f>
        <v>APROBAR</v>
      </c>
      <c r="G140" s="73">
        <v>0.2414</v>
      </c>
      <c r="H140" s="74">
        <v>17622.2</v>
      </c>
      <c r="I140" s="75" t="str">
        <f>IF('Detalle 2.0TD'!B2115="","Falta PC real",IF('Detalle 2.0TD'!B2115&gt;=0.3,"OK · registrar",IF('Detalle 2.0TD'!B2115&gt;=0.2,"Revisar margen","Revisar PC/PV")))</f>
        <v>OK · registrar</v>
      </c>
      <c r="K140">
        <f>'Detalle 2.0TD'!AD2115</f>
        <v>106.17769999999996</v>
      </c>
    </row>
  </sheetData>
  <mergeCells count="4">
    <mergeCell ref="A1:I1"/>
    <mergeCell ref="A2:I2"/>
    <mergeCell ref="A3:C3"/>
    <mergeCell ref="H3:I3"/>
  </mergeCells>
  <conditionalFormatting sqref="D3">
    <cfRule type="cellIs" dxfId="3" priority="2" operator="equal">
      <formula>"OPTIMIZAR"</formula>
    </cfRule>
  </conditionalFormatting>
  <conditionalFormatting sqref="F5:F140">
    <cfRule type="cellIs" dxfId="2" priority="3" operator="equal">
      <formula>"APROBAR"</formula>
    </cfRule>
    <cfRule type="cellIs" dxfId="1" priority="4" operator="equal">
      <formula>"REVISAR"</formula>
    </cfRule>
    <cfRule type="cellIs" dxfId="0" priority="5" operator="equal">
      <formula>"RECHAZAR"</formula>
    </cfRule>
  </conditionalFormatting>
  <dataValidations count="1">
    <dataValidation type="list" sqref="D3" xr:uid="{00000000-0002-0000-0300-000000000000}">
      <formula1>"INICIAL,OPTIMIZAR"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2115"/>
  <sheetViews>
    <sheetView showGridLines="0" tabSelected="1" topLeftCell="A1954" zoomScaleNormal="100" workbookViewId="0">
      <selection activeCell="P1815" sqref="P1815"/>
    </sheetView>
  </sheetViews>
  <sheetFormatPr baseColWidth="10" defaultColWidth="8.6640625" defaultRowHeight="15" x14ac:dyDescent="0.2"/>
  <cols>
    <col min="1" max="1" width="20" customWidth="1"/>
    <col min="2" max="2" width="9.6640625" customWidth="1"/>
    <col min="3" max="3" width="6" customWidth="1"/>
    <col min="4" max="4" width="10" customWidth="1"/>
    <col min="5" max="5" width="9" customWidth="1"/>
    <col min="6" max="6" width="11" customWidth="1"/>
    <col min="7" max="7" width="1.5" customWidth="1"/>
    <col min="8" max="8" width="8" customWidth="1"/>
    <col min="9" max="9" width="9" customWidth="1"/>
    <col min="10" max="10" width="12.33203125" customWidth="1"/>
    <col min="11" max="11" width="1.5" customWidth="1"/>
    <col min="12" max="12" width="9" customWidth="1"/>
    <col min="13" max="13" width="10" customWidth="1"/>
    <col min="14" max="14" width="13.1640625" customWidth="1"/>
    <col min="15" max="15" width="20" customWidth="1"/>
    <col min="16" max="16" width="9" customWidth="1"/>
    <col min="17" max="17" width="1.5" customWidth="1"/>
    <col min="18" max="18" width="26" customWidth="1"/>
    <col min="27" max="28" width="13" hidden="1" customWidth="1"/>
    <col min="30" max="30" width="13" hidden="1" customWidth="1"/>
  </cols>
  <sheetData>
    <row r="1" spans="1:30" x14ac:dyDescent="0.2">
      <c r="A1" s="137" t="s">
        <v>604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3" spans="1:30" x14ac:dyDescent="0.2">
      <c r="A3" s="137" t="s">
        <v>605</v>
      </c>
      <c r="B3" s="137"/>
      <c r="C3" s="137"/>
      <c r="D3" s="137"/>
      <c r="E3" s="137"/>
      <c r="F3" s="137"/>
      <c r="H3" s="137" t="s">
        <v>606</v>
      </c>
      <c r="I3" s="137"/>
      <c r="J3" s="137"/>
      <c r="K3" s="137"/>
      <c r="L3" s="76">
        <v>46113</v>
      </c>
      <c r="M3" s="77" t="s">
        <v>607</v>
      </c>
      <c r="N3" s="76">
        <v>46142</v>
      </c>
      <c r="R3" s="138" t="s">
        <v>110</v>
      </c>
      <c r="S3" s="138"/>
      <c r="T3" s="138"/>
      <c r="U3" s="138"/>
      <c r="V3" s="138"/>
    </row>
    <row r="4" spans="1:30" x14ac:dyDescent="0.2">
      <c r="A4" s="78" t="s">
        <v>111</v>
      </c>
      <c r="B4" s="79" t="s">
        <v>112</v>
      </c>
      <c r="C4" s="80"/>
      <c r="D4" s="80"/>
      <c r="E4" s="80"/>
      <c r="F4" s="80"/>
      <c r="H4" s="81" t="s">
        <v>608</v>
      </c>
      <c r="I4" s="82"/>
      <c r="J4" s="82"/>
      <c r="L4" s="83" t="s">
        <v>609</v>
      </c>
      <c r="M4" s="84"/>
      <c r="N4" s="84"/>
      <c r="R4" s="85" t="s">
        <v>610</v>
      </c>
    </row>
    <row r="5" spans="1:30" x14ac:dyDescent="0.2">
      <c r="B5" s="68" t="s">
        <v>116</v>
      </c>
      <c r="C5" s="68" t="s">
        <v>117</v>
      </c>
      <c r="D5" s="68" t="s">
        <v>118</v>
      </c>
      <c r="E5" s="68" t="s">
        <v>119</v>
      </c>
      <c r="F5" s="68" t="s">
        <v>120</v>
      </c>
      <c r="H5" s="86" t="s">
        <v>116</v>
      </c>
      <c r="I5" s="86" t="s">
        <v>119</v>
      </c>
      <c r="J5" s="86" t="s">
        <v>120</v>
      </c>
      <c r="L5" s="87" t="s">
        <v>116</v>
      </c>
      <c r="M5" s="87" t="s">
        <v>119</v>
      </c>
      <c r="N5" s="87" t="s">
        <v>120</v>
      </c>
      <c r="R5" s="88" t="s">
        <v>611</v>
      </c>
    </row>
    <row r="6" spans="1:30" x14ac:dyDescent="0.2">
      <c r="A6" s="89" t="s">
        <v>122</v>
      </c>
      <c r="B6" s="90">
        <v>10.391999999999999</v>
      </c>
      <c r="C6" s="91">
        <f>$N$3-$L$3+1</f>
        <v>30</v>
      </c>
      <c r="D6" s="92">
        <v>3.68919</v>
      </c>
      <c r="E6" s="93">
        <v>4.82</v>
      </c>
      <c r="F6" s="94">
        <f t="shared" ref="F6:F13" si="0">ROUND(B6*E6,2)</f>
        <v>50.09</v>
      </c>
      <c r="H6" s="95">
        <v>10.391999999999999</v>
      </c>
      <c r="I6" s="96">
        <v>4.82</v>
      </c>
      <c r="J6" s="97">
        <f t="shared" ref="J6:J13" si="1">ROUND(H6*I6,2)</f>
        <v>50.09</v>
      </c>
      <c r="L6" s="98">
        <v>10.391999999999999</v>
      </c>
      <c r="M6" s="99">
        <v>4.82</v>
      </c>
      <c r="N6" s="100">
        <f t="shared" ref="N6:N13" si="2">ROUND(L6*M6,2)</f>
        <v>50.09</v>
      </c>
      <c r="R6" s="101" t="s">
        <v>612</v>
      </c>
    </row>
    <row r="7" spans="1:30" x14ac:dyDescent="0.2">
      <c r="A7" s="89" t="s">
        <v>124</v>
      </c>
      <c r="B7" s="90">
        <v>10.391999999999999</v>
      </c>
      <c r="C7" s="91">
        <f>$N$3-$L$3+1</f>
        <v>30</v>
      </c>
      <c r="D7" s="92">
        <v>1.31928</v>
      </c>
      <c r="E7" s="93">
        <v>2.37</v>
      </c>
      <c r="F7" s="94">
        <f t="shared" si="0"/>
        <v>24.63</v>
      </c>
      <c r="H7" s="95">
        <v>10.391999999999999</v>
      </c>
      <c r="I7" s="96">
        <v>2.37</v>
      </c>
      <c r="J7" s="97">
        <f t="shared" si="1"/>
        <v>24.63</v>
      </c>
      <c r="L7" s="98">
        <v>10.391999999999999</v>
      </c>
      <c r="M7" s="99">
        <v>2.37</v>
      </c>
      <c r="N7" s="100">
        <f t="shared" si="2"/>
        <v>24.63</v>
      </c>
      <c r="R7" s="102" t="s">
        <v>613</v>
      </c>
    </row>
    <row r="8" spans="1:30" x14ac:dyDescent="0.2">
      <c r="A8" s="89" t="s">
        <v>614</v>
      </c>
      <c r="B8" s="90">
        <f>IF($P$8&lt;&gt;"",ROUND(AA8*(($AB$8/(1-$P$8))-74.7185)/113.0879,2),IF('Resumen 2.0TD'!$D$3="OPTIMIZAR",ROUND(MAX(AA8,MIN(AA8*(($AB$8/(1-'Resumen 2.0TD'!$F$3))-74.7185)/113.0879,AA8*(439.4393)/113.0879)),3),AA8))</f>
        <v>195.26300000000001</v>
      </c>
      <c r="C8" s="103"/>
      <c r="D8" s="92">
        <v>0.11117100000000001</v>
      </c>
      <c r="E8" s="93">
        <v>0.17</v>
      </c>
      <c r="F8" s="94">
        <f t="shared" si="0"/>
        <v>33.19</v>
      </c>
      <c r="H8" s="95">
        <v>477.26900000000001</v>
      </c>
      <c r="I8" s="96">
        <v>0.17499999999999999</v>
      </c>
      <c r="J8" s="97">
        <f t="shared" si="1"/>
        <v>83.52</v>
      </c>
      <c r="L8" s="98">
        <v>95.263000000000005</v>
      </c>
      <c r="M8" s="99">
        <v>0.17499999999999999</v>
      </c>
      <c r="N8" s="100">
        <f t="shared" si="2"/>
        <v>16.670000000000002</v>
      </c>
      <c r="O8" s="104" t="s">
        <v>615</v>
      </c>
      <c r="P8" s="67"/>
      <c r="R8" s="102" t="s">
        <v>616</v>
      </c>
      <c r="AA8">
        <v>195.26300000000001</v>
      </c>
      <c r="AB8">
        <f>B6*D6+B7*D7+AA8*D8+AA9*D9+AA10*D10</f>
        <v>126.001526373</v>
      </c>
    </row>
    <row r="9" spans="1:30" x14ac:dyDescent="0.2">
      <c r="A9" s="89" t="s">
        <v>617</v>
      </c>
      <c r="B9" s="90">
        <f>IF($P$8&lt;&gt;"",ROUND(AA9*(($AB$8/(1-$P$8))-74.7185)/113.0879,2),IF('Resumen 2.0TD'!$D$3="OPTIMIZAR",ROUND(MAX(AA9,MIN(AA9*(($AB$8/(1-'Resumen 2.0TD'!$F$3))-74.7185)/113.0879,AA9*(439.4393)/113.0879)),3),AA9))</f>
        <v>199.672</v>
      </c>
      <c r="C9" s="103"/>
      <c r="D9" s="92">
        <v>0.11117100000000001</v>
      </c>
      <c r="E9" s="93">
        <v>0.17</v>
      </c>
      <c r="F9" s="94">
        <f t="shared" si="0"/>
        <v>33.94</v>
      </c>
      <c r="H9" s="95">
        <v>460.68599999999998</v>
      </c>
      <c r="I9" s="96">
        <v>0.17499999999999999</v>
      </c>
      <c r="J9" s="97">
        <f t="shared" si="1"/>
        <v>80.62</v>
      </c>
      <c r="L9" s="98">
        <v>99.671999999999997</v>
      </c>
      <c r="M9" s="99">
        <v>0.17499999999999999</v>
      </c>
      <c r="N9" s="100">
        <f t="shared" si="2"/>
        <v>17.440000000000001</v>
      </c>
      <c r="O9" s="105" t="s">
        <v>618</v>
      </c>
      <c r="R9" s="102" t="s">
        <v>619</v>
      </c>
      <c r="AA9">
        <v>199.672</v>
      </c>
    </row>
    <row r="10" spans="1:30" x14ac:dyDescent="0.2">
      <c r="A10" s="89" t="s">
        <v>620</v>
      </c>
      <c r="B10" s="90">
        <f>IF($P$8&lt;&gt;"",ROUND(AA10*(($AB$8/(1-$P$8))-74.7185)/113.0879,2),IF('Resumen 2.0TD'!$D$3="OPTIMIZAR",ROUND(MAX(AA10,MIN(AA10*(($AB$8/(1-'Resumen 2.0TD'!$F$3))-74.7185)/113.0879,AA10*(439.4393)/113.0879)),3),AA10))</f>
        <v>270.28800000000001</v>
      </c>
      <c r="C10" s="103"/>
      <c r="D10" s="92">
        <v>0.11117100000000001</v>
      </c>
      <c r="E10" s="93">
        <v>0.17</v>
      </c>
      <c r="F10" s="94">
        <f t="shared" si="0"/>
        <v>45.95</v>
      </c>
      <c r="H10" s="95">
        <v>525.93799999999999</v>
      </c>
      <c r="I10" s="96">
        <v>0.17499999999999999</v>
      </c>
      <c r="J10" s="97">
        <f t="shared" si="1"/>
        <v>92.04</v>
      </c>
      <c r="L10" s="98">
        <v>170.28800000000001</v>
      </c>
      <c r="M10" s="99">
        <v>0.17499999999999999</v>
      </c>
      <c r="N10" s="100">
        <f t="shared" si="2"/>
        <v>29.8</v>
      </c>
      <c r="O10" s="105" t="s">
        <v>621</v>
      </c>
      <c r="AA10">
        <v>270.28800000000001</v>
      </c>
    </row>
    <row r="11" spans="1:30" x14ac:dyDescent="0.2">
      <c r="A11" s="89" t="s">
        <v>139</v>
      </c>
      <c r="B11" s="90">
        <v>1</v>
      </c>
      <c r="C11" s="91">
        <f>$N$3-$L$3+1</f>
        <v>30</v>
      </c>
      <c r="D11" s="92">
        <v>1.3413999999999999</v>
      </c>
      <c r="E11" s="93">
        <v>1</v>
      </c>
      <c r="F11" s="94">
        <f t="shared" si="0"/>
        <v>1</v>
      </c>
      <c r="H11" s="95">
        <v>1</v>
      </c>
      <c r="I11" s="96">
        <v>1</v>
      </c>
      <c r="J11" s="97">
        <f t="shared" si="1"/>
        <v>1</v>
      </c>
      <c r="L11" s="98">
        <v>1</v>
      </c>
      <c r="M11" s="99">
        <v>1</v>
      </c>
      <c r="N11" s="100">
        <f t="shared" si="2"/>
        <v>1</v>
      </c>
    </row>
    <row r="12" spans="1:30" x14ac:dyDescent="0.2">
      <c r="A12" s="89" t="s">
        <v>140</v>
      </c>
      <c r="B12" s="90">
        <v>30</v>
      </c>
      <c r="C12" s="91">
        <f>$N$3-$L$3+1</f>
        <v>30</v>
      </c>
      <c r="D12" s="92">
        <v>0.5736</v>
      </c>
      <c r="E12" s="93">
        <v>1.274E-2</v>
      </c>
      <c r="F12" s="94">
        <f t="shared" si="0"/>
        <v>0.38</v>
      </c>
      <c r="H12" s="95">
        <v>30</v>
      </c>
      <c r="I12" s="96">
        <v>1.274E-2</v>
      </c>
      <c r="J12" s="97">
        <f t="shared" si="1"/>
        <v>0.38</v>
      </c>
      <c r="L12" s="98">
        <v>30</v>
      </c>
      <c r="M12" s="99">
        <v>6.8500000000000002E-3</v>
      </c>
      <c r="N12" s="100">
        <f t="shared" si="2"/>
        <v>0.21</v>
      </c>
    </row>
    <row r="13" spans="1:30" x14ac:dyDescent="0.2">
      <c r="A13" s="89" t="s">
        <v>141</v>
      </c>
      <c r="B13" s="90">
        <v>10.029999999999999</v>
      </c>
      <c r="C13" s="103"/>
      <c r="D13" s="92">
        <v>0.27311999999999997</v>
      </c>
      <c r="E13" s="93">
        <v>1</v>
      </c>
      <c r="F13" s="94">
        <f t="shared" si="0"/>
        <v>10.029999999999999</v>
      </c>
      <c r="H13" s="95">
        <v>17.16</v>
      </c>
      <c r="I13" s="96">
        <v>1</v>
      </c>
      <c r="J13" s="97">
        <f t="shared" si="1"/>
        <v>17.16</v>
      </c>
      <c r="L13" s="98">
        <v>7.09</v>
      </c>
      <c r="M13" s="99">
        <v>1</v>
      </c>
      <c r="N13" s="100">
        <f t="shared" si="2"/>
        <v>7.09</v>
      </c>
    </row>
    <row r="14" spans="1:30" x14ac:dyDescent="0.2">
      <c r="A14" s="106" t="s">
        <v>142</v>
      </c>
      <c r="F14" s="107">
        <f>ROUND((SUM(F6:F13)-F13)*1.1+F13,2)</f>
        <v>218.13</v>
      </c>
      <c r="J14" s="108">
        <f>ROUND(SUM(J6:J13),2)</f>
        <v>349.44</v>
      </c>
      <c r="N14" s="109">
        <f>ROUND(SUM(N6:N13),2)</f>
        <v>146.93</v>
      </c>
    </row>
    <row r="15" spans="1:30" x14ac:dyDescent="0.2">
      <c r="A15" s="78" t="s">
        <v>143</v>
      </c>
      <c r="B15" s="110">
        <f>IF((F10+F9+F8+F6+F7)=0,"",((F10+F9+F8+F6+F7)-$AB$8)/(F10+F9+F8+F6+F7))</f>
        <v>0.32906535477635784</v>
      </c>
      <c r="D15" s="139" t="str">
        <f>IF(B15="","SIN PC",IF(B15&gt;=0.3,"APROBAR",IF(B15&gt;=0.2,"REVISAR","RECHAZAR")))</f>
        <v>APROBAR</v>
      </c>
      <c r="E15" s="139"/>
      <c r="F15" s="139"/>
      <c r="AD15">
        <f>SUM(F8:F10)-113.0879</f>
        <v>-7.9000000000064574E-3</v>
      </c>
    </row>
    <row r="17" spans="1:30" x14ac:dyDescent="0.2">
      <c r="A17" s="137" t="s">
        <v>622</v>
      </c>
      <c r="B17" s="137"/>
      <c r="C17" s="137"/>
      <c r="D17" s="137"/>
      <c r="E17" s="137"/>
      <c r="F17" s="137"/>
      <c r="H17" s="137" t="s">
        <v>623</v>
      </c>
      <c r="I17" s="137"/>
      <c r="J17" s="137"/>
      <c r="K17" s="137"/>
      <c r="L17" s="76">
        <v>46113</v>
      </c>
      <c r="M17" s="77" t="s">
        <v>607</v>
      </c>
      <c r="N17" s="76">
        <v>46142</v>
      </c>
      <c r="R17" s="138" t="s">
        <v>110</v>
      </c>
      <c r="S17" s="138"/>
      <c r="T17" s="138"/>
      <c r="U17" s="138"/>
      <c r="V17" s="138"/>
    </row>
    <row r="18" spans="1:30" x14ac:dyDescent="0.2">
      <c r="A18" s="78" t="s">
        <v>111</v>
      </c>
      <c r="B18" s="79" t="s">
        <v>112</v>
      </c>
      <c r="C18" s="80"/>
      <c r="D18" s="80"/>
      <c r="E18" s="80"/>
      <c r="F18" s="80"/>
      <c r="H18" s="81" t="s">
        <v>624</v>
      </c>
      <c r="I18" s="82"/>
      <c r="J18" s="82"/>
      <c r="L18" s="83" t="s">
        <v>625</v>
      </c>
      <c r="M18" s="84"/>
      <c r="N18" s="84"/>
      <c r="R18" s="85" t="s">
        <v>626</v>
      </c>
    </row>
    <row r="19" spans="1:30" x14ac:dyDescent="0.2">
      <c r="B19" s="68" t="s">
        <v>116</v>
      </c>
      <c r="C19" s="68" t="s">
        <v>117</v>
      </c>
      <c r="D19" s="68" t="s">
        <v>118</v>
      </c>
      <c r="E19" s="68" t="s">
        <v>119</v>
      </c>
      <c r="F19" s="68" t="s">
        <v>120</v>
      </c>
      <c r="H19" s="86" t="s">
        <v>116</v>
      </c>
      <c r="I19" s="86" t="s">
        <v>119</v>
      </c>
      <c r="J19" s="86" t="s">
        <v>120</v>
      </c>
      <c r="L19" s="87" t="s">
        <v>116</v>
      </c>
      <c r="M19" s="87" t="s">
        <v>119</v>
      </c>
      <c r="N19" s="87" t="s">
        <v>120</v>
      </c>
      <c r="R19" s="88" t="s">
        <v>627</v>
      </c>
    </row>
    <row r="20" spans="1:30" x14ac:dyDescent="0.2">
      <c r="A20" s="89" t="s">
        <v>122</v>
      </c>
      <c r="B20" s="90">
        <v>10.391999999999999</v>
      </c>
      <c r="C20" s="91">
        <f>$N$17-$L$17+1</f>
        <v>30</v>
      </c>
      <c r="D20" s="92">
        <v>3.68919</v>
      </c>
      <c r="E20" s="93">
        <v>4.82</v>
      </c>
      <c r="F20" s="94">
        <f t="shared" ref="F20:F27" si="3">ROUND(B20*E20,2)</f>
        <v>50.09</v>
      </c>
      <c r="H20" s="95">
        <v>10.391999999999999</v>
      </c>
      <c r="I20" s="96">
        <v>4.82</v>
      </c>
      <c r="J20" s="97">
        <f t="shared" ref="J20:J27" si="4">ROUND(H20*I20,2)</f>
        <v>50.09</v>
      </c>
      <c r="L20" s="98">
        <v>10.391999999999999</v>
      </c>
      <c r="M20" s="99">
        <v>4.82</v>
      </c>
      <c r="N20" s="100">
        <f t="shared" ref="N20:N27" si="5">ROUND(L20*M20,2)</f>
        <v>50.09</v>
      </c>
      <c r="R20" s="101" t="s">
        <v>628</v>
      </c>
    </row>
    <row r="21" spans="1:30" x14ac:dyDescent="0.2">
      <c r="A21" s="89" t="s">
        <v>124</v>
      </c>
      <c r="B21" s="90">
        <v>10.391999999999999</v>
      </c>
      <c r="C21" s="91">
        <f>$N$17-$L$17+1</f>
        <v>30</v>
      </c>
      <c r="D21" s="92">
        <v>1.31928</v>
      </c>
      <c r="E21" s="93">
        <v>2.37</v>
      </c>
      <c r="F21" s="94">
        <f t="shared" si="3"/>
        <v>24.63</v>
      </c>
      <c r="H21" s="95">
        <v>10.391999999999999</v>
      </c>
      <c r="I21" s="96">
        <v>2.37</v>
      </c>
      <c r="J21" s="97">
        <f t="shared" si="4"/>
        <v>24.63</v>
      </c>
      <c r="L21" s="98">
        <v>10.391999999999999</v>
      </c>
      <c r="M21" s="99">
        <v>2.37</v>
      </c>
      <c r="N21" s="100">
        <f t="shared" si="5"/>
        <v>24.63</v>
      </c>
      <c r="R21" s="102" t="s">
        <v>629</v>
      </c>
    </row>
    <row r="22" spans="1:30" x14ac:dyDescent="0.2">
      <c r="A22" s="89" t="s">
        <v>614</v>
      </c>
      <c r="B22" s="90">
        <f>IF($P$22&lt;&gt;"",ROUND(AA22*(($AB$22/(1-$P$22))-74.7185)/100.7259,2),IF('Resumen 2.0TD'!$D$3="OPTIMIZAR",ROUND(MAX(AA22,MIN(AA22*(($AB$22/(1-'Resumen 2.0TD'!$F$3))-74.7185)/100.7259,AA22*(259.0793)/100.7259)),3),AA22))</f>
        <v>177.5</v>
      </c>
      <c r="C22" s="103"/>
      <c r="D22" s="92">
        <v>0.11117100000000001</v>
      </c>
      <c r="E22" s="93">
        <v>0.17</v>
      </c>
      <c r="F22" s="94">
        <f t="shared" si="3"/>
        <v>30.18</v>
      </c>
      <c r="H22" s="95">
        <v>309.61399999999998</v>
      </c>
      <c r="I22" s="96">
        <v>0.17499999999999999</v>
      </c>
      <c r="J22" s="97">
        <f t="shared" si="4"/>
        <v>54.18</v>
      </c>
      <c r="L22" s="98">
        <v>77.5</v>
      </c>
      <c r="M22" s="99">
        <v>0.17499999999999999</v>
      </c>
      <c r="N22" s="100">
        <f t="shared" si="5"/>
        <v>13.56</v>
      </c>
      <c r="O22" s="104" t="s">
        <v>615</v>
      </c>
      <c r="P22" s="67"/>
      <c r="R22" s="102" t="s">
        <v>630</v>
      </c>
      <c r="AA22">
        <v>177.5</v>
      </c>
      <c r="AB22">
        <f>B20*D20+B21*D21+AA22*D22+AA23*D23+AA24*D24</f>
        <v>117.91739359500001</v>
      </c>
    </row>
    <row r="23" spans="1:30" x14ac:dyDescent="0.2">
      <c r="A23" s="89" t="s">
        <v>617</v>
      </c>
      <c r="B23" s="90">
        <f>IF($P$22&lt;&gt;"",ROUND(AA23*(($AB$22/(1-$P$22))-74.7185)/100.7259,2),IF('Resumen 2.0TD'!$D$3="OPTIMIZAR",ROUND(MAX(AA23,MIN(AA23*(($AB$22/(1-'Resumen 2.0TD'!$F$3))-74.7185)/100.7259,AA23*(259.0793)/100.7259)),3),AA23))</f>
        <v>168.86</v>
      </c>
      <c r="C23" s="103"/>
      <c r="D23" s="92">
        <v>0.11117100000000001</v>
      </c>
      <c r="E23" s="93">
        <v>0.17</v>
      </c>
      <c r="F23" s="94">
        <f t="shared" si="3"/>
        <v>28.71</v>
      </c>
      <c r="H23" s="95">
        <v>186.46100000000001</v>
      </c>
      <c r="I23" s="96">
        <v>0.17499999999999999</v>
      </c>
      <c r="J23" s="97">
        <f t="shared" si="4"/>
        <v>32.630000000000003</v>
      </c>
      <c r="L23" s="98">
        <v>68.86</v>
      </c>
      <c r="M23" s="99">
        <v>0.17499999999999999</v>
      </c>
      <c r="N23" s="100">
        <f t="shared" si="5"/>
        <v>12.05</v>
      </c>
      <c r="O23" s="105" t="s">
        <v>618</v>
      </c>
      <c r="R23" s="102" t="s">
        <v>619</v>
      </c>
      <c r="AA23">
        <v>168.86</v>
      </c>
    </row>
    <row r="24" spans="1:30" x14ac:dyDescent="0.2">
      <c r="A24" s="89" t="s">
        <v>620</v>
      </c>
      <c r="B24" s="90">
        <f>IF($P$22&lt;&gt;"",ROUND(AA24*(($AB$22/(1-$P$22))-74.7185)/100.7259,2),IF('Resumen 2.0TD'!$D$3="OPTIMIZAR",ROUND(MAX(AA24,MIN(AA24*(($AB$22/(1-'Resumen 2.0TD'!$F$3))-74.7185)/100.7259,AA24*(259.0793)/100.7259)),3),AA24))</f>
        <v>246.14500000000001</v>
      </c>
      <c r="C24" s="103"/>
      <c r="D24" s="92">
        <v>0.11117100000000001</v>
      </c>
      <c r="E24" s="93">
        <v>0.17</v>
      </c>
      <c r="F24" s="94">
        <f t="shared" si="3"/>
        <v>41.84</v>
      </c>
      <c r="H24" s="95">
        <v>355.27199999999999</v>
      </c>
      <c r="I24" s="96">
        <v>0.17499999999999999</v>
      </c>
      <c r="J24" s="97">
        <f t="shared" si="4"/>
        <v>62.17</v>
      </c>
      <c r="L24" s="98">
        <v>146.14500000000001</v>
      </c>
      <c r="M24" s="99">
        <v>0.17499999999999999</v>
      </c>
      <c r="N24" s="100">
        <f t="shared" si="5"/>
        <v>25.58</v>
      </c>
      <c r="O24" s="105" t="s">
        <v>621</v>
      </c>
      <c r="AA24">
        <v>246.14500000000001</v>
      </c>
    </row>
    <row r="25" spans="1:30" x14ac:dyDescent="0.2">
      <c r="A25" s="89" t="s">
        <v>139</v>
      </c>
      <c r="B25" s="90">
        <v>1</v>
      </c>
      <c r="C25" s="91">
        <f>$N$17-$L$17+1</f>
        <v>30</v>
      </c>
      <c r="D25" s="92">
        <v>1.3413999999999999</v>
      </c>
      <c r="E25" s="93">
        <v>1</v>
      </c>
      <c r="F25" s="94">
        <f t="shared" si="3"/>
        <v>1</v>
      </c>
      <c r="H25" s="95">
        <v>1</v>
      </c>
      <c r="I25" s="96">
        <v>1</v>
      </c>
      <c r="J25" s="97">
        <f t="shared" si="4"/>
        <v>1</v>
      </c>
      <c r="L25" s="98">
        <v>1</v>
      </c>
      <c r="M25" s="99">
        <v>1</v>
      </c>
      <c r="N25" s="100">
        <f t="shared" si="5"/>
        <v>1</v>
      </c>
    </row>
    <row r="26" spans="1:30" x14ac:dyDescent="0.2">
      <c r="A26" s="89" t="s">
        <v>140</v>
      </c>
      <c r="B26" s="90">
        <v>30</v>
      </c>
      <c r="C26" s="91">
        <f>$N$17-$L$17+1</f>
        <v>30</v>
      </c>
      <c r="D26" s="92">
        <v>0.5736</v>
      </c>
      <c r="E26" s="93">
        <v>1.274E-2</v>
      </c>
      <c r="F26" s="94">
        <f t="shared" si="3"/>
        <v>0.38</v>
      </c>
      <c r="H26" s="95">
        <v>30</v>
      </c>
      <c r="I26" s="96">
        <v>1.274E-2</v>
      </c>
      <c r="J26" s="97">
        <f t="shared" si="4"/>
        <v>0.38</v>
      </c>
      <c r="L26" s="98">
        <v>30</v>
      </c>
      <c r="M26" s="99">
        <v>6.8500000000000002E-3</v>
      </c>
      <c r="N26" s="100">
        <f t="shared" si="5"/>
        <v>0.21</v>
      </c>
    </row>
    <row r="27" spans="1:30" x14ac:dyDescent="0.2">
      <c r="A27" s="89" t="s">
        <v>141</v>
      </c>
      <c r="B27" s="90">
        <v>9.3699999999999992</v>
      </c>
      <c r="C27" s="103"/>
      <c r="D27" s="92">
        <v>0.27311999999999997</v>
      </c>
      <c r="E27" s="93">
        <v>1</v>
      </c>
      <c r="F27" s="94">
        <f t="shared" si="3"/>
        <v>9.3699999999999992</v>
      </c>
      <c r="H27" s="95">
        <v>12.1</v>
      </c>
      <c r="I27" s="96">
        <v>1</v>
      </c>
      <c r="J27" s="97">
        <f t="shared" si="4"/>
        <v>12.1</v>
      </c>
      <c r="L27" s="98">
        <v>6.44</v>
      </c>
      <c r="M27" s="99">
        <v>1</v>
      </c>
      <c r="N27" s="100">
        <f t="shared" si="5"/>
        <v>6.44</v>
      </c>
    </row>
    <row r="28" spans="1:30" x14ac:dyDescent="0.2">
      <c r="A28" s="106" t="s">
        <v>142</v>
      </c>
      <c r="F28" s="107">
        <f>ROUND((SUM(F20:F27)-F27)*1.1+F27,2)</f>
        <v>203.88</v>
      </c>
      <c r="J28" s="108">
        <f>ROUND(SUM(J20:J27),2)</f>
        <v>237.18</v>
      </c>
      <c r="N28" s="109">
        <f>ROUND(SUM(N20:N27),2)</f>
        <v>133.56</v>
      </c>
    </row>
    <row r="29" spans="1:30" x14ac:dyDescent="0.2">
      <c r="A29" s="78" t="s">
        <v>143</v>
      </c>
      <c r="B29" s="110">
        <f>IF((F24+F23+F22+F20+F21)=0,"",((F24+F23+F22+F20+F21)-$AB$22)/(F24+F23+F22+F20+F21))</f>
        <v>0.32791454206326592</v>
      </c>
      <c r="D29" s="139" t="str">
        <f>IF(B29="","SIN PC",IF(B29&gt;=0.3,"APROBAR",IF(B29&gt;=0.2,"REVISAR","RECHAZAR")))</f>
        <v>APROBAR</v>
      </c>
      <c r="E29" s="139"/>
      <c r="F29" s="139"/>
      <c r="AD29">
        <f>SUM(F22:F24)-100.7259</f>
        <v>4.1000000000082082E-3</v>
      </c>
    </row>
    <row r="31" spans="1:30" x14ac:dyDescent="0.2">
      <c r="A31" s="137" t="s">
        <v>631</v>
      </c>
      <c r="B31" s="137"/>
      <c r="C31" s="137"/>
      <c r="D31" s="137"/>
      <c r="E31" s="137"/>
      <c r="F31" s="137"/>
      <c r="H31" s="137" t="s">
        <v>632</v>
      </c>
      <c r="I31" s="137"/>
      <c r="J31" s="137"/>
      <c r="K31" s="137"/>
      <c r="L31" s="76">
        <v>46113</v>
      </c>
      <c r="M31" s="77" t="s">
        <v>607</v>
      </c>
      <c r="N31" s="76">
        <v>46142</v>
      </c>
      <c r="R31" s="138" t="s">
        <v>110</v>
      </c>
      <c r="S31" s="138"/>
      <c r="T31" s="138"/>
      <c r="U31" s="138"/>
      <c r="V31" s="138"/>
    </row>
    <row r="32" spans="1:30" x14ac:dyDescent="0.2">
      <c r="A32" s="78" t="s">
        <v>111</v>
      </c>
      <c r="B32" s="79" t="s">
        <v>112</v>
      </c>
      <c r="C32" s="80"/>
      <c r="D32" s="80"/>
      <c r="E32" s="80"/>
      <c r="F32" s="80"/>
      <c r="H32" s="81" t="s">
        <v>633</v>
      </c>
      <c r="I32" s="82"/>
      <c r="J32" s="82"/>
      <c r="L32" s="83" t="s">
        <v>634</v>
      </c>
      <c r="M32" s="84"/>
      <c r="N32" s="84"/>
      <c r="R32" s="85" t="s">
        <v>635</v>
      </c>
    </row>
    <row r="33" spans="1:30" x14ac:dyDescent="0.2">
      <c r="B33" s="68" t="s">
        <v>116</v>
      </c>
      <c r="C33" s="68" t="s">
        <v>117</v>
      </c>
      <c r="D33" s="68" t="s">
        <v>118</v>
      </c>
      <c r="E33" s="68" t="s">
        <v>119</v>
      </c>
      <c r="F33" s="68" t="s">
        <v>120</v>
      </c>
      <c r="H33" s="86" t="s">
        <v>116</v>
      </c>
      <c r="I33" s="86" t="s">
        <v>119</v>
      </c>
      <c r="J33" s="86" t="s">
        <v>120</v>
      </c>
      <c r="L33" s="87" t="s">
        <v>116</v>
      </c>
      <c r="M33" s="87" t="s">
        <v>119</v>
      </c>
      <c r="N33" s="87" t="s">
        <v>120</v>
      </c>
      <c r="R33" s="88" t="s">
        <v>636</v>
      </c>
    </row>
    <row r="34" spans="1:30" x14ac:dyDescent="0.2">
      <c r="A34" s="89" t="s">
        <v>122</v>
      </c>
      <c r="B34" s="90">
        <v>6.9279999999999999</v>
      </c>
      <c r="C34" s="91">
        <f>$N$31-$L$31+1</f>
        <v>30</v>
      </c>
      <c r="D34" s="92">
        <v>3.68919</v>
      </c>
      <c r="E34" s="93">
        <v>4.82</v>
      </c>
      <c r="F34" s="94">
        <f t="shared" ref="F34:F41" si="6">ROUND(B34*E34,2)</f>
        <v>33.39</v>
      </c>
      <c r="H34" s="95">
        <v>6.9279999999999999</v>
      </c>
      <c r="I34" s="96">
        <v>4.82</v>
      </c>
      <c r="J34" s="97">
        <f t="shared" ref="J34:J41" si="7">ROUND(H34*I34,2)</f>
        <v>33.39</v>
      </c>
      <c r="L34" s="98">
        <v>6.9279999999999999</v>
      </c>
      <c r="M34" s="99">
        <v>4.82</v>
      </c>
      <c r="N34" s="100">
        <f t="shared" ref="N34:N41" si="8">ROUND(L34*M34,2)</f>
        <v>33.39</v>
      </c>
      <c r="R34" s="101" t="s">
        <v>637</v>
      </c>
    </row>
    <row r="35" spans="1:30" x14ac:dyDescent="0.2">
      <c r="A35" s="89" t="s">
        <v>124</v>
      </c>
      <c r="B35" s="90">
        <v>6.9279999999999999</v>
      </c>
      <c r="C35" s="91">
        <f>$N$31-$L$31+1</f>
        <v>30</v>
      </c>
      <c r="D35" s="92">
        <v>1.31928</v>
      </c>
      <c r="E35" s="93">
        <v>2.37</v>
      </c>
      <c r="F35" s="94">
        <f t="shared" si="6"/>
        <v>16.420000000000002</v>
      </c>
      <c r="H35" s="95">
        <v>6.9279999999999999</v>
      </c>
      <c r="I35" s="96">
        <v>2.37</v>
      </c>
      <c r="J35" s="97">
        <f t="shared" si="7"/>
        <v>16.420000000000002</v>
      </c>
      <c r="L35" s="98">
        <v>6.9279999999999999</v>
      </c>
      <c r="M35" s="99">
        <v>2.37</v>
      </c>
      <c r="N35" s="100">
        <f t="shared" si="8"/>
        <v>16.420000000000002</v>
      </c>
      <c r="R35" s="102" t="s">
        <v>638</v>
      </c>
    </row>
    <row r="36" spans="1:30" x14ac:dyDescent="0.2">
      <c r="A36" s="89" t="s">
        <v>614</v>
      </c>
      <c r="B36" s="90">
        <f>IF($P$36&lt;&gt;"",ROUND(AA36*(($AB$36/(1-$P$36))-49.8123)/207.1457,2),IF('Resumen 2.0TD'!$D$3="OPTIMIZAR",ROUND(MAX(AA36,MIN(AA36*(($AB$36/(1-'Resumen 2.0TD'!$F$3))-49.8123)/207.1457,AA36*(548.5955)/207.1457)),3),AA36))</f>
        <v>301.88400000000001</v>
      </c>
      <c r="C36" s="103"/>
      <c r="D36" s="92">
        <v>0.11117100000000001</v>
      </c>
      <c r="E36" s="93">
        <v>0.17</v>
      </c>
      <c r="F36" s="94">
        <f t="shared" si="6"/>
        <v>51.32</v>
      </c>
      <c r="H36" s="95">
        <v>250.417</v>
      </c>
      <c r="I36" s="96">
        <v>0.17499999999999999</v>
      </c>
      <c r="J36" s="97">
        <f t="shared" si="7"/>
        <v>43.82</v>
      </c>
      <c r="L36" s="98">
        <v>201.88399999999999</v>
      </c>
      <c r="M36" s="99">
        <v>0.17499999999999999</v>
      </c>
      <c r="N36" s="100">
        <f t="shared" si="8"/>
        <v>35.33</v>
      </c>
      <c r="O36" s="104" t="s">
        <v>615</v>
      </c>
      <c r="P36" s="67"/>
      <c r="R36" s="102" t="s">
        <v>639</v>
      </c>
      <c r="AA36">
        <v>301.88400000000001</v>
      </c>
      <c r="AB36">
        <f>B34*D34+B35*D35+AA36*D36+AA37*D37+AA38*D38</f>
        <v>170.160988344</v>
      </c>
    </row>
    <row r="37" spans="1:30" x14ac:dyDescent="0.2">
      <c r="A37" s="89" t="s">
        <v>617</v>
      </c>
      <c r="B37" s="90">
        <f>IF($P$36&lt;&gt;"",ROUND(AA37*(($AB$36/(1-$P$36))-49.8123)/207.1457,2),IF('Resumen 2.0TD'!$D$3="OPTIMIZAR",ROUND(MAX(AA37,MIN(AA37*(($AB$36/(1-'Resumen 2.0TD'!$F$3))-49.8123)/207.1457,AA37*(548.5955)/207.1457)),3),AA37))</f>
        <v>374.31299999999999</v>
      </c>
      <c r="C37" s="103"/>
      <c r="D37" s="92">
        <v>0.11117100000000001</v>
      </c>
      <c r="E37" s="93">
        <v>0.17</v>
      </c>
      <c r="F37" s="94">
        <f t="shared" si="6"/>
        <v>63.63</v>
      </c>
      <c r="H37" s="95">
        <v>234.006</v>
      </c>
      <c r="I37" s="96">
        <v>0.17499999999999999</v>
      </c>
      <c r="J37" s="97">
        <f t="shared" si="7"/>
        <v>40.950000000000003</v>
      </c>
      <c r="L37" s="98">
        <v>174.31299999999999</v>
      </c>
      <c r="M37" s="99">
        <v>0.17499999999999999</v>
      </c>
      <c r="N37" s="100">
        <f t="shared" si="8"/>
        <v>30.5</v>
      </c>
      <c r="O37" s="105" t="s">
        <v>618</v>
      </c>
      <c r="R37" s="102" t="s">
        <v>619</v>
      </c>
      <c r="AA37">
        <v>374.31299999999999</v>
      </c>
    </row>
    <row r="38" spans="1:30" x14ac:dyDescent="0.2">
      <c r="A38" s="89" t="s">
        <v>620</v>
      </c>
      <c r="B38" s="90">
        <f>IF($P$36&lt;&gt;"",ROUND(AA38*(($AB$36/(1-$P$36))-49.8123)/207.1457,2),IF('Resumen 2.0TD'!$D$3="OPTIMIZAR",ROUND(MAX(AA38,MIN(AA38*(($AB$36/(1-'Resumen 2.0TD'!$F$3))-49.8123)/207.1457,AA38*(548.5955)/207.1457)),3),AA38))</f>
        <v>542.30700000000002</v>
      </c>
      <c r="C38" s="103"/>
      <c r="D38" s="92">
        <v>0.11117100000000001</v>
      </c>
      <c r="E38" s="93">
        <v>0.17</v>
      </c>
      <c r="F38" s="94">
        <f t="shared" si="6"/>
        <v>92.19</v>
      </c>
      <c r="H38" s="95">
        <v>376.92500000000001</v>
      </c>
      <c r="I38" s="96">
        <v>0.17499999999999999</v>
      </c>
      <c r="J38" s="97">
        <f t="shared" si="7"/>
        <v>65.959999999999994</v>
      </c>
      <c r="L38" s="98">
        <v>342.30700000000002</v>
      </c>
      <c r="M38" s="99">
        <v>0.17499999999999999</v>
      </c>
      <c r="N38" s="100">
        <f t="shared" si="8"/>
        <v>59.9</v>
      </c>
      <c r="O38" s="105" t="s">
        <v>621</v>
      </c>
      <c r="AA38">
        <v>542.30700000000002</v>
      </c>
    </row>
    <row r="39" spans="1:30" x14ac:dyDescent="0.2">
      <c r="A39" s="89" t="s">
        <v>139</v>
      </c>
      <c r="B39" s="90">
        <v>1</v>
      </c>
      <c r="C39" s="91">
        <f>$N$31-$L$31+1</f>
        <v>30</v>
      </c>
      <c r="D39" s="92">
        <v>1.3413999999999999</v>
      </c>
      <c r="E39" s="93">
        <v>1</v>
      </c>
      <c r="F39" s="94">
        <f t="shared" si="6"/>
        <v>1</v>
      </c>
      <c r="H39" s="95">
        <v>1</v>
      </c>
      <c r="I39" s="96">
        <v>1</v>
      </c>
      <c r="J39" s="97">
        <f t="shared" si="7"/>
        <v>1</v>
      </c>
      <c r="L39" s="98">
        <v>1</v>
      </c>
      <c r="M39" s="99">
        <v>1</v>
      </c>
      <c r="N39" s="100">
        <f t="shared" si="8"/>
        <v>1</v>
      </c>
    </row>
    <row r="40" spans="1:30" x14ac:dyDescent="0.2">
      <c r="A40" s="89" t="s">
        <v>140</v>
      </c>
      <c r="B40" s="90">
        <v>30</v>
      </c>
      <c r="C40" s="91">
        <f>$N$31-$L$31+1</f>
        <v>30</v>
      </c>
      <c r="D40" s="92">
        <v>0.5736</v>
      </c>
      <c r="E40" s="93">
        <v>1.274E-2</v>
      </c>
      <c r="F40" s="94">
        <f t="shared" si="6"/>
        <v>0.38</v>
      </c>
      <c r="H40" s="95">
        <v>30</v>
      </c>
      <c r="I40" s="96">
        <v>1.274E-2</v>
      </c>
      <c r="J40" s="97">
        <f t="shared" si="7"/>
        <v>0.38</v>
      </c>
      <c r="L40" s="98">
        <v>30</v>
      </c>
      <c r="M40" s="99">
        <v>6.8500000000000002E-3</v>
      </c>
      <c r="N40" s="100">
        <f t="shared" si="8"/>
        <v>0.21</v>
      </c>
    </row>
    <row r="41" spans="1:30" x14ac:dyDescent="0.2">
      <c r="A41" s="89" t="s">
        <v>141</v>
      </c>
      <c r="B41" s="90">
        <v>13.65</v>
      </c>
      <c r="C41" s="103"/>
      <c r="D41" s="92">
        <v>0.27311999999999997</v>
      </c>
      <c r="E41" s="93">
        <v>1</v>
      </c>
      <c r="F41" s="94">
        <f t="shared" si="6"/>
        <v>13.65</v>
      </c>
      <c r="H41" s="95">
        <v>12.86</v>
      </c>
      <c r="I41" s="96">
        <v>1</v>
      </c>
      <c r="J41" s="97">
        <f t="shared" si="7"/>
        <v>12.86</v>
      </c>
      <c r="L41" s="98">
        <v>8.83</v>
      </c>
      <c r="M41" s="99">
        <v>1</v>
      </c>
      <c r="N41" s="100">
        <f t="shared" si="8"/>
        <v>8.83</v>
      </c>
    </row>
    <row r="42" spans="1:30" x14ac:dyDescent="0.2">
      <c r="A42" s="106" t="s">
        <v>142</v>
      </c>
      <c r="F42" s="107">
        <f>ROUND((SUM(F34:F41)-F41)*1.1+F41,2)</f>
        <v>297.81</v>
      </c>
      <c r="J42" s="108">
        <f>ROUND(SUM(J34:J41),2)</f>
        <v>214.78</v>
      </c>
      <c r="N42" s="109">
        <f>ROUND(SUM(N34:N41),2)</f>
        <v>185.58</v>
      </c>
    </row>
    <row r="43" spans="1:30" x14ac:dyDescent="0.2">
      <c r="A43" s="78" t="s">
        <v>143</v>
      </c>
      <c r="B43" s="110">
        <f>IF((F38+F37+F36+F34+F35)=0,"",((F38+F37+F36+F34+F35)-$AB$36)/(F38+F37+F36+F34+F35))</f>
        <v>0.33776614771745472</v>
      </c>
      <c r="D43" s="139" t="str">
        <f>IF(B43="","SIN PC",IF(B43&gt;=0.3,"APROBAR",IF(B43&gt;=0.2,"REVISAR","RECHAZAR")))</f>
        <v>APROBAR</v>
      </c>
      <c r="E43" s="139"/>
      <c r="F43" s="139"/>
      <c r="AD43">
        <f>SUM(F36:F38)-207.1457</f>
        <v>-5.7000000000186901E-3</v>
      </c>
    </row>
    <row r="45" spans="1:30" x14ac:dyDescent="0.2">
      <c r="A45" s="137" t="s">
        <v>640</v>
      </c>
      <c r="B45" s="137"/>
      <c r="C45" s="137"/>
      <c r="D45" s="137"/>
      <c r="E45" s="137"/>
      <c r="F45" s="137"/>
      <c r="H45" s="137" t="s">
        <v>641</v>
      </c>
      <c r="I45" s="137"/>
      <c r="J45" s="137"/>
      <c r="K45" s="137"/>
      <c r="L45" s="76">
        <v>46113</v>
      </c>
      <c r="M45" s="77" t="s">
        <v>607</v>
      </c>
      <c r="N45" s="76">
        <v>46142</v>
      </c>
      <c r="R45" s="138" t="s">
        <v>110</v>
      </c>
      <c r="S45" s="138"/>
      <c r="T45" s="138"/>
      <c r="U45" s="138"/>
      <c r="V45" s="138"/>
    </row>
    <row r="46" spans="1:30" x14ac:dyDescent="0.2">
      <c r="A46" s="78" t="s">
        <v>111</v>
      </c>
      <c r="B46" s="79" t="s">
        <v>112</v>
      </c>
      <c r="C46" s="80"/>
      <c r="D46" s="80"/>
      <c r="E46" s="80"/>
      <c r="F46" s="80"/>
      <c r="H46" s="81" t="s">
        <v>642</v>
      </c>
      <c r="I46" s="82"/>
      <c r="J46" s="82"/>
      <c r="L46" s="83" t="s">
        <v>643</v>
      </c>
      <c r="M46" s="84"/>
      <c r="N46" s="84"/>
      <c r="R46" s="85" t="s">
        <v>644</v>
      </c>
    </row>
    <row r="47" spans="1:30" x14ac:dyDescent="0.2">
      <c r="B47" s="68" t="s">
        <v>116</v>
      </c>
      <c r="C47" s="68" t="s">
        <v>117</v>
      </c>
      <c r="D47" s="68" t="s">
        <v>118</v>
      </c>
      <c r="E47" s="68" t="s">
        <v>119</v>
      </c>
      <c r="F47" s="68" t="s">
        <v>120</v>
      </c>
      <c r="H47" s="86" t="s">
        <v>116</v>
      </c>
      <c r="I47" s="86" t="s">
        <v>119</v>
      </c>
      <c r="J47" s="86" t="s">
        <v>120</v>
      </c>
      <c r="L47" s="87" t="s">
        <v>116</v>
      </c>
      <c r="M47" s="87" t="s">
        <v>119</v>
      </c>
      <c r="N47" s="87" t="s">
        <v>120</v>
      </c>
      <c r="R47" s="88" t="s">
        <v>645</v>
      </c>
    </row>
    <row r="48" spans="1:30" x14ac:dyDescent="0.2">
      <c r="A48" s="89" t="s">
        <v>122</v>
      </c>
      <c r="B48" s="90">
        <v>6.9279999999999999</v>
      </c>
      <c r="C48" s="91">
        <f>$N$45-$L$45+1</f>
        <v>30</v>
      </c>
      <c r="D48" s="92">
        <v>3.68919</v>
      </c>
      <c r="E48" s="93">
        <v>4.82</v>
      </c>
      <c r="F48" s="94">
        <f t="shared" ref="F48:F55" si="9">ROUND(B48*E48,2)</f>
        <v>33.39</v>
      </c>
      <c r="H48" s="95">
        <v>6.9279999999999999</v>
      </c>
      <c r="I48" s="96">
        <v>4.82</v>
      </c>
      <c r="J48" s="97">
        <f t="shared" ref="J48:J55" si="10">ROUND(H48*I48,2)</f>
        <v>33.39</v>
      </c>
      <c r="L48" s="98">
        <v>6.9279999999999999</v>
      </c>
      <c r="M48" s="99">
        <v>4.82</v>
      </c>
      <c r="N48" s="100">
        <f t="shared" ref="N48:N55" si="11">ROUND(L48*M48,2)</f>
        <v>33.39</v>
      </c>
      <c r="R48" s="101" t="s">
        <v>646</v>
      </c>
    </row>
    <row r="49" spans="1:30" x14ac:dyDescent="0.2">
      <c r="A49" s="89" t="s">
        <v>124</v>
      </c>
      <c r="B49" s="90">
        <v>6.9279999999999999</v>
      </c>
      <c r="C49" s="91">
        <f>$N$45-$L$45+1</f>
        <v>30</v>
      </c>
      <c r="D49" s="92">
        <v>1.31928</v>
      </c>
      <c r="E49" s="93">
        <v>2.37</v>
      </c>
      <c r="F49" s="94">
        <f t="shared" si="9"/>
        <v>16.420000000000002</v>
      </c>
      <c r="H49" s="95">
        <v>6.9279999999999999</v>
      </c>
      <c r="I49" s="96">
        <v>2.37</v>
      </c>
      <c r="J49" s="97">
        <f t="shared" si="10"/>
        <v>16.420000000000002</v>
      </c>
      <c r="L49" s="98">
        <v>6.9279999999999999</v>
      </c>
      <c r="M49" s="99">
        <v>2.37</v>
      </c>
      <c r="N49" s="100">
        <f t="shared" si="11"/>
        <v>16.420000000000002</v>
      </c>
      <c r="R49" s="102" t="s">
        <v>647</v>
      </c>
    </row>
    <row r="50" spans="1:30" x14ac:dyDescent="0.2">
      <c r="A50" s="89" t="s">
        <v>614</v>
      </c>
      <c r="B50" s="90">
        <f>IF($P$50&lt;&gt;"",ROUND(AA50*(($AB$50/(1-$P$50))-49.8123)/214.3328,2),IF('Resumen 2.0TD'!$D$3="OPTIMIZAR",ROUND(MAX(AA50,MIN(AA50*(($AB$50/(1-'Resumen 2.0TD'!$F$3))-49.8123)/214.3328,AA50*(452.4655)/214.3328)),3),AA50))</f>
        <v>448.7</v>
      </c>
      <c r="C50" s="103"/>
      <c r="D50" s="92">
        <v>0.14291300000000001</v>
      </c>
      <c r="E50" s="93">
        <v>0.17</v>
      </c>
      <c r="F50" s="94">
        <f t="shared" si="9"/>
        <v>76.28</v>
      </c>
      <c r="H50" s="95">
        <v>258.447</v>
      </c>
      <c r="I50" s="96">
        <v>0.17499999999999999</v>
      </c>
      <c r="J50" s="97">
        <f t="shared" si="10"/>
        <v>45.23</v>
      </c>
      <c r="L50" s="98">
        <v>173.97399999999999</v>
      </c>
      <c r="M50" s="99">
        <v>0.17499999999999999</v>
      </c>
      <c r="N50" s="100">
        <f t="shared" si="11"/>
        <v>30.45</v>
      </c>
      <c r="O50" s="104" t="s">
        <v>615</v>
      </c>
      <c r="P50" s="67"/>
      <c r="R50" s="102" t="s">
        <v>648</v>
      </c>
      <c r="AA50">
        <v>373.97399999999999</v>
      </c>
      <c r="AB50">
        <f>B48*D48+B49*D49+AA50*D50+AA51*D51+AA52*D52</f>
        <v>214.88067521300002</v>
      </c>
    </row>
    <row r="51" spans="1:30" x14ac:dyDescent="0.2">
      <c r="A51" s="89" t="s">
        <v>617</v>
      </c>
      <c r="B51" s="90">
        <f>IF($P$50&lt;&gt;"",ROUND(AA51*(($AB$50/(1-$P$50))-49.8123)/214.3328,2),IF('Resumen 2.0TD'!$D$3="OPTIMIZAR",ROUND(MAX(AA51,MIN(AA51*(($AB$50/(1-'Resumen 2.0TD'!$F$3))-49.8123)/214.3328,AA51*(452.4655)/214.3328)),3),AA51))</f>
        <v>427.25700000000001</v>
      </c>
      <c r="C51" s="103"/>
      <c r="D51" s="92">
        <v>0.14291300000000001</v>
      </c>
      <c r="E51" s="93">
        <v>0.17</v>
      </c>
      <c r="F51" s="94">
        <f t="shared" si="9"/>
        <v>72.63</v>
      </c>
      <c r="H51" s="95">
        <v>239.04499999999999</v>
      </c>
      <c r="I51" s="96">
        <v>0.17499999999999999</v>
      </c>
      <c r="J51" s="97">
        <f t="shared" si="10"/>
        <v>41.83</v>
      </c>
      <c r="L51" s="98">
        <v>156.102</v>
      </c>
      <c r="M51" s="99">
        <v>0.17499999999999999</v>
      </c>
      <c r="N51" s="100">
        <f t="shared" si="11"/>
        <v>27.32</v>
      </c>
      <c r="O51" s="105" t="s">
        <v>618</v>
      </c>
      <c r="R51" s="102" t="s">
        <v>619</v>
      </c>
      <c r="AA51">
        <v>356.10199999999998</v>
      </c>
    </row>
    <row r="52" spans="1:30" x14ac:dyDescent="0.2">
      <c r="A52" s="89" t="s">
        <v>620</v>
      </c>
      <c r="B52" s="90">
        <f>IF($P$50&lt;&gt;"",ROUND(AA52*(($AB$50/(1-$P$50))-49.8123)/214.3328,2),IF('Resumen 2.0TD'!$D$3="OPTIMIZAR",ROUND(MAX(AA52,MIN(AA52*(($AB$50/(1-'Resumen 2.0TD'!$F$3))-49.8123)/214.3328,AA52*(452.4655)/214.3328)),3),AA52))</f>
        <v>636.74900000000002</v>
      </c>
      <c r="C52" s="103"/>
      <c r="D52" s="92">
        <v>0.14291300000000001</v>
      </c>
      <c r="E52" s="93">
        <v>0.17</v>
      </c>
      <c r="F52" s="94">
        <f t="shared" si="9"/>
        <v>108.25</v>
      </c>
      <c r="H52" s="95">
        <v>473.601</v>
      </c>
      <c r="I52" s="96">
        <v>0.17499999999999999</v>
      </c>
      <c r="J52" s="97">
        <f t="shared" si="10"/>
        <v>82.88</v>
      </c>
      <c r="L52" s="98">
        <v>330.70499999999998</v>
      </c>
      <c r="M52" s="99">
        <v>0.17499999999999999</v>
      </c>
      <c r="N52" s="100">
        <f t="shared" si="11"/>
        <v>57.87</v>
      </c>
      <c r="O52" s="105" t="s">
        <v>621</v>
      </c>
      <c r="AA52">
        <v>530.70500000000004</v>
      </c>
    </row>
    <row r="53" spans="1:30" x14ac:dyDescent="0.2">
      <c r="A53" s="89" t="s">
        <v>139</v>
      </c>
      <c r="B53" s="90">
        <v>1</v>
      </c>
      <c r="C53" s="91">
        <f>$N$45-$L$45+1</f>
        <v>30</v>
      </c>
      <c r="D53" s="92">
        <v>1.3413999999999999</v>
      </c>
      <c r="E53" s="93">
        <v>1</v>
      </c>
      <c r="F53" s="94">
        <f t="shared" si="9"/>
        <v>1</v>
      </c>
      <c r="H53" s="95">
        <v>1</v>
      </c>
      <c r="I53" s="96">
        <v>1</v>
      </c>
      <c r="J53" s="97">
        <f t="shared" si="10"/>
        <v>1</v>
      </c>
      <c r="L53" s="98">
        <v>1</v>
      </c>
      <c r="M53" s="99">
        <v>1</v>
      </c>
      <c r="N53" s="100">
        <f t="shared" si="11"/>
        <v>1</v>
      </c>
    </row>
    <row r="54" spans="1:30" x14ac:dyDescent="0.2">
      <c r="A54" s="89" t="s">
        <v>140</v>
      </c>
      <c r="B54" s="90">
        <v>30</v>
      </c>
      <c r="C54" s="91">
        <f>$N$45-$L$45+1</f>
        <v>30</v>
      </c>
      <c r="D54" s="92">
        <v>0.5736</v>
      </c>
      <c r="E54" s="93">
        <v>1.274E-2</v>
      </c>
      <c r="F54" s="94">
        <f t="shared" si="9"/>
        <v>0.38</v>
      </c>
      <c r="H54" s="95">
        <v>30</v>
      </c>
      <c r="I54" s="96">
        <v>6.8500000000000002E-3</v>
      </c>
      <c r="J54" s="97">
        <f t="shared" si="10"/>
        <v>0.21</v>
      </c>
      <c r="L54" s="98">
        <v>30</v>
      </c>
      <c r="M54" s="99">
        <v>6.8500000000000002E-3</v>
      </c>
      <c r="N54" s="100">
        <f t="shared" si="11"/>
        <v>0.21</v>
      </c>
    </row>
    <row r="55" spans="1:30" x14ac:dyDescent="0.2">
      <c r="A55" s="89" t="s">
        <v>141</v>
      </c>
      <c r="B55" s="90">
        <v>14.01</v>
      </c>
      <c r="C55" s="103"/>
      <c r="D55" s="92">
        <v>0.27799000000000001</v>
      </c>
      <c r="E55" s="93">
        <v>1</v>
      </c>
      <c r="F55" s="94">
        <f t="shared" si="9"/>
        <v>14.01</v>
      </c>
      <c r="H55" s="95">
        <v>11.67</v>
      </c>
      <c r="I55" s="96">
        <v>1</v>
      </c>
      <c r="J55" s="97">
        <f t="shared" si="10"/>
        <v>11.67</v>
      </c>
      <c r="L55" s="98">
        <v>8.4600000000000009</v>
      </c>
      <c r="M55" s="99">
        <v>1</v>
      </c>
      <c r="N55" s="100">
        <f t="shared" si="11"/>
        <v>8.4600000000000009</v>
      </c>
    </row>
    <row r="56" spans="1:30" x14ac:dyDescent="0.2">
      <c r="A56" s="106" t="s">
        <v>142</v>
      </c>
      <c r="F56" s="107">
        <f>ROUND((SUM(F48:F55)-F55)*1.1+F55,2)</f>
        <v>353.2</v>
      </c>
      <c r="J56" s="108">
        <f>ROUND(SUM(J48:J55),2)</f>
        <v>232.63</v>
      </c>
      <c r="N56" s="109">
        <f>ROUND(SUM(N48:N55),2)</f>
        <v>175.12</v>
      </c>
    </row>
    <row r="57" spans="1:30" x14ac:dyDescent="0.2">
      <c r="A57" s="78" t="s">
        <v>143</v>
      </c>
      <c r="B57" s="110">
        <f>IF((F52+F51+F50+F48+F49)=0,"",((F52+F51+F50+F48+F49)-$AB$50)/(F52+F51+F50+F48+F49))</f>
        <v>0.29999454274684811</v>
      </c>
      <c r="D57" s="139" t="str">
        <f>IF(B57="","SIN PC",IF(B57&gt;=0.3,"APROBAR",IF(B57&gt;=0.2,"REVISAR","RECHAZAR")))</f>
        <v>REVISAR</v>
      </c>
      <c r="E57" s="139"/>
      <c r="F57" s="139"/>
      <c r="AD57">
        <f>SUM(F50:F52)-214.3328</f>
        <v>42.827199999999976</v>
      </c>
    </row>
    <row r="59" spans="1:30" x14ac:dyDescent="0.2">
      <c r="A59" s="137" t="s">
        <v>649</v>
      </c>
      <c r="B59" s="137"/>
      <c r="C59" s="137"/>
      <c r="D59" s="137"/>
      <c r="E59" s="137"/>
      <c r="F59" s="137"/>
      <c r="H59" s="137" t="s">
        <v>650</v>
      </c>
      <c r="I59" s="137"/>
      <c r="J59" s="137"/>
      <c r="K59" s="137"/>
      <c r="L59" s="76">
        <v>46113</v>
      </c>
      <c r="M59" s="77" t="s">
        <v>607</v>
      </c>
      <c r="N59" s="76">
        <v>46142</v>
      </c>
      <c r="R59" s="138" t="s">
        <v>110</v>
      </c>
      <c r="S59" s="138"/>
      <c r="T59" s="138"/>
      <c r="U59" s="138"/>
      <c r="V59" s="138"/>
    </row>
    <row r="60" spans="1:30" x14ac:dyDescent="0.2">
      <c r="A60" s="78" t="s">
        <v>111</v>
      </c>
      <c r="B60" s="79" t="s">
        <v>112</v>
      </c>
      <c r="C60" s="80"/>
      <c r="D60" s="80"/>
      <c r="E60" s="80"/>
      <c r="F60" s="80"/>
      <c r="H60" s="81" t="s">
        <v>651</v>
      </c>
      <c r="I60" s="82"/>
      <c r="J60" s="82"/>
      <c r="L60" s="83" t="s">
        <v>652</v>
      </c>
      <c r="M60" s="84"/>
      <c r="N60" s="84"/>
      <c r="R60" s="85" t="s">
        <v>653</v>
      </c>
    </row>
    <row r="61" spans="1:30" x14ac:dyDescent="0.2">
      <c r="B61" s="68" t="s">
        <v>116</v>
      </c>
      <c r="C61" s="68" t="s">
        <v>117</v>
      </c>
      <c r="D61" s="68" t="s">
        <v>118</v>
      </c>
      <c r="E61" s="68" t="s">
        <v>119</v>
      </c>
      <c r="F61" s="68" t="s">
        <v>120</v>
      </c>
      <c r="H61" s="86" t="s">
        <v>116</v>
      </c>
      <c r="I61" s="86" t="s">
        <v>119</v>
      </c>
      <c r="J61" s="86" t="s">
        <v>120</v>
      </c>
      <c r="L61" s="87" t="s">
        <v>116</v>
      </c>
      <c r="M61" s="87" t="s">
        <v>119</v>
      </c>
      <c r="N61" s="87" t="s">
        <v>120</v>
      </c>
      <c r="R61" s="88" t="s">
        <v>654</v>
      </c>
    </row>
    <row r="62" spans="1:30" x14ac:dyDescent="0.2">
      <c r="A62" s="89" t="s">
        <v>122</v>
      </c>
      <c r="B62" s="90">
        <v>6.9279999999999999</v>
      </c>
      <c r="C62" s="91">
        <f>$N$59-$L$59+1</f>
        <v>30</v>
      </c>
      <c r="D62" s="92">
        <v>3.68919</v>
      </c>
      <c r="E62" s="93">
        <v>4.82</v>
      </c>
      <c r="F62" s="94">
        <f t="shared" ref="F62:F69" si="12">ROUND(B62*E62,2)</f>
        <v>33.39</v>
      </c>
      <c r="H62" s="95">
        <v>6.9279999999999999</v>
      </c>
      <c r="I62" s="96">
        <v>4.82</v>
      </c>
      <c r="J62" s="97">
        <f t="shared" ref="J62:J69" si="13">ROUND(H62*I62,2)</f>
        <v>33.39</v>
      </c>
      <c r="L62" s="98">
        <v>6.9279999999999999</v>
      </c>
      <c r="M62" s="99">
        <v>4.82</v>
      </c>
      <c r="N62" s="100">
        <f t="shared" ref="N62:N69" si="14">ROUND(L62*M62,2)</f>
        <v>33.39</v>
      </c>
      <c r="R62" s="101" t="s">
        <v>655</v>
      </c>
    </row>
    <row r="63" spans="1:30" x14ac:dyDescent="0.2">
      <c r="A63" s="89" t="s">
        <v>124</v>
      </c>
      <c r="B63" s="90">
        <v>6.9279999999999999</v>
      </c>
      <c r="C63" s="91">
        <f>$N$59-$L$59+1</f>
        <v>30</v>
      </c>
      <c r="D63" s="92">
        <v>1.31928</v>
      </c>
      <c r="E63" s="93">
        <v>2.37</v>
      </c>
      <c r="F63" s="94">
        <f t="shared" si="12"/>
        <v>16.420000000000002</v>
      </c>
      <c r="H63" s="95">
        <v>6.9279999999999999</v>
      </c>
      <c r="I63" s="96">
        <v>2.37</v>
      </c>
      <c r="J63" s="97">
        <f t="shared" si="13"/>
        <v>16.420000000000002</v>
      </c>
      <c r="L63" s="98">
        <v>6.9279999999999999</v>
      </c>
      <c r="M63" s="99">
        <v>2.37</v>
      </c>
      <c r="N63" s="100">
        <f t="shared" si="14"/>
        <v>16.420000000000002</v>
      </c>
      <c r="R63" s="102" t="s">
        <v>656</v>
      </c>
    </row>
    <row r="64" spans="1:30" x14ac:dyDescent="0.2">
      <c r="A64" s="89" t="s">
        <v>614</v>
      </c>
      <c r="B64" s="90">
        <f>IF($P$64&lt;&gt;"",ROUND(AA64*(($AB$64/(1-$P$64))-49.8123)/244.6972,2),IF('Resumen 2.0TD'!$D$3="OPTIMIZAR",ROUND(MAX(AA64,MIN(AA64*(($AB$64/(1-'Resumen 2.0TD'!$F$3))-49.8123)/244.6972,AA64*(827.8755)/244.6972)),3),AA64))</f>
        <v>425.19900000000001</v>
      </c>
      <c r="C64" s="103"/>
      <c r="D64" s="92">
        <v>0.11117100000000001</v>
      </c>
      <c r="E64" s="93">
        <v>0.17</v>
      </c>
      <c r="F64" s="94">
        <f t="shared" si="12"/>
        <v>72.28</v>
      </c>
      <c r="H64" s="95">
        <v>254.59899999999999</v>
      </c>
      <c r="I64" s="96">
        <v>0.1724</v>
      </c>
      <c r="J64" s="97">
        <f t="shared" si="13"/>
        <v>43.89</v>
      </c>
      <c r="L64" s="98">
        <v>225.19900000000001</v>
      </c>
      <c r="M64" s="99">
        <v>0.17499999999999999</v>
      </c>
      <c r="N64" s="100">
        <f t="shared" si="14"/>
        <v>39.409999999999997</v>
      </c>
      <c r="O64" s="104" t="s">
        <v>615</v>
      </c>
      <c r="P64" s="67"/>
      <c r="R64" s="102" t="s">
        <v>657</v>
      </c>
      <c r="AA64">
        <v>425.19900000000001</v>
      </c>
      <c r="AB64">
        <f>B62*D62+B63*D63+AA64*D64+AA65*D65+AA66*D66</f>
        <v>194.71766170500001</v>
      </c>
    </row>
    <row r="65" spans="1:30" x14ac:dyDescent="0.2">
      <c r="A65" s="89" t="s">
        <v>617</v>
      </c>
      <c r="B65" s="90">
        <f>IF($P$64&lt;&gt;"",ROUND(AA65*(($AB$64/(1-$P$64))-49.8123)/244.6972,2),IF('Resumen 2.0TD'!$D$3="OPTIMIZAR",ROUND(MAX(AA65,MIN(AA65*(($AB$64/(1-'Resumen 2.0TD'!$F$3))-49.8123)/244.6972,AA65*(827.8755)/244.6972)),3),AA65))</f>
        <v>407.26600000000002</v>
      </c>
      <c r="C65" s="103"/>
      <c r="D65" s="92">
        <v>0.11117100000000001</v>
      </c>
      <c r="E65" s="93">
        <v>0.17</v>
      </c>
      <c r="F65" s="94">
        <f t="shared" si="12"/>
        <v>69.239999999999995</v>
      </c>
      <c r="H65" s="95">
        <v>235.376</v>
      </c>
      <c r="I65" s="96">
        <v>0.1724</v>
      </c>
      <c r="J65" s="97">
        <f t="shared" si="13"/>
        <v>40.58</v>
      </c>
      <c r="L65" s="98">
        <v>207.26599999999999</v>
      </c>
      <c r="M65" s="99">
        <v>0.17499999999999999</v>
      </c>
      <c r="N65" s="100">
        <f t="shared" si="14"/>
        <v>36.270000000000003</v>
      </c>
      <c r="O65" s="105" t="s">
        <v>618</v>
      </c>
      <c r="R65" s="102" t="s">
        <v>619</v>
      </c>
      <c r="AA65">
        <v>407.26600000000002</v>
      </c>
    </row>
    <row r="66" spans="1:30" x14ac:dyDescent="0.2">
      <c r="A66" s="89" t="s">
        <v>620</v>
      </c>
      <c r="B66" s="90">
        <f>IF($P$64&lt;&gt;"",ROUND(AA66*(($AB$64/(1-$P$64))-49.8123)/244.6972,2),IF('Resumen 2.0TD'!$D$3="OPTIMIZAR",ROUND(MAX(AA66,MIN(AA66*(($AB$64/(1-'Resumen 2.0TD'!$F$3))-49.8123)/244.6972,AA66*(827.8755)/244.6972)),3),AA66))</f>
        <v>606.92999999999995</v>
      </c>
      <c r="C66" s="103"/>
      <c r="D66" s="92">
        <v>0.11117100000000001</v>
      </c>
      <c r="E66" s="93">
        <v>0.17</v>
      </c>
      <c r="F66" s="94">
        <f t="shared" si="12"/>
        <v>103.18</v>
      </c>
      <c r="H66" s="95">
        <v>414.58499999999998</v>
      </c>
      <c r="I66" s="96">
        <v>0.1724</v>
      </c>
      <c r="J66" s="97">
        <f t="shared" si="13"/>
        <v>71.47</v>
      </c>
      <c r="L66" s="98">
        <v>406.93</v>
      </c>
      <c r="M66" s="99">
        <v>0.17499999999999999</v>
      </c>
      <c r="N66" s="100">
        <f t="shared" si="14"/>
        <v>71.209999999999994</v>
      </c>
      <c r="O66" s="105" t="s">
        <v>621</v>
      </c>
      <c r="AA66">
        <v>606.92999999999995</v>
      </c>
    </row>
    <row r="67" spans="1:30" x14ac:dyDescent="0.2">
      <c r="A67" s="89" t="s">
        <v>139</v>
      </c>
      <c r="B67" s="90">
        <v>1</v>
      </c>
      <c r="C67" s="91">
        <f>$N$59-$L$59+1</f>
        <v>30</v>
      </c>
      <c r="D67" s="92">
        <v>1.3413999999999999</v>
      </c>
      <c r="E67" s="93">
        <v>1</v>
      </c>
      <c r="F67" s="94">
        <f t="shared" si="12"/>
        <v>1</v>
      </c>
      <c r="H67" s="95">
        <v>1</v>
      </c>
      <c r="I67" s="96">
        <v>1</v>
      </c>
      <c r="J67" s="97">
        <f t="shared" si="13"/>
        <v>1</v>
      </c>
      <c r="L67" s="98">
        <v>1</v>
      </c>
      <c r="M67" s="99">
        <v>1</v>
      </c>
      <c r="N67" s="100">
        <f t="shared" si="14"/>
        <v>1</v>
      </c>
    </row>
    <row r="68" spans="1:30" x14ac:dyDescent="0.2">
      <c r="A68" s="89" t="s">
        <v>140</v>
      </c>
      <c r="B68" s="90">
        <v>30</v>
      </c>
      <c r="C68" s="91">
        <f>$N$59-$L$59+1</f>
        <v>30</v>
      </c>
      <c r="D68" s="92">
        <v>0.5736</v>
      </c>
      <c r="E68" s="93">
        <v>1.274E-2</v>
      </c>
      <c r="F68" s="94">
        <f t="shared" si="12"/>
        <v>0.38</v>
      </c>
      <c r="H68" s="95">
        <v>30</v>
      </c>
      <c r="I68" s="96">
        <v>1.274E-2</v>
      </c>
      <c r="J68" s="97">
        <f t="shared" si="13"/>
        <v>0.38</v>
      </c>
      <c r="L68" s="98">
        <v>30</v>
      </c>
      <c r="M68" s="99">
        <v>6.8500000000000002E-3</v>
      </c>
      <c r="N68" s="100">
        <f t="shared" si="14"/>
        <v>0.21</v>
      </c>
    </row>
    <row r="69" spans="1:30" x14ac:dyDescent="0.2">
      <c r="A69" s="89" t="s">
        <v>141</v>
      </c>
      <c r="B69" s="90">
        <v>15.66</v>
      </c>
      <c r="C69" s="103"/>
      <c r="D69" s="92">
        <v>0.27311999999999997</v>
      </c>
      <c r="E69" s="93">
        <v>1</v>
      </c>
      <c r="F69" s="94">
        <f t="shared" si="12"/>
        <v>15.66</v>
      </c>
      <c r="H69" s="95">
        <v>10.98</v>
      </c>
      <c r="I69" s="96">
        <v>1</v>
      </c>
      <c r="J69" s="97">
        <f t="shared" si="13"/>
        <v>10.98</v>
      </c>
      <c r="L69" s="98">
        <v>10.57</v>
      </c>
      <c r="M69" s="99">
        <v>1</v>
      </c>
      <c r="N69" s="100">
        <f t="shared" si="14"/>
        <v>10.57</v>
      </c>
    </row>
    <row r="70" spans="1:30" x14ac:dyDescent="0.2">
      <c r="A70" s="106" t="s">
        <v>142</v>
      </c>
      <c r="F70" s="107">
        <f>ROUND((SUM(F62:F69)-F69)*1.1+F69,2)</f>
        <v>341.14</v>
      </c>
      <c r="J70" s="108">
        <f>ROUND(SUM(J62:J69),2)</f>
        <v>218.11</v>
      </c>
      <c r="N70" s="109">
        <f>ROUND(SUM(N62:N69),2)</f>
        <v>208.48</v>
      </c>
    </row>
    <row r="71" spans="1:30" x14ac:dyDescent="0.2">
      <c r="A71" s="78" t="s">
        <v>143</v>
      </c>
      <c r="B71" s="110">
        <f>IF((F66+F65+F64+F62+F63)=0,"",((F66+F65+F64+F62+F63)-$AB$64)/(F66+F65+F64+F62+F63))</f>
        <v>0.33884193506162785</v>
      </c>
      <c r="D71" s="139" t="str">
        <f>IF(B71="","SIN PC",IF(B71&gt;=0.3,"APROBAR",IF(B71&gt;=0.2,"REVISAR","RECHAZAR")))</f>
        <v>APROBAR</v>
      </c>
      <c r="E71" s="139"/>
      <c r="F71" s="139"/>
      <c r="AD71">
        <f>SUM(F64:F66)-244.6972</f>
        <v>2.7999999999792635E-3</v>
      </c>
    </row>
    <row r="73" spans="1:30" x14ac:dyDescent="0.2">
      <c r="A73" s="137" t="s">
        <v>658</v>
      </c>
      <c r="B73" s="137"/>
      <c r="C73" s="137"/>
      <c r="D73" s="137"/>
      <c r="E73" s="137"/>
      <c r="F73" s="137"/>
      <c r="H73" s="137" t="s">
        <v>659</v>
      </c>
      <c r="I73" s="137"/>
      <c r="J73" s="137"/>
      <c r="K73" s="137"/>
      <c r="L73" s="76">
        <v>46113</v>
      </c>
      <c r="M73" s="77" t="s">
        <v>607</v>
      </c>
      <c r="N73" s="76">
        <v>46142</v>
      </c>
      <c r="R73" s="138" t="s">
        <v>110</v>
      </c>
      <c r="S73" s="138"/>
      <c r="T73" s="138"/>
      <c r="U73" s="138"/>
      <c r="V73" s="138"/>
    </row>
    <row r="74" spans="1:30" x14ac:dyDescent="0.2">
      <c r="A74" s="78" t="s">
        <v>111</v>
      </c>
      <c r="B74" s="79" t="s">
        <v>112</v>
      </c>
      <c r="C74" s="80"/>
      <c r="D74" s="80"/>
      <c r="E74" s="80"/>
      <c r="F74" s="80"/>
      <c r="H74" s="81" t="s">
        <v>660</v>
      </c>
      <c r="I74" s="82"/>
      <c r="J74" s="82"/>
      <c r="L74" s="83" t="s">
        <v>661</v>
      </c>
      <c r="M74" s="84"/>
      <c r="N74" s="84"/>
      <c r="R74" s="85" t="s">
        <v>662</v>
      </c>
    </row>
    <row r="75" spans="1:30" x14ac:dyDescent="0.2">
      <c r="B75" s="68" t="s">
        <v>116</v>
      </c>
      <c r="C75" s="68" t="s">
        <v>117</v>
      </c>
      <c r="D75" s="68" t="s">
        <v>118</v>
      </c>
      <c r="E75" s="68" t="s">
        <v>119</v>
      </c>
      <c r="F75" s="68" t="s">
        <v>120</v>
      </c>
      <c r="H75" s="86" t="s">
        <v>116</v>
      </c>
      <c r="I75" s="86" t="s">
        <v>119</v>
      </c>
      <c r="J75" s="86" t="s">
        <v>120</v>
      </c>
      <c r="L75" s="87" t="s">
        <v>116</v>
      </c>
      <c r="M75" s="87" t="s">
        <v>119</v>
      </c>
      <c r="N75" s="87" t="s">
        <v>120</v>
      </c>
      <c r="R75" s="88" t="s">
        <v>663</v>
      </c>
    </row>
    <row r="76" spans="1:30" x14ac:dyDescent="0.2">
      <c r="A76" s="89" t="s">
        <v>122</v>
      </c>
      <c r="B76" s="90">
        <v>6.9279999999999999</v>
      </c>
      <c r="C76" s="91">
        <f>$N$73-$L$73+1</f>
        <v>30</v>
      </c>
      <c r="D76" s="92">
        <v>3.68919</v>
      </c>
      <c r="E76" s="93">
        <v>4.82</v>
      </c>
      <c r="F76" s="94">
        <f t="shared" ref="F76:F83" si="15">ROUND(B76*E76,2)</f>
        <v>33.39</v>
      </c>
      <c r="H76" s="95">
        <v>6.9279999999999999</v>
      </c>
      <c r="I76" s="96">
        <v>4.82</v>
      </c>
      <c r="J76" s="97">
        <f t="shared" ref="J76:J83" si="16">ROUND(H76*I76,2)</f>
        <v>33.39</v>
      </c>
      <c r="L76" s="98">
        <v>6.9279999999999999</v>
      </c>
      <c r="M76" s="99">
        <v>4.82</v>
      </c>
      <c r="N76" s="100">
        <f t="shared" ref="N76:N83" si="17">ROUND(L76*M76,2)</f>
        <v>33.39</v>
      </c>
      <c r="R76" s="101" t="s">
        <v>664</v>
      </c>
    </row>
    <row r="77" spans="1:30" x14ac:dyDescent="0.2">
      <c r="A77" s="89" t="s">
        <v>124</v>
      </c>
      <c r="B77" s="90">
        <v>6.9279999999999999</v>
      </c>
      <c r="C77" s="91">
        <f>$N$73-$L$73+1</f>
        <v>30</v>
      </c>
      <c r="D77" s="92">
        <v>1.31928</v>
      </c>
      <c r="E77" s="93">
        <v>2.37</v>
      </c>
      <c r="F77" s="94">
        <f t="shared" si="15"/>
        <v>16.420000000000002</v>
      </c>
      <c r="H77" s="95">
        <v>6.9279999999999999</v>
      </c>
      <c r="I77" s="96">
        <v>2.37</v>
      </c>
      <c r="J77" s="97">
        <f t="shared" si="16"/>
        <v>16.420000000000002</v>
      </c>
      <c r="L77" s="98">
        <v>6.9279999999999999</v>
      </c>
      <c r="M77" s="99">
        <v>2.37</v>
      </c>
      <c r="N77" s="100">
        <f t="shared" si="17"/>
        <v>16.420000000000002</v>
      </c>
      <c r="R77" s="102" t="s">
        <v>665</v>
      </c>
    </row>
    <row r="78" spans="1:30" x14ac:dyDescent="0.2">
      <c r="A78" s="89" t="s">
        <v>614</v>
      </c>
      <c r="B78" s="90">
        <f>IF($P$78&lt;&gt;"",ROUND(AA78*(($AB$78/(1-$P$78))-49.8123)/104.6752,2),IF('Resumen 2.0TD'!$D$3="OPTIMIZAR",ROUND(MAX(AA78,MIN(AA78*(($AB$78/(1-'Resumen 2.0TD'!$F$3))-49.8123)/104.6752,AA78*(276.9555)/104.6752)),3),AA78))</f>
        <v>191.22300000000001</v>
      </c>
      <c r="C78" s="103"/>
      <c r="D78" s="92">
        <v>0.11117100000000001</v>
      </c>
      <c r="E78" s="93">
        <v>0.1724</v>
      </c>
      <c r="F78" s="94">
        <f t="shared" si="15"/>
        <v>32.97</v>
      </c>
      <c r="H78" s="95">
        <v>241.52500000000001</v>
      </c>
      <c r="I78" s="96">
        <v>0.1724</v>
      </c>
      <c r="J78" s="97">
        <f t="shared" si="16"/>
        <v>41.64</v>
      </c>
      <c r="L78" s="98">
        <v>98.222999999999999</v>
      </c>
      <c r="M78" s="99">
        <v>0.17499999999999999</v>
      </c>
      <c r="N78" s="100">
        <f t="shared" si="17"/>
        <v>17.190000000000001</v>
      </c>
      <c r="O78" s="104" t="s">
        <v>615</v>
      </c>
      <c r="P78" s="67"/>
      <c r="R78" s="102" t="s">
        <v>666</v>
      </c>
      <c r="AA78">
        <v>191.22300000000001</v>
      </c>
      <c r="AB78">
        <f>B76*D76+B77*D77+AA78*D78+AA79*D79+AA80*D80</f>
        <v>102.573800697</v>
      </c>
    </row>
    <row r="79" spans="1:30" x14ac:dyDescent="0.2">
      <c r="A79" s="89" t="s">
        <v>617</v>
      </c>
      <c r="B79" s="90">
        <f>IF($P$78&lt;&gt;"",ROUND(AA79*(($AB$78/(1-$P$78))-49.8123)/104.6752,2),IF('Resumen 2.0TD'!$D$3="OPTIMIZAR",ROUND(MAX(AA79,MIN(AA79*(($AB$78/(1-'Resumen 2.0TD'!$F$3))-49.8123)/104.6752,AA79*(276.9555)/104.6752)),3),AA79))</f>
        <v>176.381</v>
      </c>
      <c r="C79" s="103"/>
      <c r="D79" s="92">
        <v>0.11117100000000001</v>
      </c>
      <c r="E79" s="93">
        <v>0.1724</v>
      </c>
      <c r="F79" s="94">
        <f t="shared" si="15"/>
        <v>30.41</v>
      </c>
      <c r="H79" s="95">
        <v>215.785</v>
      </c>
      <c r="I79" s="96">
        <v>0.1724</v>
      </c>
      <c r="J79" s="97">
        <f t="shared" si="16"/>
        <v>37.200000000000003</v>
      </c>
      <c r="L79" s="98">
        <v>75.381</v>
      </c>
      <c r="M79" s="99">
        <v>0.17499999999999999</v>
      </c>
      <c r="N79" s="100">
        <f t="shared" si="17"/>
        <v>13.19</v>
      </c>
      <c r="O79" s="105" t="s">
        <v>618</v>
      </c>
      <c r="R79" s="102" t="s">
        <v>619</v>
      </c>
      <c r="AA79">
        <v>176.381</v>
      </c>
    </row>
    <row r="80" spans="1:30" x14ac:dyDescent="0.2">
      <c r="A80" s="89" t="s">
        <v>620</v>
      </c>
      <c r="B80" s="90">
        <f>IF($P$78&lt;&gt;"",ROUND(AA80*(($AB$78/(1-$P$78))-49.8123)/104.6752,2),IF('Resumen 2.0TD'!$D$3="OPTIMIZAR",ROUND(MAX(AA80,MIN(AA80*(($AB$78/(1-'Resumen 2.0TD'!$F$3))-49.8123)/104.6752,AA80*(276.9555)/104.6752)),3),AA80))</f>
        <v>242.94300000000001</v>
      </c>
      <c r="C80" s="103"/>
      <c r="D80" s="92">
        <v>0.11117100000000001</v>
      </c>
      <c r="E80" s="93">
        <v>0.17</v>
      </c>
      <c r="F80" s="94">
        <f t="shared" si="15"/>
        <v>41.3</v>
      </c>
      <c r="H80" s="95">
        <v>326.04500000000002</v>
      </c>
      <c r="I80" s="96">
        <v>0.1724</v>
      </c>
      <c r="J80" s="97">
        <f t="shared" si="16"/>
        <v>56.21</v>
      </c>
      <c r="L80" s="98">
        <v>142.94300000000001</v>
      </c>
      <c r="M80" s="99">
        <v>0.17499999999999999</v>
      </c>
      <c r="N80" s="100">
        <f t="shared" si="17"/>
        <v>25.02</v>
      </c>
      <c r="O80" s="105" t="s">
        <v>621</v>
      </c>
      <c r="AA80">
        <v>242.94300000000001</v>
      </c>
    </row>
    <row r="81" spans="1:30" x14ac:dyDescent="0.2">
      <c r="A81" s="89" t="s">
        <v>139</v>
      </c>
      <c r="B81" s="90">
        <v>1</v>
      </c>
      <c r="C81" s="91">
        <f>$N$73-$L$73+1</f>
        <v>30</v>
      </c>
      <c r="D81" s="92">
        <v>1.3413999999999999</v>
      </c>
      <c r="E81" s="93">
        <v>1</v>
      </c>
      <c r="F81" s="94">
        <f t="shared" si="15"/>
        <v>1</v>
      </c>
      <c r="H81" s="95">
        <v>1</v>
      </c>
      <c r="I81" s="96">
        <v>1</v>
      </c>
      <c r="J81" s="97">
        <f t="shared" si="16"/>
        <v>1</v>
      </c>
      <c r="L81" s="98">
        <v>1</v>
      </c>
      <c r="M81" s="99">
        <v>1</v>
      </c>
      <c r="N81" s="100">
        <f t="shared" si="17"/>
        <v>1</v>
      </c>
    </row>
    <row r="82" spans="1:30" x14ac:dyDescent="0.2">
      <c r="A82" s="89" t="s">
        <v>140</v>
      </c>
      <c r="B82" s="90">
        <v>30</v>
      </c>
      <c r="C82" s="91">
        <f>$N$73-$L$73+1</f>
        <v>30</v>
      </c>
      <c r="D82" s="92">
        <v>0.5736</v>
      </c>
      <c r="E82" s="93">
        <v>1.274E-2</v>
      </c>
      <c r="F82" s="94">
        <f t="shared" si="15"/>
        <v>0.38</v>
      </c>
      <c r="H82" s="95">
        <v>30</v>
      </c>
      <c r="I82" s="96">
        <v>1.274E-2</v>
      </c>
      <c r="J82" s="97">
        <f t="shared" si="16"/>
        <v>0.38</v>
      </c>
      <c r="L82" s="98">
        <v>30</v>
      </c>
      <c r="M82" s="99">
        <v>6.8500000000000002E-3</v>
      </c>
      <c r="N82" s="100">
        <f t="shared" si="17"/>
        <v>0.21</v>
      </c>
    </row>
    <row r="83" spans="1:30" x14ac:dyDescent="0.2">
      <c r="A83" s="89" t="s">
        <v>141</v>
      </c>
      <c r="B83" s="90">
        <v>8.24</v>
      </c>
      <c r="C83" s="103"/>
      <c r="D83" s="92">
        <v>0.27311999999999997</v>
      </c>
      <c r="E83" s="93">
        <v>1</v>
      </c>
      <c r="F83" s="94">
        <f t="shared" si="15"/>
        <v>8.24</v>
      </c>
      <c r="H83" s="95">
        <v>9.86</v>
      </c>
      <c r="I83" s="96">
        <v>1</v>
      </c>
      <c r="J83" s="97">
        <f t="shared" si="16"/>
        <v>9.86</v>
      </c>
      <c r="L83" s="98">
        <v>5.39</v>
      </c>
      <c r="M83" s="99">
        <v>1</v>
      </c>
      <c r="N83" s="100">
        <f t="shared" si="17"/>
        <v>5.39</v>
      </c>
    </row>
    <row r="84" spans="1:30" x14ac:dyDescent="0.2">
      <c r="A84" s="106" t="s">
        <v>142</v>
      </c>
      <c r="F84" s="107">
        <f>ROUND((SUM(F76:F83)-F83)*1.1+F83,2)</f>
        <v>179.7</v>
      </c>
      <c r="J84" s="108">
        <f>ROUND(SUM(J76:J83),2)</f>
        <v>196.1</v>
      </c>
      <c r="N84" s="109">
        <f>ROUND(SUM(N76:N83),2)</f>
        <v>111.81</v>
      </c>
    </row>
    <row r="85" spans="1:30" x14ac:dyDescent="0.2">
      <c r="A85" s="78" t="s">
        <v>143</v>
      </c>
      <c r="B85" s="110">
        <f>IF((F80+F79+F78+F76+F77)=0,"",((F80+F79+F78+F76+F77)-$AB$78)/(F80+F79+F78+F76+F77))</f>
        <v>0.33604893069454339</v>
      </c>
      <c r="D85" s="139" t="str">
        <f>IF(B85="","SIN PC",IF(B85&gt;=0.3,"APROBAR",IF(B85&gt;=0.2,"REVISAR","RECHAZAR")))</f>
        <v>APROBAR</v>
      </c>
      <c r="E85" s="139"/>
      <c r="F85" s="139"/>
      <c r="AD85">
        <f>SUM(F78:F80)-104.6752</f>
        <v>4.7999999999888132E-3</v>
      </c>
    </row>
    <row r="87" spans="1:30" x14ac:dyDescent="0.2">
      <c r="A87" s="137" t="s">
        <v>667</v>
      </c>
      <c r="B87" s="137"/>
      <c r="C87" s="137"/>
      <c r="D87" s="137"/>
      <c r="E87" s="137"/>
      <c r="F87" s="137"/>
      <c r="H87" s="137" t="s">
        <v>668</v>
      </c>
      <c r="I87" s="137"/>
      <c r="J87" s="137"/>
      <c r="K87" s="137"/>
      <c r="L87" s="76">
        <v>46113</v>
      </c>
      <c r="M87" s="77" t="s">
        <v>607</v>
      </c>
      <c r="N87" s="76">
        <v>46142</v>
      </c>
      <c r="R87" s="138" t="s">
        <v>110</v>
      </c>
      <c r="S87" s="138"/>
      <c r="T87" s="138"/>
      <c r="U87" s="138"/>
      <c r="V87" s="138"/>
    </row>
    <row r="88" spans="1:30" x14ac:dyDescent="0.2">
      <c r="A88" s="78" t="s">
        <v>111</v>
      </c>
      <c r="B88" s="79" t="s">
        <v>112</v>
      </c>
      <c r="C88" s="80"/>
      <c r="D88" s="80"/>
      <c r="E88" s="80"/>
      <c r="F88" s="80"/>
      <c r="H88" s="81" t="s">
        <v>669</v>
      </c>
      <c r="I88" s="82"/>
      <c r="J88" s="82"/>
      <c r="L88" s="83" t="s">
        <v>670</v>
      </c>
      <c r="M88" s="84"/>
      <c r="N88" s="84"/>
      <c r="R88" s="85" t="s">
        <v>671</v>
      </c>
    </row>
    <row r="89" spans="1:30" x14ac:dyDescent="0.2">
      <c r="B89" s="68" t="s">
        <v>116</v>
      </c>
      <c r="C89" s="68" t="s">
        <v>117</v>
      </c>
      <c r="D89" s="68" t="s">
        <v>118</v>
      </c>
      <c r="E89" s="68" t="s">
        <v>119</v>
      </c>
      <c r="F89" s="68" t="s">
        <v>120</v>
      </c>
      <c r="H89" s="86" t="s">
        <v>116</v>
      </c>
      <c r="I89" s="86" t="s">
        <v>119</v>
      </c>
      <c r="J89" s="86" t="s">
        <v>120</v>
      </c>
      <c r="L89" s="87" t="s">
        <v>116</v>
      </c>
      <c r="M89" s="87" t="s">
        <v>119</v>
      </c>
      <c r="N89" s="87" t="s">
        <v>120</v>
      </c>
      <c r="R89" s="88" t="s">
        <v>672</v>
      </c>
    </row>
    <row r="90" spans="1:30" x14ac:dyDescent="0.2">
      <c r="A90" s="89" t="s">
        <v>122</v>
      </c>
      <c r="B90" s="90">
        <v>6.9279999999999999</v>
      </c>
      <c r="C90" s="91">
        <f>$N$87-$L$87+1</f>
        <v>30</v>
      </c>
      <c r="D90" s="92">
        <v>3.68919</v>
      </c>
      <c r="E90" s="93">
        <v>4.82</v>
      </c>
      <c r="F90" s="94">
        <f t="shared" ref="F90:F97" si="18">ROUND(B90*E90,2)</f>
        <v>33.39</v>
      </c>
      <c r="H90" s="95">
        <v>6.9279999999999999</v>
      </c>
      <c r="I90" s="96">
        <v>4.82</v>
      </c>
      <c r="J90" s="97">
        <f t="shared" ref="J90:J97" si="19">ROUND(H90*I90,2)</f>
        <v>33.39</v>
      </c>
      <c r="L90" s="98">
        <v>6.9279999999999999</v>
      </c>
      <c r="M90" s="99">
        <v>4.82</v>
      </c>
      <c r="N90" s="100">
        <f t="shared" ref="N90:N97" si="20">ROUND(L90*M90,2)</f>
        <v>33.39</v>
      </c>
      <c r="R90" s="101" t="s">
        <v>673</v>
      </c>
    </row>
    <row r="91" spans="1:30" x14ac:dyDescent="0.2">
      <c r="A91" s="89" t="s">
        <v>124</v>
      </c>
      <c r="B91" s="90">
        <v>6.9279999999999999</v>
      </c>
      <c r="C91" s="91">
        <f>$N$87-$L$87+1</f>
        <v>30</v>
      </c>
      <c r="D91" s="92">
        <v>1.31928</v>
      </c>
      <c r="E91" s="93">
        <v>2.37</v>
      </c>
      <c r="F91" s="94">
        <f t="shared" si="18"/>
        <v>16.420000000000002</v>
      </c>
      <c r="H91" s="95">
        <v>6.9279999999999999</v>
      </c>
      <c r="I91" s="96">
        <v>2.37</v>
      </c>
      <c r="J91" s="97">
        <f t="shared" si="19"/>
        <v>16.420000000000002</v>
      </c>
      <c r="L91" s="98">
        <v>6.9279999999999999</v>
      </c>
      <c r="M91" s="99">
        <v>2.37</v>
      </c>
      <c r="N91" s="100">
        <f t="shared" si="20"/>
        <v>16.420000000000002</v>
      </c>
      <c r="R91" s="102" t="s">
        <v>674</v>
      </c>
    </row>
    <row r="92" spans="1:30" x14ac:dyDescent="0.2">
      <c r="A92" s="89" t="s">
        <v>614</v>
      </c>
      <c r="B92" s="90">
        <f>IF($P$92&lt;&gt;"",ROUND(AA92*(($AB$92/(1-$P$92))-49.8123)/247.3293,2),IF('Resumen 2.0TD'!$D$3="OPTIMIZAR",ROUND(MAX(AA92,MIN(AA92*(($AB$92/(1-'Resumen 2.0TD'!$F$3))-49.8123)/247.3293,AA92*(532.4255)/247.3293)),3),AA92))</f>
        <v>374.46100000000001</v>
      </c>
      <c r="C92" s="103"/>
      <c r="D92" s="92">
        <v>0.11117100000000001</v>
      </c>
      <c r="E92" s="93">
        <v>0.17</v>
      </c>
      <c r="F92" s="94">
        <f t="shared" si="18"/>
        <v>63.66</v>
      </c>
      <c r="H92" s="95">
        <v>372.05200000000002</v>
      </c>
      <c r="I92" s="96">
        <v>0.17499999999999999</v>
      </c>
      <c r="J92" s="97">
        <f t="shared" si="19"/>
        <v>65.11</v>
      </c>
      <c r="L92" s="98">
        <v>284.46100000000001</v>
      </c>
      <c r="M92" s="99">
        <v>0.17499999999999999</v>
      </c>
      <c r="N92" s="100">
        <f t="shared" si="20"/>
        <v>49.78</v>
      </c>
      <c r="O92" s="104" t="s">
        <v>615</v>
      </c>
      <c r="P92" s="67"/>
      <c r="R92" s="102" t="s">
        <v>675</v>
      </c>
      <c r="AA92">
        <v>374.46100000000001</v>
      </c>
      <c r="AB92">
        <f>B90*D90+B91*D91+AA92*D92+AA93*D93+AA94*D94</f>
        <v>196.43892229800002</v>
      </c>
    </row>
    <row r="93" spans="1:30" x14ac:dyDescent="0.2">
      <c r="A93" s="89" t="s">
        <v>617</v>
      </c>
      <c r="B93" s="90">
        <f>IF($P$92&lt;&gt;"",ROUND(AA93*(($AB$92/(1-$P$92))-49.8123)/247.3293,2),IF('Resumen 2.0TD'!$D$3="OPTIMIZAR",ROUND(MAX(AA93,MIN(AA93*(($AB$92/(1-'Resumen 2.0TD'!$F$3))-49.8123)/247.3293,AA93*(532.4255)/247.3293)),3),AA93))</f>
        <v>399.20800000000003</v>
      </c>
      <c r="C93" s="103"/>
      <c r="D93" s="92">
        <v>0.11117100000000001</v>
      </c>
      <c r="E93" s="93">
        <v>0.17</v>
      </c>
      <c r="F93" s="94">
        <f t="shared" si="18"/>
        <v>67.87</v>
      </c>
      <c r="H93" s="95">
        <v>370.21300000000002</v>
      </c>
      <c r="I93" s="96">
        <v>0.17499999999999999</v>
      </c>
      <c r="J93" s="97">
        <f t="shared" si="19"/>
        <v>64.790000000000006</v>
      </c>
      <c r="L93" s="98">
        <v>259.20800000000003</v>
      </c>
      <c r="M93" s="99">
        <v>0.17499999999999999</v>
      </c>
      <c r="N93" s="100">
        <f t="shared" si="20"/>
        <v>45.36</v>
      </c>
      <c r="O93" s="105" t="s">
        <v>618</v>
      </c>
      <c r="R93" s="102" t="s">
        <v>619</v>
      </c>
      <c r="AA93">
        <v>399.20800000000003</v>
      </c>
    </row>
    <row r="94" spans="1:30" x14ac:dyDescent="0.2">
      <c r="A94" s="89" t="s">
        <v>620</v>
      </c>
      <c r="B94" s="90">
        <f>IF($P$92&lt;&gt;"",ROUND(AA94*(($AB$92/(1-$P$92))-49.8123)/247.3293,2),IF('Resumen 2.0TD'!$D$3="OPTIMIZAR",ROUND(MAX(AA94,MIN(AA94*(($AB$92/(1-'Resumen 2.0TD'!$F$3))-49.8123)/247.3293,AA94*(532.4255)/247.3293)),3),AA94))</f>
        <v>681.20899999999995</v>
      </c>
      <c r="C94" s="103"/>
      <c r="D94" s="92">
        <v>0.11117100000000001</v>
      </c>
      <c r="E94" s="93">
        <v>0.17</v>
      </c>
      <c r="F94" s="94">
        <f t="shared" si="18"/>
        <v>115.81</v>
      </c>
      <c r="H94" s="95">
        <v>657.524</v>
      </c>
      <c r="I94" s="96">
        <v>0.17499999999999999</v>
      </c>
      <c r="J94" s="97">
        <f t="shared" si="19"/>
        <v>115.07</v>
      </c>
      <c r="L94" s="98">
        <v>485.209</v>
      </c>
      <c r="M94" s="99">
        <v>0.17499999999999999</v>
      </c>
      <c r="N94" s="100">
        <f t="shared" si="20"/>
        <v>84.91</v>
      </c>
      <c r="O94" s="105" t="s">
        <v>621</v>
      </c>
      <c r="AA94">
        <v>681.20899999999995</v>
      </c>
    </row>
    <row r="95" spans="1:30" x14ac:dyDescent="0.2">
      <c r="A95" s="89" t="s">
        <v>139</v>
      </c>
      <c r="B95" s="90">
        <v>1</v>
      </c>
      <c r="C95" s="91">
        <f>$N$87-$L$87+1</f>
        <v>30</v>
      </c>
      <c r="D95" s="92">
        <v>1.3413999999999999</v>
      </c>
      <c r="E95" s="93">
        <v>1</v>
      </c>
      <c r="F95" s="94">
        <f t="shared" si="18"/>
        <v>1</v>
      </c>
      <c r="H95" s="95">
        <v>1</v>
      </c>
      <c r="I95" s="96">
        <v>1</v>
      </c>
      <c r="J95" s="97">
        <f t="shared" si="19"/>
        <v>1</v>
      </c>
      <c r="L95" s="98">
        <v>1</v>
      </c>
      <c r="M95" s="99">
        <v>1</v>
      </c>
      <c r="N95" s="100">
        <f t="shared" si="20"/>
        <v>1</v>
      </c>
    </row>
    <row r="96" spans="1:30" x14ac:dyDescent="0.2">
      <c r="A96" s="89" t="s">
        <v>140</v>
      </c>
      <c r="B96" s="90">
        <v>30</v>
      </c>
      <c r="C96" s="91">
        <f>$N$87-$L$87+1</f>
        <v>30</v>
      </c>
      <c r="D96" s="92">
        <v>0.5736</v>
      </c>
      <c r="E96" s="93">
        <v>1.274E-2</v>
      </c>
      <c r="F96" s="94">
        <f t="shared" si="18"/>
        <v>0.38</v>
      </c>
      <c r="H96" s="95">
        <v>30</v>
      </c>
      <c r="I96" s="96">
        <v>1.274E-2</v>
      </c>
      <c r="J96" s="97">
        <f t="shared" si="19"/>
        <v>0.38</v>
      </c>
      <c r="L96" s="98">
        <v>30</v>
      </c>
      <c r="M96" s="99">
        <v>6.8500000000000002E-3</v>
      </c>
      <c r="N96" s="100">
        <f t="shared" si="20"/>
        <v>0.21</v>
      </c>
    </row>
    <row r="97" spans="1:30" x14ac:dyDescent="0.2">
      <c r="A97" s="89" t="s">
        <v>141</v>
      </c>
      <c r="B97" s="90">
        <v>15.86</v>
      </c>
      <c r="C97" s="103"/>
      <c r="D97" s="92">
        <v>0.27311999999999997</v>
      </c>
      <c r="E97" s="93">
        <v>1</v>
      </c>
      <c r="F97" s="94">
        <f t="shared" si="18"/>
        <v>15.86</v>
      </c>
      <c r="H97" s="95">
        <v>15.75</v>
      </c>
      <c r="I97" s="96">
        <v>1</v>
      </c>
      <c r="J97" s="97">
        <f t="shared" si="19"/>
        <v>15.75</v>
      </c>
      <c r="L97" s="98">
        <v>11.76</v>
      </c>
      <c r="M97" s="99">
        <v>1</v>
      </c>
      <c r="N97" s="100">
        <f t="shared" si="20"/>
        <v>11.76</v>
      </c>
    </row>
    <row r="98" spans="1:30" x14ac:dyDescent="0.2">
      <c r="A98" s="106" t="s">
        <v>142</v>
      </c>
      <c r="F98" s="107">
        <f>ROUND((SUM(F90:F97)-F97)*1.1+F97,2)</f>
        <v>344.24</v>
      </c>
      <c r="J98" s="108">
        <f>ROUND(SUM(J90:J97),2)</f>
        <v>311.91000000000003</v>
      </c>
      <c r="N98" s="109">
        <f>ROUND(SUM(N90:N97),2)</f>
        <v>242.83</v>
      </c>
    </row>
    <row r="99" spans="1:30" x14ac:dyDescent="0.2">
      <c r="A99" s="78" t="s">
        <v>143</v>
      </c>
      <c r="B99" s="110">
        <f>IF((F94+F93+F92+F90+F91)=0,"",((F94+F93+F92+F90+F91)-$AB$92)/(F94+F93+F92+F90+F91))</f>
        <v>0.33892336430085818</v>
      </c>
      <c r="D99" s="139" t="str">
        <f>IF(B99="","SIN PC",IF(B99&gt;=0.3,"APROBAR",IF(B99&gt;=0.2,"REVISAR","RECHAZAR")))</f>
        <v>APROBAR</v>
      </c>
      <c r="E99" s="139"/>
      <c r="F99" s="139"/>
      <c r="AD99">
        <f>SUM(F92:F94)-247.3293</f>
        <v>1.0700000000014143E-2</v>
      </c>
    </row>
    <row r="101" spans="1:30" x14ac:dyDescent="0.2">
      <c r="A101" s="137" t="s">
        <v>676</v>
      </c>
      <c r="B101" s="137"/>
      <c r="C101" s="137"/>
      <c r="D101" s="137"/>
      <c r="E101" s="137"/>
      <c r="F101" s="137"/>
      <c r="H101" s="137" t="s">
        <v>677</v>
      </c>
      <c r="I101" s="137"/>
      <c r="J101" s="137"/>
      <c r="K101" s="137"/>
      <c r="L101" s="76">
        <v>46113</v>
      </c>
      <c r="M101" s="77" t="s">
        <v>607</v>
      </c>
      <c r="N101" s="76">
        <v>46142</v>
      </c>
      <c r="R101" s="138" t="s">
        <v>110</v>
      </c>
      <c r="S101" s="138"/>
      <c r="T101" s="138"/>
      <c r="U101" s="138"/>
      <c r="V101" s="138"/>
    </row>
    <row r="102" spans="1:30" x14ac:dyDescent="0.2">
      <c r="A102" s="78" t="s">
        <v>111</v>
      </c>
      <c r="B102" s="79" t="s">
        <v>112</v>
      </c>
      <c r="C102" s="80"/>
      <c r="D102" s="80"/>
      <c r="E102" s="80"/>
      <c r="F102" s="80"/>
      <c r="H102" s="81" t="s">
        <v>678</v>
      </c>
      <c r="I102" s="82"/>
      <c r="J102" s="82"/>
      <c r="L102" s="83" t="s">
        <v>679</v>
      </c>
      <c r="M102" s="84"/>
      <c r="N102" s="84"/>
    </row>
    <row r="103" spans="1:30" x14ac:dyDescent="0.2">
      <c r="B103" s="68" t="s">
        <v>116</v>
      </c>
      <c r="C103" s="68" t="s">
        <v>117</v>
      </c>
      <c r="D103" s="68" t="s">
        <v>118</v>
      </c>
      <c r="E103" s="68" t="s">
        <v>119</v>
      </c>
      <c r="F103" s="68" t="s">
        <v>120</v>
      </c>
      <c r="H103" s="86" t="s">
        <v>116</v>
      </c>
      <c r="I103" s="86" t="s">
        <v>119</v>
      </c>
      <c r="J103" s="86" t="s">
        <v>120</v>
      </c>
      <c r="L103" s="87" t="s">
        <v>116</v>
      </c>
      <c r="M103" s="87" t="s">
        <v>119</v>
      </c>
      <c r="N103" s="87" t="s">
        <v>120</v>
      </c>
    </row>
    <row r="104" spans="1:30" x14ac:dyDescent="0.2">
      <c r="A104" s="89" t="s">
        <v>122</v>
      </c>
      <c r="B104" s="90">
        <v>6.9279999999999999</v>
      </c>
      <c r="C104" s="91">
        <f>$N$101-$L$101+1</f>
        <v>30</v>
      </c>
      <c r="D104" s="92">
        <v>3.68919</v>
      </c>
      <c r="E104" s="93">
        <v>4.82</v>
      </c>
      <c r="F104" s="94">
        <f t="shared" ref="F104:F111" si="21">ROUND(B104*E104,2)</f>
        <v>33.39</v>
      </c>
      <c r="H104" s="95">
        <v>6.9279999999999999</v>
      </c>
      <c r="I104" s="96">
        <v>4.82</v>
      </c>
      <c r="J104" s="97">
        <f t="shared" ref="J104:J111" si="22">ROUND(H104*I104,2)</f>
        <v>33.39</v>
      </c>
      <c r="L104" s="98">
        <v>6.9279999999999999</v>
      </c>
      <c r="M104" s="99">
        <v>4.82</v>
      </c>
      <c r="N104" s="100">
        <f t="shared" ref="N104:N111" si="23">ROUND(L104*M104,2)</f>
        <v>33.39</v>
      </c>
    </row>
    <row r="105" spans="1:30" x14ac:dyDescent="0.2">
      <c r="A105" s="89" t="s">
        <v>124</v>
      </c>
      <c r="B105" s="90">
        <v>6.9279999999999999</v>
      </c>
      <c r="C105" s="91">
        <f>$N$101-$L$101+1</f>
        <v>30</v>
      </c>
      <c r="D105" s="92">
        <v>1.31928</v>
      </c>
      <c r="E105" s="93">
        <v>2.37</v>
      </c>
      <c r="F105" s="94">
        <f t="shared" si="21"/>
        <v>16.420000000000002</v>
      </c>
      <c r="H105" s="95">
        <v>6.9279999999999999</v>
      </c>
      <c r="I105" s="96">
        <v>2.37</v>
      </c>
      <c r="J105" s="97">
        <f t="shared" si="22"/>
        <v>16.420000000000002</v>
      </c>
      <c r="L105" s="98">
        <v>6.9279999999999999</v>
      </c>
      <c r="M105" s="99">
        <v>2.37</v>
      </c>
      <c r="N105" s="100">
        <f t="shared" si="23"/>
        <v>16.420000000000002</v>
      </c>
    </row>
    <row r="106" spans="1:30" x14ac:dyDescent="0.2">
      <c r="A106" s="89" t="s">
        <v>614</v>
      </c>
      <c r="B106" s="90">
        <f>IF($P$106&lt;&gt;"",ROUND(AA106*(($AB$106/(1-$P$106))-49.8123)/106.8557,2),IF('Resumen 2.0TD'!$D$3="OPTIMIZAR",AA106,AA106))</f>
        <v>182.17</v>
      </c>
      <c r="C106" s="103"/>
      <c r="D106" s="92">
        <v>0.11117100000000001</v>
      </c>
      <c r="E106" s="93">
        <v>0.17</v>
      </c>
      <c r="F106" s="94">
        <f t="shared" si="21"/>
        <v>30.97</v>
      </c>
      <c r="H106" s="95">
        <v>381.40499999999997</v>
      </c>
      <c r="I106" s="96">
        <v>0.1724</v>
      </c>
      <c r="J106" s="97">
        <f t="shared" si="22"/>
        <v>65.75</v>
      </c>
      <c r="L106" s="98">
        <v>82.17</v>
      </c>
      <c r="M106" s="99">
        <v>0.17499999999999999</v>
      </c>
      <c r="N106" s="100">
        <f t="shared" si="23"/>
        <v>14.38</v>
      </c>
      <c r="O106" s="104" t="s">
        <v>615</v>
      </c>
      <c r="P106" s="67"/>
      <c r="AA106">
        <v>182.17</v>
      </c>
      <c r="AB106">
        <f>B104*D104+B105*D105+AA106*D106+AA107*D107+AA108*D108</f>
        <v>104.57665743300001</v>
      </c>
    </row>
    <row r="107" spans="1:30" x14ac:dyDescent="0.2">
      <c r="A107" s="89" t="s">
        <v>617</v>
      </c>
      <c r="B107" s="90">
        <f>IF($P$106&lt;&gt;"",ROUND(AA107*(($AB$106/(1-$P$106))-49.8123)/106.8557,2),IF('Resumen 2.0TD'!$D$3="OPTIMIZAR",AA107,AA107))</f>
        <v>176.13300000000001</v>
      </c>
      <c r="C107" s="103"/>
      <c r="D107" s="92">
        <v>0.11117100000000001</v>
      </c>
      <c r="E107" s="93">
        <v>0.17</v>
      </c>
      <c r="F107" s="94">
        <f t="shared" si="21"/>
        <v>29.94</v>
      </c>
      <c r="H107" s="95">
        <v>356.44799999999998</v>
      </c>
      <c r="I107" s="96">
        <v>0.1724</v>
      </c>
      <c r="J107" s="97">
        <f t="shared" si="22"/>
        <v>61.45</v>
      </c>
      <c r="L107" s="98">
        <v>76.132999999999996</v>
      </c>
      <c r="M107" s="99">
        <v>0.17499999999999999</v>
      </c>
      <c r="N107" s="100">
        <f t="shared" si="23"/>
        <v>13.32</v>
      </c>
      <c r="O107" s="105" t="s">
        <v>618</v>
      </c>
      <c r="AA107">
        <v>176.13300000000001</v>
      </c>
    </row>
    <row r="108" spans="1:30" x14ac:dyDescent="0.2">
      <c r="A108" s="89" t="s">
        <v>620</v>
      </c>
      <c r="B108" s="90">
        <f>IF($P$106&lt;&gt;"",ROUND(AA108*(($AB$106/(1-$P$106))-49.8123)/106.8557,2),IF('Resumen 2.0TD'!$D$3="OPTIMIZAR",AA108,AA108))</f>
        <v>270.26</v>
      </c>
      <c r="C108" s="103"/>
      <c r="D108" s="92">
        <v>0.11117100000000001</v>
      </c>
      <c r="E108" s="93">
        <v>0.17</v>
      </c>
      <c r="F108" s="94">
        <f t="shared" si="21"/>
        <v>45.94</v>
      </c>
      <c r="H108" s="95">
        <v>667.21</v>
      </c>
      <c r="I108" s="96">
        <v>0.1724</v>
      </c>
      <c r="J108" s="97">
        <f t="shared" si="22"/>
        <v>115.03</v>
      </c>
      <c r="L108" s="98">
        <v>170.26</v>
      </c>
      <c r="M108" s="99">
        <v>0.17499999999999999</v>
      </c>
      <c r="N108" s="100">
        <f t="shared" si="23"/>
        <v>29.8</v>
      </c>
      <c r="O108" s="105" t="s">
        <v>621</v>
      </c>
      <c r="AA108">
        <v>270.26</v>
      </c>
    </row>
    <row r="109" spans="1:30" x14ac:dyDescent="0.2">
      <c r="A109" s="89" t="s">
        <v>139</v>
      </c>
      <c r="B109" s="90">
        <v>1</v>
      </c>
      <c r="C109" s="91">
        <f>$N$101-$L$101+1</f>
        <v>30</v>
      </c>
      <c r="D109" s="92">
        <v>1.3413999999999999</v>
      </c>
      <c r="E109" s="93">
        <v>1</v>
      </c>
      <c r="F109" s="94">
        <f t="shared" si="21"/>
        <v>1</v>
      </c>
      <c r="H109" s="95">
        <v>1</v>
      </c>
      <c r="I109" s="96">
        <v>1</v>
      </c>
      <c r="J109" s="97">
        <f t="shared" si="22"/>
        <v>1</v>
      </c>
      <c r="L109" s="98">
        <v>1</v>
      </c>
      <c r="M109" s="99">
        <v>1</v>
      </c>
      <c r="N109" s="100">
        <f t="shared" si="23"/>
        <v>1</v>
      </c>
    </row>
    <row r="110" spans="1:30" x14ac:dyDescent="0.2">
      <c r="A110" s="89" t="s">
        <v>140</v>
      </c>
      <c r="B110" s="90">
        <v>30</v>
      </c>
      <c r="C110" s="91">
        <f>$N$101-$L$101+1</f>
        <v>30</v>
      </c>
      <c r="D110" s="92">
        <v>0.5736</v>
      </c>
      <c r="E110" s="93">
        <v>1.274E-2</v>
      </c>
      <c r="F110" s="94">
        <f t="shared" si="21"/>
        <v>0.38</v>
      </c>
      <c r="H110" s="95">
        <v>30</v>
      </c>
      <c r="I110" s="96">
        <v>1.274E-2</v>
      </c>
      <c r="J110" s="97">
        <f t="shared" si="22"/>
        <v>0.38</v>
      </c>
      <c r="L110" s="98">
        <v>30</v>
      </c>
      <c r="M110" s="99">
        <v>6.8500000000000002E-3</v>
      </c>
      <c r="N110" s="100">
        <f t="shared" si="23"/>
        <v>0.21</v>
      </c>
    </row>
    <row r="111" spans="1:30" x14ac:dyDescent="0.2">
      <c r="A111" s="89" t="s">
        <v>141</v>
      </c>
      <c r="B111" s="90">
        <v>8.36</v>
      </c>
      <c r="C111" s="103"/>
      <c r="D111" s="92">
        <v>0.27311999999999997</v>
      </c>
      <c r="E111" s="93">
        <v>1</v>
      </c>
      <c r="F111" s="94">
        <f t="shared" si="21"/>
        <v>8.36</v>
      </c>
      <c r="H111" s="95">
        <v>15.61</v>
      </c>
      <c r="I111" s="96">
        <v>1</v>
      </c>
      <c r="J111" s="97">
        <f t="shared" si="22"/>
        <v>15.61</v>
      </c>
      <c r="L111" s="98">
        <v>5.49</v>
      </c>
      <c r="M111" s="99">
        <v>1</v>
      </c>
      <c r="N111" s="100">
        <f t="shared" si="23"/>
        <v>5.49</v>
      </c>
    </row>
    <row r="112" spans="1:30" x14ac:dyDescent="0.2">
      <c r="A112" s="106" t="s">
        <v>142</v>
      </c>
      <c r="F112" s="107">
        <f>ROUND((SUM(F104:F111)-F111)*1.1+F111,2)</f>
        <v>182.2</v>
      </c>
      <c r="J112" s="108">
        <f>ROUND(SUM(J104:J111),2)</f>
        <v>309.02999999999997</v>
      </c>
      <c r="N112" s="109">
        <f>ROUND(SUM(N104:N111),2)</f>
        <v>114.01</v>
      </c>
    </row>
    <row r="113" spans="1:30" x14ac:dyDescent="0.2">
      <c r="A113" s="78" t="s">
        <v>143</v>
      </c>
      <c r="B113" s="110">
        <f>IF((F108+F107+F106+F104+F105)=0,"",((F108+F107+F106+F104+F105)-$AB$106)/(F108+F107+F106+F104+F105))</f>
        <v>0.33246101472615863</v>
      </c>
      <c r="D113" s="139" t="str">
        <f>IF(B113="","SIN PC",IF(B113&gt;=0.3,"APROBAR",IF(B113&gt;=0.2,"REVISAR","RECHAZAR")))</f>
        <v>APROBAR</v>
      </c>
      <c r="E113" s="139"/>
      <c r="F113" s="139"/>
      <c r="AD113">
        <f>SUM(F106:F108)-106.8557</f>
        <v>-5.7000000000044793E-3</v>
      </c>
    </row>
    <row r="115" spans="1:30" x14ac:dyDescent="0.2">
      <c r="A115" s="137" t="s">
        <v>680</v>
      </c>
      <c r="B115" s="137"/>
      <c r="C115" s="137"/>
      <c r="D115" s="137"/>
      <c r="E115" s="137"/>
      <c r="F115" s="137"/>
      <c r="H115" s="137" t="s">
        <v>681</v>
      </c>
      <c r="I115" s="137"/>
      <c r="J115" s="137"/>
      <c r="K115" s="137"/>
      <c r="L115" s="76">
        <v>46113</v>
      </c>
      <c r="M115" s="77" t="s">
        <v>607</v>
      </c>
      <c r="N115" s="76">
        <v>46142</v>
      </c>
      <c r="R115" s="138" t="s">
        <v>110</v>
      </c>
      <c r="S115" s="138"/>
      <c r="T115" s="138"/>
      <c r="U115" s="138"/>
      <c r="V115" s="138"/>
    </row>
    <row r="116" spans="1:30" x14ac:dyDescent="0.2">
      <c r="A116" s="78" t="s">
        <v>111</v>
      </c>
      <c r="B116" s="79" t="s">
        <v>112</v>
      </c>
      <c r="C116" s="80"/>
      <c r="D116" s="80"/>
      <c r="E116" s="80"/>
      <c r="F116" s="80"/>
      <c r="H116" s="81" t="s">
        <v>682</v>
      </c>
      <c r="I116" s="82"/>
      <c r="J116" s="82"/>
      <c r="L116" s="83" t="s">
        <v>683</v>
      </c>
      <c r="M116" s="84"/>
      <c r="N116" s="84"/>
      <c r="R116" s="85" t="s">
        <v>684</v>
      </c>
    </row>
    <row r="117" spans="1:30" x14ac:dyDescent="0.2">
      <c r="B117" s="68" t="s">
        <v>116</v>
      </c>
      <c r="C117" s="68" t="s">
        <v>117</v>
      </c>
      <c r="D117" s="68" t="s">
        <v>118</v>
      </c>
      <c r="E117" s="68" t="s">
        <v>119</v>
      </c>
      <c r="F117" s="68" t="s">
        <v>120</v>
      </c>
      <c r="H117" s="86" t="s">
        <v>116</v>
      </c>
      <c r="I117" s="86" t="s">
        <v>119</v>
      </c>
      <c r="J117" s="86" t="s">
        <v>120</v>
      </c>
      <c r="L117" s="87" t="s">
        <v>116</v>
      </c>
      <c r="M117" s="87" t="s">
        <v>119</v>
      </c>
      <c r="N117" s="87" t="s">
        <v>120</v>
      </c>
      <c r="R117" s="88" t="s">
        <v>685</v>
      </c>
    </row>
    <row r="118" spans="1:30" x14ac:dyDescent="0.2">
      <c r="A118" s="89" t="s">
        <v>122</v>
      </c>
      <c r="B118" s="90">
        <v>6.9279999999999999</v>
      </c>
      <c r="C118" s="91">
        <f>$N$115-$L$115+1</f>
        <v>30</v>
      </c>
      <c r="D118" s="92">
        <v>3.68919</v>
      </c>
      <c r="E118" s="93">
        <v>4.82</v>
      </c>
      <c r="F118" s="94">
        <f t="shared" ref="F118:F125" si="24">ROUND(B118*E118,2)</f>
        <v>33.39</v>
      </c>
      <c r="H118" s="95">
        <v>6.9279999999999999</v>
      </c>
      <c r="I118" s="96">
        <v>4.82</v>
      </c>
      <c r="J118" s="97">
        <f t="shared" ref="J118:J125" si="25">ROUND(H118*I118,2)</f>
        <v>33.39</v>
      </c>
      <c r="L118" s="98">
        <v>6.9279999999999999</v>
      </c>
      <c r="M118" s="99">
        <v>4.82</v>
      </c>
      <c r="N118" s="100">
        <f t="shared" ref="N118:N125" si="26">ROUND(L118*M118,2)</f>
        <v>33.39</v>
      </c>
      <c r="R118" s="101" t="s">
        <v>686</v>
      </c>
    </row>
    <row r="119" spans="1:30" x14ac:dyDescent="0.2">
      <c r="A119" s="89" t="s">
        <v>124</v>
      </c>
      <c r="B119" s="90">
        <v>6.9279999999999999</v>
      </c>
      <c r="C119" s="91">
        <f>$N$115-$L$115+1</f>
        <v>30</v>
      </c>
      <c r="D119" s="92">
        <v>1.31928</v>
      </c>
      <c r="E119" s="93">
        <v>2.37</v>
      </c>
      <c r="F119" s="94">
        <f t="shared" si="24"/>
        <v>16.420000000000002</v>
      </c>
      <c r="H119" s="95">
        <v>6.9279999999999999</v>
      </c>
      <c r="I119" s="96">
        <v>2.37</v>
      </c>
      <c r="J119" s="97">
        <f t="shared" si="25"/>
        <v>16.420000000000002</v>
      </c>
      <c r="L119" s="98">
        <v>6.9279999999999999</v>
      </c>
      <c r="M119" s="99">
        <v>2.37</v>
      </c>
      <c r="N119" s="100">
        <f t="shared" si="26"/>
        <v>16.420000000000002</v>
      </c>
      <c r="R119" s="102" t="s">
        <v>687</v>
      </c>
    </row>
    <row r="120" spans="1:30" x14ac:dyDescent="0.2">
      <c r="A120" s="89" t="s">
        <v>614</v>
      </c>
      <c r="B120" s="90">
        <f>IF($P$120&lt;&gt;"",ROUND(AA120*(($AB$120/(1-$P$120))-49.8123)/153.7504,2),IF('Resumen 2.0TD'!$D$3="OPTIMIZAR",ROUND(MAX(AA120,MIN(AA120*(($AB$120/(1-'Resumen 2.0TD'!$F$3))-49.8123)/153.7504,AA120*(442.3855)/153.7504)),3),AA120))</f>
        <v>278.87599999999998</v>
      </c>
      <c r="C120" s="103"/>
      <c r="D120" s="92">
        <v>0.11117100000000001</v>
      </c>
      <c r="E120" s="93">
        <v>0.17</v>
      </c>
      <c r="F120" s="94">
        <f t="shared" si="24"/>
        <v>47.41</v>
      </c>
      <c r="H120" s="95">
        <v>277.88499999999999</v>
      </c>
      <c r="I120" s="96">
        <v>0.1724</v>
      </c>
      <c r="J120" s="97">
        <f t="shared" si="25"/>
        <v>47.91</v>
      </c>
      <c r="L120" s="98">
        <v>158.876</v>
      </c>
      <c r="M120" s="99">
        <v>0.17499999999999999</v>
      </c>
      <c r="N120" s="100">
        <f t="shared" si="26"/>
        <v>27.8</v>
      </c>
      <c r="O120" s="104" t="s">
        <v>615</v>
      </c>
      <c r="P120" s="67"/>
      <c r="R120" s="102" t="s">
        <v>688</v>
      </c>
      <c r="AA120">
        <v>278.87599999999998</v>
      </c>
      <c r="AB120">
        <f>B118*D118+B119*D119+AA120*D120+AA121*D121+AA122*D122</f>
        <v>135.24328895400001</v>
      </c>
    </row>
    <row r="121" spans="1:30" x14ac:dyDescent="0.2">
      <c r="A121" s="89" t="s">
        <v>617</v>
      </c>
      <c r="B121" s="90">
        <f>IF($P$120&lt;&gt;"",ROUND(AA121*(($AB$120/(1-$P$120))-49.8123)/153.7504,2),IF('Resumen 2.0TD'!$D$3="OPTIMIZAR",ROUND(MAX(AA121,MIN(AA121*(($AB$120/(1-'Resumen 2.0TD'!$F$3))-49.8123)/153.7504,AA121*(442.3855)/153.7504)),3),AA121))</f>
        <v>267.06900000000002</v>
      </c>
      <c r="C121" s="103"/>
      <c r="D121" s="92">
        <v>0.11117100000000001</v>
      </c>
      <c r="E121" s="93">
        <v>0.17</v>
      </c>
      <c r="F121" s="94">
        <f t="shared" si="24"/>
        <v>45.4</v>
      </c>
      <c r="H121" s="95">
        <v>264.79599999999999</v>
      </c>
      <c r="I121" s="96">
        <v>0.1724</v>
      </c>
      <c r="J121" s="97">
        <f t="shared" si="25"/>
        <v>45.65</v>
      </c>
      <c r="L121" s="98">
        <v>147.06899999999999</v>
      </c>
      <c r="M121" s="99">
        <v>0.17499999999999999</v>
      </c>
      <c r="N121" s="100">
        <f t="shared" si="26"/>
        <v>25.74</v>
      </c>
      <c r="O121" s="105" t="s">
        <v>618</v>
      </c>
      <c r="R121" s="102" t="s">
        <v>619</v>
      </c>
      <c r="AA121">
        <v>267.06900000000002</v>
      </c>
    </row>
    <row r="122" spans="1:30" x14ac:dyDescent="0.2">
      <c r="A122" s="89" t="s">
        <v>620</v>
      </c>
      <c r="B122" s="90">
        <f>IF($P$120&lt;&gt;"",ROUND(AA122*(($AB$120/(1-$P$120))-49.8123)/153.7504,2),IF('Resumen 2.0TD'!$D$3="OPTIMIZAR",ROUND(MAX(AA122,MIN(AA122*(($AB$120/(1-'Resumen 2.0TD'!$F$3))-49.8123)/153.7504,AA122*(442.3855)/153.7504)),3),AA122))</f>
        <v>358.46899999999999</v>
      </c>
      <c r="C122" s="103"/>
      <c r="D122" s="92">
        <v>0.11117100000000001</v>
      </c>
      <c r="E122" s="93">
        <v>0.17</v>
      </c>
      <c r="F122" s="94">
        <f t="shared" si="24"/>
        <v>60.94</v>
      </c>
      <c r="H122" s="95">
        <v>404.89699999999999</v>
      </c>
      <c r="I122" s="96">
        <v>0.1724</v>
      </c>
      <c r="J122" s="97">
        <f t="shared" si="25"/>
        <v>69.8</v>
      </c>
      <c r="L122" s="98">
        <v>228.46899999999999</v>
      </c>
      <c r="M122" s="99">
        <v>0.17499999999999999</v>
      </c>
      <c r="N122" s="100">
        <f t="shared" si="26"/>
        <v>39.979999999999997</v>
      </c>
      <c r="O122" s="105" t="s">
        <v>621</v>
      </c>
      <c r="AA122">
        <v>358.46899999999999</v>
      </c>
    </row>
    <row r="123" spans="1:30" x14ac:dyDescent="0.2">
      <c r="A123" s="89" t="s">
        <v>139</v>
      </c>
      <c r="B123" s="90">
        <v>1</v>
      </c>
      <c r="C123" s="91">
        <f>$N$115-$L$115+1</f>
        <v>30</v>
      </c>
      <c r="D123" s="92">
        <v>1.3413999999999999</v>
      </c>
      <c r="E123" s="93">
        <v>1</v>
      </c>
      <c r="F123" s="94">
        <f t="shared" si="24"/>
        <v>1</v>
      </c>
      <c r="H123" s="95">
        <v>1</v>
      </c>
      <c r="I123" s="96">
        <v>1</v>
      </c>
      <c r="J123" s="97">
        <f t="shared" si="25"/>
        <v>1</v>
      </c>
      <c r="L123" s="98">
        <v>1</v>
      </c>
      <c r="M123" s="99">
        <v>1</v>
      </c>
      <c r="N123" s="100">
        <f t="shared" si="26"/>
        <v>1</v>
      </c>
    </row>
    <row r="124" spans="1:30" x14ac:dyDescent="0.2">
      <c r="A124" s="89" t="s">
        <v>140</v>
      </c>
      <c r="B124" s="90">
        <v>30</v>
      </c>
      <c r="C124" s="91">
        <f>$N$115-$L$115+1</f>
        <v>30</v>
      </c>
      <c r="D124" s="92">
        <v>0.5736</v>
      </c>
      <c r="E124" s="93">
        <v>1.274E-2</v>
      </c>
      <c r="F124" s="94">
        <f t="shared" si="24"/>
        <v>0.38</v>
      </c>
      <c r="H124" s="95">
        <v>30</v>
      </c>
      <c r="I124" s="96">
        <v>1.274E-2</v>
      </c>
      <c r="J124" s="97">
        <f t="shared" si="25"/>
        <v>0.38</v>
      </c>
      <c r="L124" s="98">
        <v>30</v>
      </c>
      <c r="M124" s="99">
        <v>6.8500000000000002E-3</v>
      </c>
      <c r="N124" s="100">
        <f t="shared" si="26"/>
        <v>0.21</v>
      </c>
    </row>
    <row r="125" spans="1:30" x14ac:dyDescent="0.2">
      <c r="A125" s="89" t="s">
        <v>141</v>
      </c>
      <c r="B125" s="90">
        <v>10.85</v>
      </c>
      <c r="C125" s="103"/>
      <c r="D125" s="92">
        <v>0.27311999999999997</v>
      </c>
      <c r="E125" s="93">
        <v>1</v>
      </c>
      <c r="F125" s="94">
        <f t="shared" si="24"/>
        <v>10.85</v>
      </c>
      <c r="H125" s="95">
        <v>11.38</v>
      </c>
      <c r="I125" s="96">
        <v>1</v>
      </c>
      <c r="J125" s="97">
        <f t="shared" si="25"/>
        <v>11.38</v>
      </c>
      <c r="L125" s="98">
        <v>7.33</v>
      </c>
      <c r="M125" s="99">
        <v>1</v>
      </c>
      <c r="N125" s="100">
        <f t="shared" si="26"/>
        <v>7.33</v>
      </c>
    </row>
    <row r="126" spans="1:30" x14ac:dyDescent="0.2">
      <c r="A126" s="106" t="s">
        <v>142</v>
      </c>
      <c r="F126" s="107">
        <f>ROUND((SUM(F118:F125)-F125)*1.1+F125,2)</f>
        <v>236.28</v>
      </c>
      <c r="J126" s="108">
        <f>ROUND(SUM(J118:J125),2)</f>
        <v>225.93</v>
      </c>
      <c r="N126" s="109">
        <f>ROUND(SUM(N118:N125),2)</f>
        <v>151.87</v>
      </c>
    </row>
    <row r="127" spans="1:30" x14ac:dyDescent="0.2">
      <c r="A127" s="78" t="s">
        <v>143</v>
      </c>
      <c r="B127" s="110">
        <f>IF((F122+F121+F120+F118+F119)=0,"",((F122+F121+F120+F118+F119)-$AB$120)/(F122+F121+F120+F118+F119))</f>
        <v>0.33560970252505401</v>
      </c>
      <c r="D127" s="139" t="str">
        <f>IF(B127="","SIN PC",IF(B127&gt;=0.3,"APROBAR",IF(B127&gt;=0.2,"REVISAR","RECHAZAR")))</f>
        <v>APROBAR</v>
      </c>
      <c r="E127" s="139"/>
      <c r="F127" s="139"/>
      <c r="AD127">
        <f>SUM(F120:F122)-153.7504</f>
        <v>-4.0000000001327862E-4</v>
      </c>
    </row>
    <row r="129" spans="1:30" x14ac:dyDescent="0.2">
      <c r="A129" s="137" t="s">
        <v>689</v>
      </c>
      <c r="B129" s="137"/>
      <c r="C129" s="137"/>
      <c r="D129" s="137"/>
      <c r="E129" s="137"/>
      <c r="F129" s="137"/>
      <c r="H129" s="137" t="s">
        <v>690</v>
      </c>
      <c r="I129" s="137"/>
      <c r="J129" s="137"/>
      <c r="K129" s="137"/>
      <c r="L129" s="76">
        <v>46113</v>
      </c>
      <c r="M129" s="77" t="s">
        <v>607</v>
      </c>
      <c r="N129" s="76">
        <v>46142</v>
      </c>
      <c r="R129" s="138" t="s">
        <v>110</v>
      </c>
      <c r="S129" s="138"/>
      <c r="T129" s="138"/>
      <c r="U129" s="138"/>
      <c r="V129" s="138"/>
    </row>
    <row r="130" spans="1:30" x14ac:dyDescent="0.2">
      <c r="A130" s="78" t="s">
        <v>111</v>
      </c>
      <c r="B130" s="79" t="s">
        <v>112</v>
      </c>
      <c r="C130" s="80"/>
      <c r="D130" s="80"/>
      <c r="E130" s="80"/>
      <c r="F130" s="80"/>
      <c r="H130" s="81" t="s">
        <v>691</v>
      </c>
      <c r="I130" s="82"/>
      <c r="J130" s="82"/>
      <c r="L130" s="83" t="s">
        <v>692</v>
      </c>
      <c r="M130" s="84"/>
      <c r="N130" s="84"/>
      <c r="R130" s="85" t="s">
        <v>693</v>
      </c>
    </row>
    <row r="131" spans="1:30" x14ac:dyDescent="0.2">
      <c r="B131" s="68" t="s">
        <v>116</v>
      </c>
      <c r="C131" s="68" t="s">
        <v>117</v>
      </c>
      <c r="D131" s="68" t="s">
        <v>118</v>
      </c>
      <c r="E131" s="68" t="s">
        <v>119</v>
      </c>
      <c r="F131" s="68" t="s">
        <v>120</v>
      </c>
      <c r="H131" s="86" t="s">
        <v>116</v>
      </c>
      <c r="I131" s="86" t="s">
        <v>119</v>
      </c>
      <c r="J131" s="86" t="s">
        <v>120</v>
      </c>
      <c r="L131" s="87" t="s">
        <v>116</v>
      </c>
      <c r="M131" s="87" t="s">
        <v>119</v>
      </c>
      <c r="N131" s="87" t="s">
        <v>120</v>
      </c>
      <c r="R131" s="88" t="s">
        <v>694</v>
      </c>
    </row>
    <row r="132" spans="1:30" x14ac:dyDescent="0.2">
      <c r="A132" s="89" t="s">
        <v>122</v>
      </c>
      <c r="B132" s="90">
        <v>6.9</v>
      </c>
      <c r="C132" s="91">
        <f>$N$129-$L$129+1</f>
        <v>30</v>
      </c>
      <c r="D132" s="92">
        <v>3.68919</v>
      </c>
      <c r="E132" s="93">
        <v>4.82</v>
      </c>
      <c r="F132" s="94">
        <f t="shared" ref="F132:F139" si="27">ROUND(B132*E132,2)</f>
        <v>33.26</v>
      </c>
      <c r="H132" s="95">
        <v>6.9</v>
      </c>
      <c r="I132" s="96">
        <v>4.82</v>
      </c>
      <c r="J132" s="97">
        <f t="shared" ref="J132:J139" si="28">ROUND(H132*I132,2)</f>
        <v>33.26</v>
      </c>
      <c r="L132" s="98">
        <v>6.9</v>
      </c>
      <c r="M132" s="99">
        <v>4.82</v>
      </c>
      <c r="N132" s="100">
        <f t="shared" ref="N132:N139" si="29">ROUND(L132*M132,2)</f>
        <v>33.26</v>
      </c>
      <c r="R132" s="101" t="s">
        <v>695</v>
      </c>
    </row>
    <row r="133" spans="1:30" x14ac:dyDescent="0.2">
      <c r="A133" s="89" t="s">
        <v>124</v>
      </c>
      <c r="B133" s="90">
        <v>6.9</v>
      </c>
      <c r="C133" s="91">
        <f>$N$129-$L$129+1</f>
        <v>30</v>
      </c>
      <c r="D133" s="92">
        <v>1.31928</v>
      </c>
      <c r="E133" s="93">
        <v>2.37</v>
      </c>
      <c r="F133" s="94">
        <f t="shared" si="27"/>
        <v>16.350000000000001</v>
      </c>
      <c r="H133" s="95">
        <v>6.9</v>
      </c>
      <c r="I133" s="96">
        <v>2.37</v>
      </c>
      <c r="J133" s="97">
        <f t="shared" si="28"/>
        <v>16.350000000000001</v>
      </c>
      <c r="L133" s="98">
        <v>6.9</v>
      </c>
      <c r="M133" s="99">
        <v>2.37</v>
      </c>
      <c r="N133" s="100">
        <f t="shared" si="29"/>
        <v>16.350000000000001</v>
      </c>
      <c r="R133" s="102" t="s">
        <v>696</v>
      </c>
    </row>
    <row r="134" spans="1:30" x14ac:dyDescent="0.2">
      <c r="A134" s="89" t="s">
        <v>614</v>
      </c>
      <c r="B134" s="90">
        <f>IF($P$134&lt;&gt;"",ROUND(AA134*(($AB$134/(1-$P$134))-49.611)/37.2696,2),IF('Resumen 2.0TD'!$D$3="OPTIMIZAR",ROUND(MAX(AA134,MIN(AA134*(($AB$134/(1-'Resumen 2.0TD'!$F$3))-49.611)/37.2696,AA134*(138.8368)/37.2696)),3),AA134))</f>
        <v>39.457999999999998</v>
      </c>
      <c r="C134" s="103"/>
      <c r="D134" s="92">
        <v>0.11117100000000001</v>
      </c>
      <c r="E134" s="93">
        <v>0.17</v>
      </c>
      <c r="F134" s="94">
        <f t="shared" si="27"/>
        <v>6.71</v>
      </c>
      <c r="H134" s="95">
        <v>82.004000000000005</v>
      </c>
      <c r="I134" s="96">
        <v>0.1724</v>
      </c>
      <c r="J134" s="97">
        <f t="shared" si="28"/>
        <v>14.14</v>
      </c>
      <c r="L134" s="98">
        <v>19.457999999999998</v>
      </c>
      <c r="M134" s="99">
        <v>0.17499999999999999</v>
      </c>
      <c r="N134" s="100">
        <f t="shared" si="29"/>
        <v>3.41</v>
      </c>
      <c r="O134" s="104" t="s">
        <v>615</v>
      </c>
      <c r="P134" s="67"/>
      <c r="R134" s="102" t="s">
        <v>697</v>
      </c>
      <c r="AA134">
        <v>39.457999999999998</v>
      </c>
      <c r="AB134">
        <f>B132*D132+B133*D133+AA134*D134+AA135*D135+AA136*D136</f>
        <v>58.930794843000001</v>
      </c>
    </row>
    <row r="135" spans="1:30" x14ac:dyDescent="0.2">
      <c r="A135" s="89" t="s">
        <v>617</v>
      </c>
      <c r="B135" s="90">
        <f>IF($P$134&lt;&gt;"",ROUND(AA135*(($AB$134/(1-$P$134))-49.611)/37.2696,2),IF('Resumen 2.0TD'!$D$3="OPTIMIZAR",ROUND(MAX(AA135,MIN(AA135*(($AB$134/(1-'Resumen 2.0TD'!$F$3))-49.611)/37.2696,AA135*(138.8368)/37.2696)),3),AA135))</f>
        <v>37.216000000000001</v>
      </c>
      <c r="C135" s="103"/>
      <c r="D135" s="92">
        <v>0.11117100000000001</v>
      </c>
      <c r="E135" s="93">
        <v>0.17</v>
      </c>
      <c r="F135" s="94">
        <f t="shared" si="27"/>
        <v>6.33</v>
      </c>
      <c r="H135" s="95">
        <v>34.271999999999998</v>
      </c>
      <c r="I135" s="96">
        <v>0.1724</v>
      </c>
      <c r="J135" s="97">
        <f t="shared" si="28"/>
        <v>5.91</v>
      </c>
      <c r="L135" s="98">
        <v>17.216000000000001</v>
      </c>
      <c r="M135" s="99">
        <v>0.17499999999999999</v>
      </c>
      <c r="N135" s="100">
        <f t="shared" si="29"/>
        <v>3.01</v>
      </c>
      <c r="O135" s="105" t="s">
        <v>618</v>
      </c>
      <c r="R135" s="102" t="s">
        <v>619</v>
      </c>
      <c r="AA135">
        <v>37.216000000000001</v>
      </c>
    </row>
    <row r="136" spans="1:30" x14ac:dyDescent="0.2">
      <c r="A136" s="89" t="s">
        <v>620</v>
      </c>
      <c r="B136" s="90">
        <f>IF($P$134&lt;&gt;"",ROUND(AA136*(($AB$134/(1-$P$134))-49.611)/37.2696,2),IF('Resumen 2.0TD'!$D$3="OPTIMIZAR",ROUND(MAX(AA136,MIN(AA136*(($AB$134/(1-'Resumen 2.0TD'!$F$3))-49.611)/37.2696,AA136*(138.8368)/37.2696)),3),AA136))</f>
        <v>142.559</v>
      </c>
      <c r="C136" s="103"/>
      <c r="D136" s="92">
        <v>0.11117100000000001</v>
      </c>
      <c r="E136" s="93">
        <v>0.17</v>
      </c>
      <c r="F136" s="94">
        <f t="shared" si="27"/>
        <v>24.24</v>
      </c>
      <c r="H136" s="95">
        <v>48.34</v>
      </c>
      <c r="I136" s="96">
        <v>0.1724</v>
      </c>
      <c r="J136" s="97">
        <f t="shared" si="28"/>
        <v>8.33</v>
      </c>
      <c r="L136" s="98">
        <v>42.558999999999997</v>
      </c>
      <c r="M136" s="99">
        <v>0.17499999999999999</v>
      </c>
      <c r="N136" s="100">
        <f t="shared" si="29"/>
        <v>7.45</v>
      </c>
      <c r="O136" s="105" t="s">
        <v>621</v>
      </c>
      <c r="AA136">
        <v>142.559</v>
      </c>
    </row>
    <row r="137" spans="1:30" x14ac:dyDescent="0.2">
      <c r="A137" s="89" t="s">
        <v>139</v>
      </c>
      <c r="B137" s="90">
        <v>1</v>
      </c>
      <c r="C137" s="91">
        <f>$N$129-$L$129+1</f>
        <v>30</v>
      </c>
      <c r="D137" s="92">
        <v>0.79890000000000005</v>
      </c>
      <c r="E137" s="93">
        <v>1</v>
      </c>
      <c r="F137" s="94">
        <f t="shared" si="27"/>
        <v>1</v>
      </c>
      <c r="H137" s="95">
        <v>1</v>
      </c>
      <c r="I137" s="96">
        <v>1</v>
      </c>
      <c r="J137" s="97">
        <f t="shared" si="28"/>
        <v>1</v>
      </c>
      <c r="L137" s="98">
        <v>1</v>
      </c>
      <c r="M137" s="99">
        <v>1</v>
      </c>
      <c r="N137" s="100">
        <f t="shared" si="29"/>
        <v>1</v>
      </c>
    </row>
    <row r="138" spans="1:30" x14ac:dyDescent="0.2">
      <c r="A138" s="89" t="s">
        <v>140</v>
      </c>
      <c r="B138" s="90">
        <v>30</v>
      </c>
      <c r="C138" s="91">
        <f>$N$129-$L$129+1</f>
        <v>30</v>
      </c>
      <c r="D138" s="92">
        <v>0.5736</v>
      </c>
      <c r="E138" s="93">
        <v>1.274E-2</v>
      </c>
      <c r="F138" s="94">
        <f t="shared" si="27"/>
        <v>0.38</v>
      </c>
      <c r="H138" s="95">
        <v>30</v>
      </c>
      <c r="I138" s="96">
        <v>1.274E-2</v>
      </c>
      <c r="J138" s="97">
        <f t="shared" si="28"/>
        <v>0.38</v>
      </c>
      <c r="L138" s="98">
        <v>30</v>
      </c>
      <c r="M138" s="99">
        <v>6.8500000000000002E-3</v>
      </c>
      <c r="N138" s="100">
        <f t="shared" si="29"/>
        <v>0.21</v>
      </c>
    </row>
    <row r="139" spans="1:30" x14ac:dyDescent="0.2">
      <c r="A139" s="89" t="s">
        <v>141</v>
      </c>
      <c r="B139" s="90">
        <v>4.68</v>
      </c>
      <c r="C139" s="103"/>
      <c r="D139" s="92">
        <v>0.27311999999999997</v>
      </c>
      <c r="E139" s="93">
        <v>1</v>
      </c>
      <c r="F139" s="94">
        <f t="shared" si="27"/>
        <v>4.68</v>
      </c>
      <c r="H139" s="95">
        <v>4.21</v>
      </c>
      <c r="I139" s="96">
        <v>1</v>
      </c>
      <c r="J139" s="97">
        <f t="shared" si="28"/>
        <v>4.21</v>
      </c>
      <c r="L139" s="98">
        <v>3.25</v>
      </c>
      <c r="M139" s="99">
        <v>1</v>
      </c>
      <c r="N139" s="100">
        <f t="shared" si="29"/>
        <v>3.25</v>
      </c>
    </row>
    <row r="140" spans="1:30" x14ac:dyDescent="0.2">
      <c r="A140" s="106" t="s">
        <v>142</v>
      </c>
      <c r="F140" s="107">
        <f>ROUND((SUM(F132:F139)-F139)*1.1+F139,2)</f>
        <v>101.78</v>
      </c>
      <c r="J140" s="108">
        <f>ROUND(SUM(J132:J139),2)</f>
        <v>83.58</v>
      </c>
      <c r="N140" s="109">
        <f>ROUND(SUM(N132:N139),2)</f>
        <v>67.94</v>
      </c>
    </row>
    <row r="141" spans="1:30" x14ac:dyDescent="0.2">
      <c r="A141" s="78" t="s">
        <v>143</v>
      </c>
      <c r="B141" s="110">
        <f>IF((F136+F135+F134+F132+F133)=0,"",((F136+F135+F134+F132+F133)-$AB$134)/(F136+F135+F134+F132+F133))</f>
        <v>0.32177701872482439</v>
      </c>
      <c r="D141" s="139" t="str">
        <f>IF(B141="","SIN PC",IF(B141&gt;=0.3,"APROBAR",IF(B141&gt;=0.2,"REVISAR","RECHAZAR")))</f>
        <v>APROBAR</v>
      </c>
      <c r="E141" s="139"/>
      <c r="F141" s="139"/>
      <c r="AD141">
        <f>SUM(F134:F136)-37.2696</f>
        <v>1.0400000000004184E-2</v>
      </c>
    </row>
    <row r="143" spans="1:30" x14ac:dyDescent="0.2">
      <c r="A143" s="137" t="s">
        <v>698</v>
      </c>
      <c r="B143" s="137"/>
      <c r="C143" s="137"/>
      <c r="D143" s="137"/>
      <c r="E143" s="137"/>
      <c r="F143" s="137"/>
      <c r="H143" s="137" t="s">
        <v>699</v>
      </c>
      <c r="I143" s="137"/>
      <c r="J143" s="137"/>
      <c r="K143" s="137"/>
      <c r="L143" s="76">
        <v>46113</v>
      </c>
      <c r="M143" s="77" t="s">
        <v>607</v>
      </c>
      <c r="N143" s="76">
        <v>46142</v>
      </c>
      <c r="R143" s="138" t="s">
        <v>110</v>
      </c>
      <c r="S143" s="138"/>
      <c r="T143" s="138"/>
      <c r="U143" s="138"/>
      <c r="V143" s="138"/>
    </row>
    <row r="144" spans="1:30" x14ac:dyDescent="0.2">
      <c r="A144" s="78" t="s">
        <v>111</v>
      </c>
      <c r="B144" s="79" t="s">
        <v>112</v>
      </c>
      <c r="C144" s="80"/>
      <c r="D144" s="80"/>
      <c r="E144" s="80"/>
      <c r="F144" s="80"/>
      <c r="H144" s="81" t="s">
        <v>700</v>
      </c>
      <c r="I144" s="82"/>
      <c r="J144" s="82"/>
      <c r="L144" s="83" t="s">
        <v>701</v>
      </c>
      <c r="M144" s="84"/>
      <c r="N144" s="84"/>
      <c r="R144" s="85" t="s">
        <v>702</v>
      </c>
    </row>
    <row r="145" spans="1:30" x14ac:dyDescent="0.2">
      <c r="B145" s="68" t="s">
        <v>116</v>
      </c>
      <c r="C145" s="68" t="s">
        <v>117</v>
      </c>
      <c r="D145" s="68" t="s">
        <v>118</v>
      </c>
      <c r="E145" s="68" t="s">
        <v>119</v>
      </c>
      <c r="F145" s="68" t="s">
        <v>120</v>
      </c>
      <c r="H145" s="86" t="s">
        <v>116</v>
      </c>
      <c r="I145" s="86" t="s">
        <v>119</v>
      </c>
      <c r="J145" s="86" t="s">
        <v>120</v>
      </c>
      <c r="L145" s="87" t="s">
        <v>116</v>
      </c>
      <c r="M145" s="87" t="s">
        <v>119</v>
      </c>
      <c r="N145" s="87" t="s">
        <v>120</v>
      </c>
      <c r="R145" s="88" t="s">
        <v>703</v>
      </c>
    </row>
    <row r="146" spans="1:30" x14ac:dyDescent="0.2">
      <c r="A146" s="89" t="s">
        <v>122</v>
      </c>
      <c r="B146" s="90">
        <v>6.9</v>
      </c>
      <c r="C146" s="91">
        <f>$N$143-$L$143+1</f>
        <v>30</v>
      </c>
      <c r="D146" s="92">
        <v>3.68919</v>
      </c>
      <c r="E146" s="93">
        <v>4.82</v>
      </c>
      <c r="F146" s="94">
        <f t="shared" ref="F146:F153" si="30">ROUND(B146*E146,2)</f>
        <v>33.26</v>
      </c>
      <c r="H146" s="95">
        <v>6.9</v>
      </c>
      <c r="I146" s="96">
        <v>4.82</v>
      </c>
      <c r="J146" s="97">
        <f t="shared" ref="J146:J153" si="31">ROUND(H146*I146,2)</f>
        <v>33.26</v>
      </c>
      <c r="L146" s="98">
        <v>6.9</v>
      </c>
      <c r="M146" s="99">
        <v>4.82</v>
      </c>
      <c r="N146" s="100">
        <f t="shared" ref="N146:N153" si="32">ROUND(L146*M146,2)</f>
        <v>33.26</v>
      </c>
      <c r="R146" s="101" t="s">
        <v>704</v>
      </c>
    </row>
    <row r="147" spans="1:30" x14ac:dyDescent="0.2">
      <c r="A147" s="89" t="s">
        <v>124</v>
      </c>
      <c r="B147" s="90">
        <v>6.9</v>
      </c>
      <c r="C147" s="91">
        <f>$N$143-$L$143+1</f>
        <v>30</v>
      </c>
      <c r="D147" s="92">
        <v>1.31928</v>
      </c>
      <c r="E147" s="93">
        <v>2.37</v>
      </c>
      <c r="F147" s="94">
        <f t="shared" si="30"/>
        <v>16.350000000000001</v>
      </c>
      <c r="H147" s="95">
        <v>6.9</v>
      </c>
      <c r="I147" s="96">
        <v>2.37</v>
      </c>
      <c r="J147" s="97">
        <f t="shared" si="31"/>
        <v>16.350000000000001</v>
      </c>
      <c r="L147" s="98">
        <v>6.9</v>
      </c>
      <c r="M147" s="99">
        <v>2.37</v>
      </c>
      <c r="N147" s="100">
        <f t="shared" si="32"/>
        <v>16.350000000000001</v>
      </c>
      <c r="R147" s="102" t="s">
        <v>705</v>
      </c>
    </row>
    <row r="148" spans="1:30" x14ac:dyDescent="0.2">
      <c r="A148" s="89" t="s">
        <v>614</v>
      </c>
      <c r="B148" s="90">
        <f>IF($P$148&lt;&gt;"",ROUND(AA148*(($AB$148/(1-$P$148))-49.611)/59.1483,2),IF('Resumen 2.0TD'!$D$3="OPTIMIZAR",ROUND(MAX(AA148,MIN(AA148*(($AB$148/(1-'Resumen 2.0TD'!$F$3))-49.611)/59.1483,AA148*(86.4268)/59.1483)),3),AA148))</f>
        <v>73.203999999999994</v>
      </c>
      <c r="C148" s="103"/>
      <c r="D148" s="92">
        <v>0.11117100000000001</v>
      </c>
      <c r="E148" s="93">
        <v>0.17</v>
      </c>
      <c r="F148" s="94">
        <f t="shared" si="30"/>
        <v>12.44</v>
      </c>
      <c r="H148" s="95">
        <v>202.68</v>
      </c>
      <c r="I148" s="96">
        <v>0.17499999999999999</v>
      </c>
      <c r="J148" s="97">
        <f t="shared" si="31"/>
        <v>35.47</v>
      </c>
      <c r="L148" s="98">
        <v>43.204000000000001</v>
      </c>
      <c r="M148" s="99">
        <v>0.17499999999999999</v>
      </c>
      <c r="N148" s="100">
        <f t="shared" si="32"/>
        <v>7.56</v>
      </c>
      <c r="O148" s="104" t="s">
        <v>615</v>
      </c>
      <c r="P148" s="67"/>
      <c r="R148" s="102" t="s">
        <v>706</v>
      </c>
      <c r="AA148">
        <v>73.203999999999994</v>
      </c>
      <c r="AB148">
        <f>B146*D146+B147*D147+AA148*D148+AA149*D149+AA150*D150</f>
        <v>73.238280200999995</v>
      </c>
    </row>
    <row r="149" spans="1:30" x14ac:dyDescent="0.2">
      <c r="A149" s="89" t="s">
        <v>617</v>
      </c>
      <c r="B149" s="90">
        <f>IF($P$148&lt;&gt;"",ROUND(AA149*(($AB$148/(1-$P$148))-49.611)/59.1483,2),IF('Resumen 2.0TD'!$D$3="OPTIMIZAR",ROUND(MAX(AA149,MIN(AA149*(($AB$148/(1-'Resumen 2.0TD'!$F$3))-49.611)/59.1483,AA149*(86.4268)/59.1483)),3),AA149))</f>
        <v>49.656999999999996</v>
      </c>
      <c r="C149" s="103"/>
      <c r="D149" s="92">
        <v>0.11117100000000001</v>
      </c>
      <c r="E149" s="93">
        <v>0.17</v>
      </c>
      <c r="F149" s="94">
        <f t="shared" si="30"/>
        <v>8.44</v>
      </c>
      <c r="H149" s="95">
        <v>210.47</v>
      </c>
      <c r="I149" s="96">
        <v>0.17499999999999999</v>
      </c>
      <c r="J149" s="97">
        <f t="shared" si="31"/>
        <v>36.83</v>
      </c>
      <c r="L149" s="98">
        <v>39.656999999999996</v>
      </c>
      <c r="M149" s="99">
        <v>0.17499999999999999</v>
      </c>
      <c r="N149" s="100">
        <f t="shared" si="32"/>
        <v>6.94</v>
      </c>
      <c r="O149" s="105" t="s">
        <v>618</v>
      </c>
      <c r="R149" s="102" t="s">
        <v>619</v>
      </c>
      <c r="AA149">
        <v>49.656999999999996</v>
      </c>
    </row>
    <row r="150" spans="1:30" x14ac:dyDescent="0.2">
      <c r="A150" s="89" t="s">
        <v>620</v>
      </c>
      <c r="B150" s="90">
        <f>IF($P$148&lt;&gt;"",ROUND(AA150*(($AB$148/(1-$P$148))-49.611)/59.1483,2),IF('Resumen 2.0TD'!$D$3="OPTIMIZAR",ROUND(MAX(AA150,MIN(AA150*(($AB$148/(1-'Resumen 2.0TD'!$F$3))-49.611)/59.1483,AA150*(86.4268)/59.1483)),3),AA150))</f>
        <v>225.07</v>
      </c>
      <c r="C150" s="103"/>
      <c r="D150" s="92">
        <v>0.11117100000000001</v>
      </c>
      <c r="E150" s="93">
        <v>0.17</v>
      </c>
      <c r="F150" s="94">
        <f t="shared" si="30"/>
        <v>38.26</v>
      </c>
      <c r="H150" s="95">
        <v>303.61900000000003</v>
      </c>
      <c r="I150" s="96">
        <v>0.17499999999999999</v>
      </c>
      <c r="J150" s="97">
        <f t="shared" si="31"/>
        <v>53.13</v>
      </c>
      <c r="L150" s="98">
        <v>125.07</v>
      </c>
      <c r="M150" s="99">
        <v>0.17499999999999999</v>
      </c>
      <c r="N150" s="100">
        <f t="shared" si="32"/>
        <v>21.89</v>
      </c>
      <c r="O150" s="105" t="s">
        <v>621</v>
      </c>
      <c r="AA150">
        <v>225.07</v>
      </c>
    </row>
    <row r="151" spans="1:30" x14ac:dyDescent="0.2">
      <c r="A151" s="89" t="s">
        <v>139</v>
      </c>
      <c r="B151" s="90">
        <v>1</v>
      </c>
      <c r="C151" s="91">
        <f>$N$143-$L$143+1</f>
        <v>30</v>
      </c>
      <c r="D151" s="92">
        <v>0.79890000000000005</v>
      </c>
      <c r="E151" s="93">
        <v>1</v>
      </c>
      <c r="F151" s="94">
        <f t="shared" si="30"/>
        <v>1</v>
      </c>
      <c r="H151" s="95">
        <v>1</v>
      </c>
      <c r="I151" s="96">
        <v>1</v>
      </c>
      <c r="J151" s="97">
        <f t="shared" si="31"/>
        <v>1</v>
      </c>
      <c r="L151" s="98">
        <v>1</v>
      </c>
      <c r="M151" s="99">
        <v>1</v>
      </c>
      <c r="N151" s="100">
        <f t="shared" si="32"/>
        <v>1</v>
      </c>
    </row>
    <row r="152" spans="1:30" x14ac:dyDescent="0.2">
      <c r="A152" s="89" t="s">
        <v>140</v>
      </c>
      <c r="B152" s="90">
        <v>30</v>
      </c>
      <c r="C152" s="91">
        <f>$N$143-$L$143+1</f>
        <v>30</v>
      </c>
      <c r="D152" s="92">
        <v>0.5736</v>
      </c>
      <c r="E152" s="93">
        <v>1.274E-2</v>
      </c>
      <c r="F152" s="94">
        <f t="shared" si="30"/>
        <v>0.38</v>
      </c>
      <c r="H152" s="95">
        <v>30</v>
      </c>
      <c r="I152" s="96">
        <v>1.274E-2</v>
      </c>
      <c r="J152" s="97">
        <f t="shared" si="31"/>
        <v>0.38</v>
      </c>
      <c r="L152" s="98">
        <v>30</v>
      </c>
      <c r="M152" s="99">
        <v>6.8500000000000002E-3</v>
      </c>
      <c r="N152" s="100">
        <f t="shared" si="32"/>
        <v>0.21</v>
      </c>
    </row>
    <row r="153" spans="1:30" x14ac:dyDescent="0.2">
      <c r="A153" s="89" t="s">
        <v>141</v>
      </c>
      <c r="B153" s="90">
        <v>5.85</v>
      </c>
      <c r="C153" s="103"/>
      <c r="D153" s="92">
        <v>0.27311999999999997</v>
      </c>
      <c r="E153" s="93">
        <v>1</v>
      </c>
      <c r="F153" s="94">
        <f t="shared" si="30"/>
        <v>5.85</v>
      </c>
      <c r="H153" s="95">
        <v>9.33</v>
      </c>
      <c r="I153" s="96">
        <v>1</v>
      </c>
      <c r="J153" s="97">
        <f t="shared" si="31"/>
        <v>9.33</v>
      </c>
      <c r="L153" s="98">
        <v>4.4000000000000004</v>
      </c>
      <c r="M153" s="99">
        <v>1</v>
      </c>
      <c r="N153" s="100">
        <f t="shared" si="32"/>
        <v>4.4000000000000004</v>
      </c>
    </row>
    <row r="154" spans="1:30" x14ac:dyDescent="0.2">
      <c r="A154" s="106" t="s">
        <v>142</v>
      </c>
      <c r="F154" s="107">
        <f>ROUND((SUM(F146:F153)-F153)*1.1+F153,2)</f>
        <v>126.99</v>
      </c>
      <c r="J154" s="108">
        <f>ROUND(SUM(J146:J153),2)</f>
        <v>185.75</v>
      </c>
      <c r="N154" s="109">
        <f>ROUND(SUM(N146:N153),2)</f>
        <v>91.61</v>
      </c>
    </row>
    <row r="155" spans="1:30" x14ac:dyDescent="0.2">
      <c r="A155" s="78" t="s">
        <v>143</v>
      </c>
      <c r="B155" s="110">
        <f>IF((F150+F149+F148+F146+F147)=0,"",((F150+F149+F148+F146+F147)-$AB$148)/(F150+F149+F148+F146+F147))</f>
        <v>0.32654454987586212</v>
      </c>
      <c r="D155" s="139" t="str">
        <f>IF(B155="","SIN PC",IF(B155&gt;=0.3,"APROBAR",IF(B155&gt;=0.2,"REVISAR","RECHAZAR")))</f>
        <v>APROBAR</v>
      </c>
      <c r="E155" s="139"/>
      <c r="F155" s="139"/>
      <c r="AD155">
        <f>SUM(F148:F150)-59.1483</f>
        <v>-8.2999999999984198E-3</v>
      </c>
    </row>
    <row r="157" spans="1:30" x14ac:dyDescent="0.2">
      <c r="A157" s="137" t="s">
        <v>707</v>
      </c>
      <c r="B157" s="137"/>
      <c r="C157" s="137"/>
      <c r="D157" s="137"/>
      <c r="E157" s="137"/>
      <c r="F157" s="137"/>
      <c r="H157" s="137" t="s">
        <v>708</v>
      </c>
      <c r="I157" s="137"/>
      <c r="J157" s="137"/>
      <c r="K157" s="137"/>
      <c r="L157" s="76">
        <v>46113</v>
      </c>
      <c r="M157" s="77" t="s">
        <v>607</v>
      </c>
      <c r="N157" s="76">
        <v>46142</v>
      </c>
      <c r="R157" s="138" t="s">
        <v>110</v>
      </c>
      <c r="S157" s="138"/>
      <c r="T157" s="138"/>
      <c r="U157" s="138"/>
      <c r="V157" s="138"/>
    </row>
    <row r="158" spans="1:30" x14ac:dyDescent="0.2">
      <c r="A158" s="78" t="s">
        <v>111</v>
      </c>
      <c r="B158" s="79" t="s">
        <v>112</v>
      </c>
      <c r="C158" s="80"/>
      <c r="D158" s="80"/>
      <c r="E158" s="80"/>
      <c r="F158" s="80"/>
      <c r="H158" s="81" t="s">
        <v>709</v>
      </c>
      <c r="I158" s="82"/>
      <c r="J158" s="82"/>
      <c r="L158" s="83" t="s">
        <v>710</v>
      </c>
      <c r="M158" s="84"/>
      <c r="N158" s="84"/>
      <c r="R158" s="85" t="s">
        <v>711</v>
      </c>
    </row>
    <row r="159" spans="1:30" x14ac:dyDescent="0.2">
      <c r="B159" s="68" t="s">
        <v>116</v>
      </c>
      <c r="C159" s="68" t="s">
        <v>117</v>
      </c>
      <c r="D159" s="68" t="s">
        <v>118</v>
      </c>
      <c r="E159" s="68" t="s">
        <v>119</v>
      </c>
      <c r="F159" s="68" t="s">
        <v>120</v>
      </c>
      <c r="H159" s="86" t="s">
        <v>116</v>
      </c>
      <c r="I159" s="86" t="s">
        <v>119</v>
      </c>
      <c r="J159" s="86" t="s">
        <v>120</v>
      </c>
      <c r="L159" s="87" t="s">
        <v>116</v>
      </c>
      <c r="M159" s="87" t="s">
        <v>119</v>
      </c>
      <c r="N159" s="87" t="s">
        <v>120</v>
      </c>
      <c r="R159" s="88" t="s">
        <v>712</v>
      </c>
    </row>
    <row r="160" spans="1:30" x14ac:dyDescent="0.2">
      <c r="A160" s="89" t="s">
        <v>122</v>
      </c>
      <c r="B160" s="90">
        <v>6.9279999999999999</v>
      </c>
      <c r="C160" s="91">
        <f>$N$157-$L$157+1</f>
        <v>30</v>
      </c>
      <c r="D160" s="92">
        <v>3.68919</v>
      </c>
      <c r="E160" s="93">
        <v>4.82</v>
      </c>
      <c r="F160" s="94">
        <f t="shared" ref="F160:F167" si="33">ROUND(B160*E160,2)</f>
        <v>33.39</v>
      </c>
      <c r="H160" s="95">
        <v>6.9279999999999999</v>
      </c>
      <c r="I160" s="96">
        <v>4.82</v>
      </c>
      <c r="J160" s="97">
        <f t="shared" ref="J160:J167" si="34">ROUND(H160*I160,2)</f>
        <v>33.39</v>
      </c>
      <c r="L160" s="98">
        <v>6.9279999999999999</v>
      </c>
      <c r="M160" s="99">
        <v>4.82</v>
      </c>
      <c r="N160" s="100">
        <f t="shared" ref="N160:N167" si="35">ROUND(L160*M160,2)</f>
        <v>33.39</v>
      </c>
      <c r="R160" s="101" t="s">
        <v>713</v>
      </c>
    </row>
    <row r="161" spans="1:30" x14ac:dyDescent="0.2">
      <c r="A161" s="89" t="s">
        <v>124</v>
      </c>
      <c r="B161" s="90">
        <v>6.9279999999999999</v>
      </c>
      <c r="C161" s="91">
        <f>$N$157-$L$157+1</f>
        <v>30</v>
      </c>
      <c r="D161" s="92">
        <v>1.31928</v>
      </c>
      <c r="E161" s="93">
        <v>2.37</v>
      </c>
      <c r="F161" s="94">
        <f t="shared" si="33"/>
        <v>16.420000000000002</v>
      </c>
      <c r="H161" s="95">
        <v>6.9279999999999999</v>
      </c>
      <c r="I161" s="96">
        <v>2.37</v>
      </c>
      <c r="J161" s="97">
        <f t="shared" si="34"/>
        <v>16.420000000000002</v>
      </c>
      <c r="L161" s="98">
        <v>6.9279999999999999</v>
      </c>
      <c r="M161" s="99">
        <v>2.37</v>
      </c>
      <c r="N161" s="100">
        <f t="shared" si="35"/>
        <v>16.420000000000002</v>
      </c>
      <c r="R161" s="102" t="s">
        <v>714</v>
      </c>
    </row>
    <row r="162" spans="1:30" x14ac:dyDescent="0.2">
      <c r="A162" s="89" t="s">
        <v>614</v>
      </c>
      <c r="B162" s="90">
        <f>IF($P$162&lt;&gt;"",ROUND(AA162*(($AB$162/(1-$P$162))-49.8123)/187.2457,2),IF('Resumen 2.0TD'!$D$3="OPTIMIZAR",ROUND(MAX(AA162,MIN(AA162*(($AB$162/(1-'Resumen 2.0TD'!$F$3))-49.8123)/187.2457,AA162*(516.2155)/187.2457)),3),AA162))</f>
        <v>271.39999999999998</v>
      </c>
      <c r="C162" s="103"/>
      <c r="D162" s="92">
        <v>0.11117100000000001</v>
      </c>
      <c r="E162" s="93">
        <v>0.17</v>
      </c>
      <c r="F162" s="94">
        <f t="shared" si="33"/>
        <v>46.14</v>
      </c>
      <c r="H162" s="95">
        <v>391.15899999999999</v>
      </c>
      <c r="I162" s="96">
        <v>0.17499999999999999</v>
      </c>
      <c r="J162" s="97">
        <f t="shared" si="34"/>
        <v>68.45</v>
      </c>
      <c r="L162" s="98">
        <v>173.6</v>
      </c>
      <c r="M162" s="99">
        <v>0.17499999999999999</v>
      </c>
      <c r="N162" s="100">
        <f t="shared" si="35"/>
        <v>30.38</v>
      </c>
      <c r="O162" s="104" t="s">
        <v>615</v>
      </c>
      <c r="P162" s="67"/>
      <c r="R162" s="102" t="s">
        <v>715</v>
      </c>
      <c r="AA162">
        <v>271.39999999999998</v>
      </c>
      <c r="AB162">
        <f>B160*D160+B161*D161+AA162*D162+AA163*D163+AA164*D164</f>
        <v>157.14742225500004</v>
      </c>
    </row>
    <row r="163" spans="1:30" x14ac:dyDescent="0.2">
      <c r="A163" s="89" t="s">
        <v>617</v>
      </c>
      <c r="B163" s="90">
        <f>IF($P$162&lt;&gt;"",ROUND(AA163*(($AB$162/(1-$P$162))-49.8123)/187.2457,2),IF('Resumen 2.0TD'!$D$3="OPTIMIZAR",ROUND(MAX(AA163,MIN(AA163*(($AB$162/(1-'Resumen 2.0TD'!$F$3))-49.8123)/187.2457,AA163*(516.2155)/187.2457)),3),AA163))</f>
        <v>278.92200000000003</v>
      </c>
      <c r="C163" s="103"/>
      <c r="D163" s="92">
        <v>0.11117100000000001</v>
      </c>
      <c r="E163" s="93">
        <v>0.17</v>
      </c>
      <c r="F163" s="94">
        <f t="shared" si="33"/>
        <v>47.42</v>
      </c>
      <c r="H163" s="95">
        <v>483.221</v>
      </c>
      <c r="I163" s="96">
        <v>0.17499999999999999</v>
      </c>
      <c r="J163" s="97">
        <f t="shared" si="34"/>
        <v>84.56</v>
      </c>
      <c r="L163" s="98">
        <v>168.922</v>
      </c>
      <c r="M163" s="99">
        <v>0.17499999999999999</v>
      </c>
      <c r="N163" s="100">
        <f t="shared" si="35"/>
        <v>29.56</v>
      </c>
      <c r="O163" s="105" t="s">
        <v>618</v>
      </c>
      <c r="R163" s="102" t="s">
        <v>619</v>
      </c>
      <c r="AA163">
        <v>278.92200000000003</v>
      </c>
    </row>
    <row r="164" spans="1:30" x14ac:dyDescent="0.2">
      <c r="A164" s="89" t="s">
        <v>620</v>
      </c>
      <c r="B164" s="90">
        <f>IF($P$162&lt;&gt;"",ROUND(AA164*(($AB$162/(1-$P$162))-49.8123)/187.2457,2),IF('Resumen 2.0TD'!$D$3="OPTIMIZAR",ROUND(MAX(AA164,MIN(AA164*(($AB$162/(1-'Resumen 2.0TD'!$F$3))-49.8123)/187.2457,AA164*(516.2155)/187.2457)),3),AA164))</f>
        <v>551.12300000000005</v>
      </c>
      <c r="C164" s="103"/>
      <c r="D164" s="92">
        <v>0.11117100000000001</v>
      </c>
      <c r="E164" s="93">
        <v>0.17</v>
      </c>
      <c r="F164" s="94">
        <f t="shared" si="33"/>
        <v>93.69</v>
      </c>
      <c r="H164" s="95">
        <v>671.55799999999999</v>
      </c>
      <c r="I164" s="96">
        <v>0.17499999999999999</v>
      </c>
      <c r="J164" s="97">
        <f t="shared" si="34"/>
        <v>117.52</v>
      </c>
      <c r="L164" s="98">
        <v>341.12299999999999</v>
      </c>
      <c r="M164" s="99">
        <v>0.17499999999999999</v>
      </c>
      <c r="N164" s="100">
        <f t="shared" si="35"/>
        <v>59.7</v>
      </c>
      <c r="O164" s="105" t="s">
        <v>621</v>
      </c>
      <c r="AA164">
        <v>551.12300000000005</v>
      </c>
    </row>
    <row r="165" spans="1:30" x14ac:dyDescent="0.2">
      <c r="A165" s="89" t="s">
        <v>139</v>
      </c>
      <c r="B165" s="90">
        <v>1</v>
      </c>
      <c r="C165" s="91">
        <f>$N$157-$L$157+1</f>
        <v>30</v>
      </c>
      <c r="D165" s="92">
        <v>1.3413999999999999</v>
      </c>
      <c r="E165" s="93">
        <v>1</v>
      </c>
      <c r="F165" s="94">
        <f t="shared" si="33"/>
        <v>1</v>
      </c>
      <c r="H165" s="95">
        <v>1</v>
      </c>
      <c r="I165" s="96">
        <v>1</v>
      </c>
      <c r="J165" s="97">
        <f t="shared" si="34"/>
        <v>1</v>
      </c>
      <c r="L165" s="98">
        <v>1</v>
      </c>
      <c r="M165" s="99">
        <v>1</v>
      </c>
      <c r="N165" s="100">
        <f t="shared" si="35"/>
        <v>1</v>
      </c>
    </row>
    <row r="166" spans="1:30" x14ac:dyDescent="0.2">
      <c r="A166" s="89" t="s">
        <v>140</v>
      </c>
      <c r="B166" s="90">
        <v>30</v>
      </c>
      <c r="C166" s="91">
        <f>$N$157-$L$157+1</f>
        <v>30</v>
      </c>
      <c r="D166" s="92">
        <v>0.5736</v>
      </c>
      <c r="E166" s="93">
        <v>1.274E-2</v>
      </c>
      <c r="F166" s="94">
        <f t="shared" si="33"/>
        <v>0.38</v>
      </c>
      <c r="H166" s="95">
        <v>30</v>
      </c>
      <c r="I166" s="96">
        <v>1.274E-2</v>
      </c>
      <c r="J166" s="97">
        <f t="shared" si="34"/>
        <v>0.38</v>
      </c>
      <c r="L166" s="98">
        <v>30</v>
      </c>
      <c r="M166" s="99">
        <v>6.8500000000000002E-3</v>
      </c>
      <c r="N166" s="100">
        <f t="shared" si="35"/>
        <v>0.21</v>
      </c>
    </row>
    <row r="167" spans="1:30" x14ac:dyDescent="0.2">
      <c r="A167" s="89" t="s">
        <v>141</v>
      </c>
      <c r="B167" s="90">
        <v>12.63</v>
      </c>
      <c r="C167" s="103"/>
      <c r="D167" s="92">
        <v>0.27311999999999997</v>
      </c>
      <c r="E167" s="93">
        <v>1</v>
      </c>
      <c r="F167" s="94">
        <f t="shared" si="33"/>
        <v>12.63</v>
      </c>
      <c r="H167" s="95">
        <v>17.29</v>
      </c>
      <c r="I167" s="96">
        <v>1</v>
      </c>
      <c r="J167" s="97">
        <f t="shared" si="34"/>
        <v>17.29</v>
      </c>
      <c r="L167" s="98">
        <v>8.67</v>
      </c>
      <c r="M167" s="99">
        <v>1</v>
      </c>
      <c r="N167" s="100">
        <f t="shared" si="35"/>
        <v>8.67</v>
      </c>
    </row>
    <row r="168" spans="1:30" x14ac:dyDescent="0.2">
      <c r="A168" s="106" t="s">
        <v>142</v>
      </c>
      <c r="F168" s="107">
        <f>ROUND((SUM(F160:F167)-F167)*1.1+F167,2)</f>
        <v>274.91000000000003</v>
      </c>
      <c r="J168" s="108">
        <f>ROUND(SUM(J160:J167),2)</f>
        <v>339.01</v>
      </c>
      <c r="N168" s="109">
        <f>ROUND(SUM(N160:N167),2)</f>
        <v>179.33</v>
      </c>
    </row>
    <row r="169" spans="1:30" x14ac:dyDescent="0.2">
      <c r="A169" s="78" t="s">
        <v>143</v>
      </c>
      <c r="B169" s="110">
        <f>IF((F164+F163+F162+F160+F161)=0,"",((F164+F163+F162+F160+F161)-$AB$162)/(F164+F163+F162+F160+F161))</f>
        <v>0.33709853094153364</v>
      </c>
      <c r="D169" s="139" t="str">
        <f>IF(B169="","SIN PC",IF(B169&gt;=0.3,"APROBAR",IF(B169&gt;=0.2,"REVISAR","RECHAZAR")))</f>
        <v>APROBAR</v>
      </c>
      <c r="E169" s="139"/>
      <c r="F169" s="139"/>
      <c r="AD169">
        <f>SUM(F162:F164)-187.2457</f>
        <v>4.3000000000006366E-3</v>
      </c>
    </row>
    <row r="171" spans="1:30" x14ac:dyDescent="0.2">
      <c r="A171" s="137" t="s">
        <v>716</v>
      </c>
      <c r="B171" s="137"/>
      <c r="C171" s="137"/>
      <c r="D171" s="137"/>
      <c r="E171" s="137"/>
      <c r="F171" s="137"/>
      <c r="H171" s="137" t="s">
        <v>717</v>
      </c>
      <c r="I171" s="137"/>
      <c r="J171" s="137"/>
      <c r="K171" s="137"/>
      <c r="L171" s="76">
        <v>46113</v>
      </c>
      <c r="M171" s="77" t="s">
        <v>607</v>
      </c>
      <c r="N171" s="76">
        <v>46142</v>
      </c>
      <c r="R171" s="138" t="s">
        <v>110</v>
      </c>
      <c r="S171" s="138"/>
      <c r="T171" s="138"/>
      <c r="U171" s="138"/>
      <c r="V171" s="138"/>
    </row>
    <row r="172" spans="1:30" x14ac:dyDescent="0.2">
      <c r="A172" s="78" t="s">
        <v>111</v>
      </c>
      <c r="B172" s="79" t="s">
        <v>112</v>
      </c>
      <c r="C172" s="80"/>
      <c r="D172" s="80"/>
      <c r="E172" s="80"/>
      <c r="F172" s="80"/>
      <c r="H172" s="81" t="s">
        <v>718</v>
      </c>
      <c r="I172" s="82"/>
      <c r="J172" s="82"/>
      <c r="L172" s="83" t="s">
        <v>719</v>
      </c>
      <c r="M172" s="84"/>
      <c r="N172" s="84"/>
      <c r="R172" s="85" t="s">
        <v>720</v>
      </c>
    </row>
    <row r="173" spans="1:30" x14ac:dyDescent="0.2">
      <c r="B173" s="68" t="s">
        <v>116</v>
      </c>
      <c r="C173" s="68" t="s">
        <v>117</v>
      </c>
      <c r="D173" s="68" t="s">
        <v>118</v>
      </c>
      <c r="E173" s="68" t="s">
        <v>119</v>
      </c>
      <c r="F173" s="68" t="s">
        <v>120</v>
      </c>
      <c r="H173" s="86" t="s">
        <v>116</v>
      </c>
      <c r="I173" s="86" t="s">
        <v>119</v>
      </c>
      <c r="J173" s="86" t="s">
        <v>120</v>
      </c>
      <c r="L173" s="87" t="s">
        <v>116</v>
      </c>
      <c r="M173" s="87" t="s">
        <v>119</v>
      </c>
      <c r="N173" s="87" t="s">
        <v>120</v>
      </c>
      <c r="R173" s="88" t="s">
        <v>721</v>
      </c>
    </row>
    <row r="174" spans="1:30" x14ac:dyDescent="0.2">
      <c r="A174" s="89" t="s">
        <v>122</v>
      </c>
      <c r="B174" s="90">
        <v>13.856</v>
      </c>
      <c r="C174" s="91">
        <f>$N$171-$L$171+1</f>
        <v>30</v>
      </c>
      <c r="D174" s="92">
        <v>3.68919</v>
      </c>
      <c r="E174" s="93">
        <v>4.82</v>
      </c>
      <c r="F174" s="94">
        <f t="shared" ref="F174:F181" si="36">ROUND(B174*E174,2)</f>
        <v>66.790000000000006</v>
      </c>
      <c r="H174" s="95">
        <v>13.856</v>
      </c>
      <c r="I174" s="96">
        <v>4.82</v>
      </c>
      <c r="J174" s="97">
        <f t="shared" ref="J174:J181" si="37">ROUND(H174*I174,2)</f>
        <v>66.790000000000006</v>
      </c>
      <c r="L174" s="98">
        <v>13.856</v>
      </c>
      <c r="M174" s="99">
        <v>4.82</v>
      </c>
      <c r="N174" s="100">
        <f t="shared" ref="N174:N181" si="38">ROUND(L174*M174,2)</f>
        <v>66.790000000000006</v>
      </c>
      <c r="R174" s="101" t="s">
        <v>722</v>
      </c>
    </row>
    <row r="175" spans="1:30" x14ac:dyDescent="0.2">
      <c r="A175" s="89" t="s">
        <v>124</v>
      </c>
      <c r="B175" s="90">
        <v>13.856</v>
      </c>
      <c r="C175" s="91">
        <f>$N$171-$L$171+1</f>
        <v>30</v>
      </c>
      <c r="D175" s="92">
        <v>1.31928</v>
      </c>
      <c r="E175" s="93">
        <v>2.37</v>
      </c>
      <c r="F175" s="94">
        <f t="shared" si="36"/>
        <v>32.840000000000003</v>
      </c>
      <c r="H175" s="95">
        <v>13.856</v>
      </c>
      <c r="I175" s="96">
        <v>2.37</v>
      </c>
      <c r="J175" s="97">
        <f t="shared" si="37"/>
        <v>32.840000000000003</v>
      </c>
      <c r="L175" s="98">
        <v>13.856</v>
      </c>
      <c r="M175" s="99">
        <v>2.37</v>
      </c>
      <c r="N175" s="100">
        <f t="shared" si="38"/>
        <v>32.840000000000003</v>
      </c>
      <c r="R175" s="102" t="s">
        <v>723</v>
      </c>
    </row>
    <row r="176" spans="1:30" x14ac:dyDescent="0.2">
      <c r="A176" s="89" t="s">
        <v>614</v>
      </c>
      <c r="B176" s="90">
        <f>IF($P$176&lt;&gt;"",ROUND(AA176*(($AB$176/(1-$P$176))-99.6246)/182.9695,2),IF('Resumen 2.0TD'!$D$3="OPTIMIZAR",ROUND(MAX(AA176,MIN(AA176*(($AB$176/(1-'Resumen 2.0TD'!$F$3))-99.6246)/182.9695,AA176*(360.0699)/182.9695)),3),AA176))</f>
        <v>285.21899999999999</v>
      </c>
      <c r="C176" s="103"/>
      <c r="D176" s="92">
        <v>0.11117100000000001</v>
      </c>
      <c r="E176" s="93">
        <v>0.17</v>
      </c>
      <c r="F176" s="94">
        <f t="shared" si="36"/>
        <v>48.49</v>
      </c>
      <c r="H176" s="95">
        <v>482.77600000000001</v>
      </c>
      <c r="I176" s="96">
        <v>0.17499999999999999</v>
      </c>
      <c r="J176" s="97">
        <f t="shared" si="37"/>
        <v>84.49</v>
      </c>
      <c r="L176" s="98">
        <v>183.21899999999999</v>
      </c>
      <c r="M176" s="99">
        <v>0.17499999999999999</v>
      </c>
      <c r="N176" s="100">
        <f t="shared" si="38"/>
        <v>32.06</v>
      </c>
      <c r="O176" s="104" t="s">
        <v>615</v>
      </c>
      <c r="P176" s="67"/>
      <c r="R176" s="102" t="s">
        <v>724</v>
      </c>
      <c r="AA176">
        <v>285.21899999999999</v>
      </c>
      <c r="AB176">
        <f>B174*D174+B175*D175+AA176*D176+AA177*D177+AA178*D178</f>
        <v>189.04970708100001</v>
      </c>
    </row>
    <row r="177" spans="1:30" x14ac:dyDescent="0.2">
      <c r="A177" s="89" t="s">
        <v>617</v>
      </c>
      <c r="B177" s="90">
        <f>IF($P$176&lt;&gt;"",ROUND(AA177*(($AB$176/(1-$P$176))-99.6246)/182.9695,2),IF('Resumen 2.0TD'!$D$3="OPTIMIZAR",ROUND(MAX(AA177,MIN(AA177*(($AB$176/(1-'Resumen 2.0TD'!$F$3))-99.6246)/182.9695,AA177*(360.0699)/182.9695)),3),AA177))</f>
        <v>266.55399999999997</v>
      </c>
      <c r="C177" s="103"/>
      <c r="D177" s="92">
        <v>0.11117100000000001</v>
      </c>
      <c r="E177" s="93">
        <v>0.17</v>
      </c>
      <c r="F177" s="94">
        <f t="shared" si="36"/>
        <v>45.31</v>
      </c>
      <c r="H177" s="95">
        <v>456.21199999999999</v>
      </c>
      <c r="I177" s="96">
        <v>0.17499999999999999</v>
      </c>
      <c r="J177" s="97">
        <f t="shared" si="37"/>
        <v>79.84</v>
      </c>
      <c r="L177" s="98">
        <v>180.554</v>
      </c>
      <c r="M177" s="99">
        <v>0.17499999999999999</v>
      </c>
      <c r="N177" s="100">
        <f t="shared" si="38"/>
        <v>31.6</v>
      </c>
      <c r="O177" s="105" t="s">
        <v>618</v>
      </c>
      <c r="R177" s="102" t="s">
        <v>619</v>
      </c>
      <c r="AA177">
        <v>266.55399999999997</v>
      </c>
    </row>
    <row r="178" spans="1:30" x14ac:dyDescent="0.2">
      <c r="A178" s="89" t="s">
        <v>620</v>
      </c>
      <c r="B178" s="90">
        <f>IF($P$176&lt;&gt;"",ROUND(AA178*(($AB$176/(1-$P$176))-99.6246)/182.9695,2),IF('Resumen 2.0TD'!$D$3="OPTIMIZAR",ROUND(MAX(AA178,MIN(AA178*(($AB$176/(1-'Resumen 2.0TD'!$F$3))-99.6246)/182.9695,AA178*(360.0699)/182.9695)),3),AA178))</f>
        <v>524.51800000000003</v>
      </c>
      <c r="C178" s="103"/>
      <c r="D178" s="92">
        <v>0.11117100000000001</v>
      </c>
      <c r="E178" s="93">
        <v>0.17</v>
      </c>
      <c r="F178" s="94">
        <f t="shared" si="36"/>
        <v>89.17</v>
      </c>
      <c r="H178" s="95">
        <v>661.45699999999999</v>
      </c>
      <c r="I178" s="96">
        <v>0.17499999999999999</v>
      </c>
      <c r="J178" s="97">
        <f t="shared" si="37"/>
        <v>115.75</v>
      </c>
      <c r="L178" s="98">
        <v>320.61799999999999</v>
      </c>
      <c r="M178" s="99">
        <v>0.17499999999999999</v>
      </c>
      <c r="N178" s="100">
        <f t="shared" si="38"/>
        <v>56.11</v>
      </c>
      <c r="O178" s="105" t="s">
        <v>621</v>
      </c>
      <c r="AA178">
        <v>524.51800000000003</v>
      </c>
    </row>
    <row r="179" spans="1:30" x14ac:dyDescent="0.2">
      <c r="A179" s="89" t="s">
        <v>139</v>
      </c>
      <c r="B179" s="90">
        <v>1</v>
      </c>
      <c r="C179" s="91">
        <f>$N$171-$L$171+1</f>
        <v>30</v>
      </c>
      <c r="D179" s="92">
        <v>1.3413999999999999</v>
      </c>
      <c r="E179" s="93">
        <v>1</v>
      </c>
      <c r="F179" s="94">
        <f t="shared" si="36"/>
        <v>1</v>
      </c>
      <c r="H179" s="95">
        <v>1</v>
      </c>
      <c r="I179" s="96">
        <v>1</v>
      </c>
      <c r="J179" s="97">
        <f t="shared" si="37"/>
        <v>1</v>
      </c>
      <c r="L179" s="98">
        <v>1</v>
      </c>
      <c r="M179" s="99">
        <v>1</v>
      </c>
      <c r="N179" s="100">
        <f t="shared" si="38"/>
        <v>1</v>
      </c>
    </row>
    <row r="180" spans="1:30" x14ac:dyDescent="0.2">
      <c r="A180" s="89" t="s">
        <v>140</v>
      </c>
      <c r="B180" s="90">
        <v>30</v>
      </c>
      <c r="C180" s="91">
        <f>$N$171-$L$171+1</f>
        <v>30</v>
      </c>
      <c r="D180" s="92">
        <v>0.5736</v>
      </c>
      <c r="E180" s="93">
        <v>6.8500000000000002E-3</v>
      </c>
      <c r="F180" s="94">
        <f t="shared" si="36"/>
        <v>0.21</v>
      </c>
      <c r="H180" s="95">
        <v>30</v>
      </c>
      <c r="I180" s="96">
        <v>1.274E-2</v>
      </c>
      <c r="J180" s="97">
        <f t="shared" si="37"/>
        <v>0.38</v>
      </c>
      <c r="L180" s="98">
        <v>30</v>
      </c>
      <c r="M180" s="99">
        <v>6.8500000000000002E-3</v>
      </c>
      <c r="N180" s="100">
        <f t="shared" si="38"/>
        <v>0.21</v>
      </c>
    </row>
    <row r="181" spans="1:30" x14ac:dyDescent="0.2">
      <c r="A181" s="89" t="s">
        <v>141</v>
      </c>
      <c r="B181" s="90">
        <v>15.11</v>
      </c>
      <c r="C181" s="103"/>
      <c r="D181" s="92">
        <v>0.27311999999999997</v>
      </c>
      <c r="E181" s="93">
        <v>1</v>
      </c>
      <c r="F181" s="94">
        <f t="shared" si="36"/>
        <v>15.11</v>
      </c>
      <c r="H181" s="95">
        <v>20.3</v>
      </c>
      <c r="I181" s="96">
        <v>1</v>
      </c>
      <c r="J181" s="97">
        <f t="shared" si="37"/>
        <v>20.3</v>
      </c>
      <c r="L181" s="98">
        <v>11.79</v>
      </c>
      <c r="M181" s="99">
        <v>1</v>
      </c>
      <c r="N181" s="100">
        <f t="shared" si="38"/>
        <v>11.79</v>
      </c>
    </row>
    <row r="182" spans="1:30" x14ac:dyDescent="0.2">
      <c r="A182" s="106" t="s">
        <v>142</v>
      </c>
      <c r="F182" s="107">
        <f>ROUND((SUM(F174:F181)-F181)*1.1+F181,2)</f>
        <v>327.3</v>
      </c>
      <c r="J182" s="108">
        <f>ROUND(SUM(J174:J181),2)</f>
        <v>401.39</v>
      </c>
      <c r="N182" s="109">
        <f>ROUND(SUM(N174:N181),2)</f>
        <v>232.4</v>
      </c>
    </row>
    <row r="183" spans="1:30" x14ac:dyDescent="0.2">
      <c r="A183" s="78" t="s">
        <v>143</v>
      </c>
      <c r="B183" s="110">
        <f>IF((F178+F177+F176+F174+F175)=0,"",((F178+F177+F176+F174+F175)-$AB$176)/(F178+F177+F176+F174+F175))</f>
        <v>0.33103429907643317</v>
      </c>
      <c r="D183" s="139" t="str">
        <f>IF(B183="","SIN PC",IF(B183&gt;=0.3,"APROBAR",IF(B183&gt;=0.2,"REVISAR","RECHAZAR")))</f>
        <v>APROBAR</v>
      </c>
      <c r="E183" s="139"/>
      <c r="F183" s="139"/>
      <c r="AD183">
        <f>SUM(F176:F178)-182.9695</f>
        <v>5.0000000001659828E-4</v>
      </c>
    </row>
    <row r="185" spans="1:30" x14ac:dyDescent="0.2">
      <c r="A185" s="137" t="s">
        <v>725</v>
      </c>
      <c r="B185" s="137"/>
      <c r="C185" s="137"/>
      <c r="D185" s="137"/>
      <c r="E185" s="137"/>
      <c r="F185" s="137"/>
      <c r="H185" s="137" t="s">
        <v>726</v>
      </c>
      <c r="I185" s="137"/>
      <c r="J185" s="137"/>
      <c r="K185" s="137"/>
      <c r="L185" s="76">
        <v>46113</v>
      </c>
      <c r="M185" s="77" t="s">
        <v>607</v>
      </c>
      <c r="N185" s="76">
        <v>46142</v>
      </c>
      <c r="R185" s="138" t="s">
        <v>110</v>
      </c>
      <c r="S185" s="138"/>
      <c r="T185" s="138"/>
      <c r="U185" s="138"/>
      <c r="V185" s="138"/>
    </row>
    <row r="186" spans="1:30" x14ac:dyDescent="0.2">
      <c r="A186" s="78" t="s">
        <v>111</v>
      </c>
      <c r="B186" s="79" t="s">
        <v>112</v>
      </c>
      <c r="C186" s="80"/>
      <c r="D186" s="80"/>
      <c r="E186" s="80"/>
      <c r="F186" s="80"/>
      <c r="H186" s="81" t="s">
        <v>727</v>
      </c>
      <c r="I186" s="82"/>
      <c r="J186" s="82"/>
      <c r="L186" s="83" t="s">
        <v>728</v>
      </c>
      <c r="M186" s="84"/>
      <c r="N186" s="84"/>
      <c r="R186" s="85" t="s">
        <v>729</v>
      </c>
    </row>
    <row r="187" spans="1:30" x14ac:dyDescent="0.2">
      <c r="B187" s="68" t="s">
        <v>116</v>
      </c>
      <c r="C187" s="68" t="s">
        <v>117</v>
      </c>
      <c r="D187" s="68" t="s">
        <v>118</v>
      </c>
      <c r="E187" s="68" t="s">
        <v>119</v>
      </c>
      <c r="F187" s="68" t="s">
        <v>120</v>
      </c>
      <c r="H187" s="86" t="s">
        <v>116</v>
      </c>
      <c r="I187" s="86" t="s">
        <v>119</v>
      </c>
      <c r="J187" s="86" t="s">
        <v>120</v>
      </c>
      <c r="L187" s="87" t="s">
        <v>116</v>
      </c>
      <c r="M187" s="87" t="s">
        <v>119</v>
      </c>
      <c r="N187" s="87" t="s">
        <v>120</v>
      </c>
      <c r="R187" s="88" t="s">
        <v>730</v>
      </c>
    </row>
    <row r="188" spans="1:30" x14ac:dyDescent="0.2">
      <c r="A188" s="89" t="s">
        <v>122</v>
      </c>
      <c r="B188" s="90">
        <v>13.856</v>
      </c>
      <c r="C188" s="91">
        <f>$N$185-$L$185+1</f>
        <v>30</v>
      </c>
      <c r="D188" s="92">
        <v>3.68919</v>
      </c>
      <c r="E188" s="93">
        <v>4.82</v>
      </c>
      <c r="F188" s="94">
        <f t="shared" ref="F188:F195" si="39">ROUND(B188*E188,2)</f>
        <v>66.790000000000006</v>
      </c>
      <c r="H188" s="95">
        <v>13.856</v>
      </c>
      <c r="I188" s="96">
        <v>4.82</v>
      </c>
      <c r="J188" s="97">
        <f t="shared" ref="J188:J195" si="40">ROUND(H188*I188,2)</f>
        <v>66.790000000000006</v>
      </c>
      <c r="L188" s="98">
        <v>13.856</v>
      </c>
      <c r="M188" s="99">
        <v>4.82</v>
      </c>
      <c r="N188" s="100">
        <f t="shared" ref="N188:N195" si="41">ROUND(L188*M188,2)</f>
        <v>66.790000000000006</v>
      </c>
      <c r="R188" s="101" t="s">
        <v>731</v>
      </c>
    </row>
    <row r="189" spans="1:30" x14ac:dyDescent="0.2">
      <c r="A189" s="89" t="s">
        <v>124</v>
      </c>
      <c r="B189" s="90">
        <v>13.856</v>
      </c>
      <c r="C189" s="91">
        <f>$N$185-$L$185+1</f>
        <v>30</v>
      </c>
      <c r="D189" s="92">
        <v>1.31928</v>
      </c>
      <c r="E189" s="93">
        <v>2.37</v>
      </c>
      <c r="F189" s="94">
        <f t="shared" si="39"/>
        <v>32.840000000000003</v>
      </c>
      <c r="H189" s="95">
        <v>13.856</v>
      </c>
      <c r="I189" s="96">
        <v>2.37</v>
      </c>
      <c r="J189" s="97">
        <f t="shared" si="40"/>
        <v>32.840000000000003</v>
      </c>
      <c r="L189" s="98">
        <v>13.856</v>
      </c>
      <c r="M189" s="99">
        <v>2.37</v>
      </c>
      <c r="N189" s="100">
        <f t="shared" si="41"/>
        <v>32.840000000000003</v>
      </c>
      <c r="R189" s="102" t="s">
        <v>732</v>
      </c>
    </row>
    <row r="190" spans="1:30" x14ac:dyDescent="0.2">
      <c r="A190" s="89" t="s">
        <v>614</v>
      </c>
      <c r="B190" s="90">
        <f>IF($P$190&lt;&gt;"",ROUND(AA190*(($AB$190/(1-$P$190))-99.6246)/227.3937,2),IF('Resumen 2.0TD'!$D$3="OPTIMIZAR",ROUND(MAX(AA190,MIN(AA190*(($AB$190/(1-'Resumen 2.0TD'!$F$3))-99.6246)/227.3937,AA190*(478.3832)/227.3937)),3),AA190))</f>
        <v>384.17599999999999</v>
      </c>
      <c r="C190" s="103"/>
      <c r="D190" s="92">
        <v>0.11117100000000001</v>
      </c>
      <c r="E190" s="93">
        <v>0.17</v>
      </c>
      <c r="F190" s="94">
        <f t="shared" si="39"/>
        <v>65.31</v>
      </c>
      <c r="H190" s="95">
        <v>580.44500000000005</v>
      </c>
      <c r="I190" s="96">
        <v>0.1724</v>
      </c>
      <c r="J190" s="97">
        <f t="shared" si="40"/>
        <v>100.07</v>
      </c>
      <c r="L190" s="98">
        <v>292.17599999999999</v>
      </c>
      <c r="M190" s="99">
        <v>0.17499999999999999</v>
      </c>
      <c r="N190" s="100">
        <f t="shared" si="41"/>
        <v>51.13</v>
      </c>
      <c r="O190" s="104" t="s">
        <v>615</v>
      </c>
      <c r="P190" s="67"/>
      <c r="R190" s="102" t="s">
        <v>733</v>
      </c>
      <c r="AA190">
        <v>384.17599999999999</v>
      </c>
      <c r="AB190">
        <f>B188*D188+B189*D189+AA190*D190+AA191*D191+AA192*D192</f>
        <v>218.10080163000003</v>
      </c>
    </row>
    <row r="191" spans="1:30" x14ac:dyDescent="0.2">
      <c r="A191" s="89" t="s">
        <v>617</v>
      </c>
      <c r="B191" s="90">
        <f>IF($P$190&lt;&gt;"",ROUND(AA191*(($AB$190/(1-$P$190))-99.6246)/227.3937,2),IF('Resumen 2.0TD'!$D$3="OPTIMIZAR",ROUND(MAX(AA191,MIN(AA191*(($AB$190/(1-'Resumen 2.0TD'!$F$3))-99.6246)/227.3937,AA191*(478.3832)/227.3937)),3),AA191))</f>
        <v>331.91</v>
      </c>
      <c r="C191" s="103"/>
      <c r="D191" s="92">
        <v>0.11117100000000001</v>
      </c>
      <c r="E191" s="93">
        <v>0.17</v>
      </c>
      <c r="F191" s="94">
        <f t="shared" si="39"/>
        <v>56.42</v>
      </c>
      <c r="H191" s="95">
        <v>691.221</v>
      </c>
      <c r="I191" s="96">
        <v>0.1724</v>
      </c>
      <c r="J191" s="97">
        <f t="shared" si="40"/>
        <v>119.17</v>
      </c>
      <c r="L191" s="98">
        <v>232.91</v>
      </c>
      <c r="M191" s="99">
        <v>0.17499999999999999</v>
      </c>
      <c r="N191" s="100">
        <f t="shared" si="41"/>
        <v>40.76</v>
      </c>
      <c r="O191" s="105" t="s">
        <v>618</v>
      </c>
      <c r="R191" s="102" t="s">
        <v>619</v>
      </c>
      <c r="AA191">
        <v>331.91</v>
      </c>
    </row>
    <row r="192" spans="1:30" x14ac:dyDescent="0.2">
      <c r="A192" s="89" t="s">
        <v>620</v>
      </c>
      <c r="B192" s="90">
        <f>IF($P$190&lt;&gt;"",ROUND(AA192*(($AB$190/(1-$P$190))-99.6246)/227.3937,2),IF('Resumen 2.0TD'!$D$3="OPTIMIZAR",ROUND(MAX(AA192,MIN(AA192*(($AB$190/(1-'Resumen 2.0TD'!$F$3))-99.6246)/227.3937,AA192*(478.3832)/227.3937)),3),AA192))</f>
        <v>621.524</v>
      </c>
      <c r="C192" s="103"/>
      <c r="D192" s="92">
        <v>0.11117100000000001</v>
      </c>
      <c r="E192" s="93">
        <v>0.17</v>
      </c>
      <c r="F192" s="94">
        <f t="shared" si="39"/>
        <v>105.66</v>
      </c>
      <c r="H192" s="95">
        <v>1029.5129999999999</v>
      </c>
      <c r="I192" s="96">
        <v>0.1724</v>
      </c>
      <c r="J192" s="97">
        <f t="shared" si="40"/>
        <v>177.49</v>
      </c>
      <c r="L192" s="98">
        <v>421.524</v>
      </c>
      <c r="M192" s="99">
        <v>0.17499999999999999</v>
      </c>
      <c r="N192" s="100">
        <f t="shared" si="41"/>
        <v>73.77</v>
      </c>
      <c r="O192" s="105" t="s">
        <v>621</v>
      </c>
      <c r="AA192">
        <v>621.524</v>
      </c>
    </row>
    <row r="193" spans="1:30" x14ac:dyDescent="0.2">
      <c r="A193" s="89" t="s">
        <v>139</v>
      </c>
      <c r="B193" s="90">
        <v>1</v>
      </c>
      <c r="C193" s="91">
        <f>$N$185-$L$185+1</f>
        <v>30</v>
      </c>
      <c r="D193" s="92">
        <v>1.3413999999999999</v>
      </c>
      <c r="E193" s="93">
        <v>1</v>
      </c>
      <c r="F193" s="94">
        <f t="shared" si="39"/>
        <v>1</v>
      </c>
      <c r="H193" s="95">
        <v>1</v>
      </c>
      <c r="I193" s="96">
        <v>1</v>
      </c>
      <c r="J193" s="97">
        <f t="shared" si="40"/>
        <v>1</v>
      </c>
      <c r="L193" s="98">
        <v>1</v>
      </c>
      <c r="M193" s="99">
        <v>1</v>
      </c>
      <c r="N193" s="100">
        <f t="shared" si="41"/>
        <v>1</v>
      </c>
    </row>
    <row r="194" spans="1:30" x14ac:dyDescent="0.2">
      <c r="A194" s="89" t="s">
        <v>140</v>
      </c>
      <c r="B194" s="90">
        <v>30</v>
      </c>
      <c r="C194" s="91">
        <f>$N$185-$L$185+1</f>
        <v>30</v>
      </c>
      <c r="D194" s="92">
        <v>0.5736</v>
      </c>
      <c r="E194" s="93">
        <v>1.274E-2</v>
      </c>
      <c r="F194" s="94">
        <f t="shared" si="39"/>
        <v>0.38</v>
      </c>
      <c r="H194" s="95">
        <v>30</v>
      </c>
      <c r="I194" s="96">
        <v>1.274E-2</v>
      </c>
      <c r="J194" s="97">
        <f t="shared" si="40"/>
        <v>0.38</v>
      </c>
      <c r="L194" s="98">
        <v>30</v>
      </c>
      <c r="M194" s="99">
        <v>6.8500000000000002E-3</v>
      </c>
      <c r="N194" s="100">
        <f t="shared" si="41"/>
        <v>0.21</v>
      </c>
    </row>
    <row r="195" spans="1:30" x14ac:dyDescent="0.2">
      <c r="A195" s="89" t="s">
        <v>141</v>
      </c>
      <c r="B195" s="90">
        <v>17.47</v>
      </c>
      <c r="C195" s="103"/>
      <c r="D195" s="92">
        <v>0.27311999999999997</v>
      </c>
      <c r="E195" s="93">
        <v>1</v>
      </c>
      <c r="F195" s="94">
        <f t="shared" si="39"/>
        <v>17.47</v>
      </c>
      <c r="H195" s="95">
        <v>26.21</v>
      </c>
      <c r="I195" s="96">
        <v>1</v>
      </c>
      <c r="J195" s="97">
        <f t="shared" si="40"/>
        <v>26.21</v>
      </c>
      <c r="L195" s="98">
        <v>13.57</v>
      </c>
      <c r="M195" s="99">
        <v>1</v>
      </c>
      <c r="N195" s="100">
        <f t="shared" si="41"/>
        <v>13.57</v>
      </c>
    </row>
    <row r="196" spans="1:30" x14ac:dyDescent="0.2">
      <c r="A196" s="106" t="s">
        <v>142</v>
      </c>
      <c r="F196" s="107">
        <f>ROUND((SUM(F188:F195)-F195)*1.1+F195,2)</f>
        <v>378.71</v>
      </c>
      <c r="J196" s="108">
        <f>ROUND(SUM(J188:J195),2)</f>
        <v>523.95000000000005</v>
      </c>
      <c r="N196" s="109">
        <f>ROUND(SUM(N188:N195),2)</f>
        <v>280.07</v>
      </c>
    </row>
    <row r="197" spans="1:30" x14ac:dyDescent="0.2">
      <c r="A197" s="78" t="s">
        <v>143</v>
      </c>
      <c r="B197" s="110">
        <f>IF((F192+F191+F190+F188+F189)=0,"",((F192+F191+F190+F188+F189)-$AB$190)/(F192+F191+F190+F188+F189))</f>
        <v>0.33306586254663306</v>
      </c>
      <c r="D197" s="139" t="str">
        <f>IF(B197="","SIN PC",IF(B197&gt;=0.3,"APROBAR",IF(B197&gt;=0.2,"REVISAR","RECHAZAR")))</f>
        <v>APROBAR</v>
      </c>
      <c r="E197" s="139"/>
      <c r="F197" s="139"/>
      <c r="AD197">
        <f>SUM(F190:F192)-227.3937</f>
        <v>-3.7000000000091404E-3</v>
      </c>
    </row>
    <row r="199" spans="1:30" x14ac:dyDescent="0.2">
      <c r="A199" s="137" t="s">
        <v>734</v>
      </c>
      <c r="B199" s="137"/>
      <c r="C199" s="137"/>
      <c r="D199" s="137"/>
      <c r="E199" s="137"/>
      <c r="F199" s="137"/>
      <c r="H199" s="137" t="s">
        <v>735</v>
      </c>
      <c r="I199" s="137"/>
      <c r="J199" s="137"/>
      <c r="K199" s="137"/>
      <c r="L199" s="76">
        <v>46113</v>
      </c>
      <c r="M199" s="77" t="s">
        <v>607</v>
      </c>
      <c r="N199" s="76">
        <v>46142</v>
      </c>
      <c r="R199" s="138" t="s">
        <v>110</v>
      </c>
      <c r="S199" s="138"/>
      <c r="T199" s="138"/>
      <c r="U199" s="138"/>
      <c r="V199" s="138"/>
    </row>
    <row r="200" spans="1:30" x14ac:dyDescent="0.2">
      <c r="A200" s="78" t="s">
        <v>111</v>
      </c>
      <c r="B200" s="79" t="s">
        <v>112</v>
      </c>
      <c r="C200" s="80"/>
      <c r="D200" s="80"/>
      <c r="E200" s="80"/>
      <c r="F200" s="80"/>
      <c r="H200" s="81" t="s">
        <v>736</v>
      </c>
      <c r="I200" s="82"/>
      <c r="J200" s="82"/>
      <c r="L200" s="83" t="s">
        <v>737</v>
      </c>
      <c r="M200" s="84"/>
      <c r="N200" s="84"/>
      <c r="R200" s="85" t="s">
        <v>738</v>
      </c>
    </row>
    <row r="201" spans="1:30" x14ac:dyDescent="0.2">
      <c r="B201" s="68" t="s">
        <v>116</v>
      </c>
      <c r="C201" s="68" t="s">
        <v>117</v>
      </c>
      <c r="D201" s="68" t="s">
        <v>118</v>
      </c>
      <c r="E201" s="68" t="s">
        <v>119</v>
      </c>
      <c r="F201" s="68" t="s">
        <v>120</v>
      </c>
      <c r="H201" s="86" t="s">
        <v>116</v>
      </c>
      <c r="I201" s="86" t="s">
        <v>119</v>
      </c>
      <c r="J201" s="86" t="s">
        <v>120</v>
      </c>
      <c r="L201" s="87" t="s">
        <v>116</v>
      </c>
      <c r="M201" s="87" t="s">
        <v>119</v>
      </c>
      <c r="N201" s="87" t="s">
        <v>120</v>
      </c>
      <c r="R201" s="88" t="s">
        <v>739</v>
      </c>
    </row>
    <row r="202" spans="1:30" x14ac:dyDescent="0.2">
      <c r="A202" s="89" t="s">
        <v>122</v>
      </c>
      <c r="B202" s="90">
        <v>9.1999999999999993</v>
      </c>
      <c r="C202" s="91">
        <f>$N$199-$L$199+1</f>
        <v>30</v>
      </c>
      <c r="D202" s="92">
        <v>3.4085999999999999</v>
      </c>
      <c r="E202" s="93">
        <v>4.17</v>
      </c>
      <c r="F202" s="94">
        <f t="shared" ref="F202:F209" si="42">ROUND(B202*E202,2)</f>
        <v>38.36</v>
      </c>
      <c r="H202" s="95">
        <v>9.1999999999999993</v>
      </c>
      <c r="I202" s="96">
        <v>4.17</v>
      </c>
      <c r="J202" s="97">
        <f t="shared" ref="J202:J209" si="43">ROUND(H202*I202,2)</f>
        <v>38.36</v>
      </c>
      <c r="L202" s="98">
        <v>9.1999999999999993</v>
      </c>
      <c r="M202" s="99">
        <v>4.17</v>
      </c>
      <c r="N202" s="100">
        <f t="shared" ref="N202:N209" si="44">ROUND(L202*M202,2)</f>
        <v>38.36</v>
      </c>
      <c r="R202" s="101" t="s">
        <v>740</v>
      </c>
    </row>
    <row r="203" spans="1:30" x14ac:dyDescent="0.2">
      <c r="A203" s="89" t="s">
        <v>124</v>
      </c>
      <c r="B203" s="90">
        <v>9.1999999999999993</v>
      </c>
      <c r="C203" s="91">
        <f>$N$199-$L$199+1</f>
        <v>30</v>
      </c>
      <c r="D203" s="92">
        <v>1.09728</v>
      </c>
      <c r="E203" s="93">
        <v>1.37</v>
      </c>
      <c r="F203" s="94">
        <f t="shared" si="42"/>
        <v>12.6</v>
      </c>
      <c r="H203" s="95">
        <v>9.1999999999999993</v>
      </c>
      <c r="I203" s="96">
        <v>1.37</v>
      </c>
      <c r="J203" s="97">
        <f t="shared" si="43"/>
        <v>12.6</v>
      </c>
      <c r="L203" s="98">
        <v>9.1999999999999993</v>
      </c>
      <c r="M203" s="99">
        <v>1.37</v>
      </c>
      <c r="N203" s="100">
        <f t="shared" si="44"/>
        <v>12.6</v>
      </c>
      <c r="R203" s="102" t="s">
        <v>741</v>
      </c>
    </row>
    <row r="204" spans="1:30" x14ac:dyDescent="0.2">
      <c r="A204" s="89" t="s">
        <v>614</v>
      </c>
      <c r="B204" s="90">
        <f>IF($P$204&lt;&gt;"",ROUND(AA204*(($AB$204/(1-$P$204))-50.968)/151.1427,2),IF('Resumen 2.0TD'!$D$3="OPTIMIZAR",ROUND(MAX(AA204,MIN(AA204*(($AB$204/(1-'Resumen 2.0TD'!$F$3))-50.968)/151.1427,AA204*(171.1098)/151.1427)),3),AA204))</f>
        <v>126.446</v>
      </c>
      <c r="C204" s="103"/>
      <c r="D204" s="92">
        <v>0.110306</v>
      </c>
      <c r="E204" s="93">
        <v>0.14937</v>
      </c>
      <c r="F204" s="94">
        <f t="shared" si="42"/>
        <v>18.89</v>
      </c>
      <c r="H204" s="95">
        <v>96.081999999999994</v>
      </c>
      <c r="I204" s="96">
        <v>0.14937</v>
      </c>
      <c r="J204" s="97">
        <f t="shared" si="43"/>
        <v>14.35</v>
      </c>
      <c r="L204" s="98">
        <v>106.42100000000001</v>
      </c>
      <c r="M204" s="99">
        <v>0.14937</v>
      </c>
      <c r="N204" s="100">
        <f t="shared" si="44"/>
        <v>15.9</v>
      </c>
      <c r="O204" s="104" t="s">
        <v>615</v>
      </c>
      <c r="P204" s="67"/>
      <c r="R204" s="102" t="s">
        <v>742</v>
      </c>
      <c r="AA204">
        <v>113.96</v>
      </c>
      <c r="AB204">
        <f>B202*D202+B203*D203+AA204*D204+AA205*D205+AA206*D206</f>
        <v>153.069207608</v>
      </c>
    </row>
    <row r="205" spans="1:30" x14ac:dyDescent="0.2">
      <c r="A205" s="89" t="s">
        <v>617</v>
      </c>
      <c r="B205" s="90">
        <f>IF($P$204&lt;&gt;"",ROUND(AA205*(($AB$204/(1-$P$204))-50.968)/151.1427,2),IF('Resumen 2.0TD'!$D$3="OPTIMIZAR",ROUND(MAX(AA205,MIN(AA205*(($AB$204/(1-'Resumen 2.0TD'!$F$3))-50.968)/151.1427,AA205*(171.1098)/151.1427)),3),AA205))</f>
        <v>213.494</v>
      </c>
      <c r="C205" s="103"/>
      <c r="D205" s="92">
        <v>0.110306</v>
      </c>
      <c r="E205" s="93">
        <v>0.14937</v>
      </c>
      <c r="F205" s="94">
        <f t="shared" si="42"/>
        <v>31.89</v>
      </c>
      <c r="H205" s="95">
        <v>96.138000000000005</v>
      </c>
      <c r="I205" s="96">
        <v>0.14937</v>
      </c>
      <c r="J205" s="97">
        <f t="shared" si="43"/>
        <v>14.36</v>
      </c>
      <c r="L205" s="98">
        <v>134.85</v>
      </c>
      <c r="M205" s="99">
        <v>0.14937</v>
      </c>
      <c r="N205" s="100">
        <f t="shared" si="44"/>
        <v>20.14</v>
      </c>
      <c r="O205" s="105" t="s">
        <v>618</v>
      </c>
      <c r="R205" s="102" t="s">
        <v>619</v>
      </c>
      <c r="AA205">
        <v>192.41300000000001</v>
      </c>
    </row>
    <row r="206" spans="1:30" x14ac:dyDescent="0.2">
      <c r="A206" s="89" t="s">
        <v>620</v>
      </c>
      <c r="B206" s="90">
        <f>IF($P$204&lt;&gt;"",ROUND(AA206*(($AB$204/(1-$P$204))-50.968)/151.1427,2),IF('Resumen 2.0TD'!$D$3="OPTIMIZAR",ROUND(MAX(AA206,MIN(AA206*(($AB$204/(1-'Resumen 2.0TD'!$F$3))-50.968)/151.1427,AA206*(171.1098)/151.1427)),3),AA206))</f>
        <v>782.79100000000005</v>
      </c>
      <c r="C206" s="103"/>
      <c r="D206" s="92">
        <v>0.110306</v>
      </c>
      <c r="E206" s="93">
        <v>0.14937</v>
      </c>
      <c r="F206" s="94">
        <f t="shared" si="42"/>
        <v>116.93</v>
      </c>
      <c r="H206" s="95">
        <v>293.98899999999998</v>
      </c>
      <c r="I206" s="96">
        <v>0.14937</v>
      </c>
      <c r="J206" s="97">
        <f t="shared" si="43"/>
        <v>43.91</v>
      </c>
      <c r="L206" s="98">
        <v>432.12099999999998</v>
      </c>
      <c r="M206" s="99">
        <v>0.14937</v>
      </c>
      <c r="N206" s="100">
        <f t="shared" si="44"/>
        <v>64.55</v>
      </c>
      <c r="O206" s="105" t="s">
        <v>621</v>
      </c>
      <c r="AA206">
        <v>705.495</v>
      </c>
    </row>
    <row r="207" spans="1:30" x14ac:dyDescent="0.2">
      <c r="A207" s="89" t="s">
        <v>139</v>
      </c>
      <c r="B207" s="90">
        <v>1</v>
      </c>
      <c r="C207" s="91">
        <f>$N$199-$L$199+1</f>
        <v>30</v>
      </c>
      <c r="D207" s="92">
        <v>0.79890000000000005</v>
      </c>
      <c r="E207" s="93">
        <v>4</v>
      </c>
      <c r="F207" s="94">
        <f t="shared" si="42"/>
        <v>4</v>
      </c>
      <c r="H207" s="95">
        <v>1</v>
      </c>
      <c r="I207" s="96">
        <v>4</v>
      </c>
      <c r="J207" s="97">
        <f t="shared" si="43"/>
        <v>4</v>
      </c>
      <c r="L207" s="98">
        <v>1</v>
      </c>
      <c r="M207" s="99">
        <v>4</v>
      </c>
      <c r="N207" s="100">
        <f t="shared" si="44"/>
        <v>4</v>
      </c>
    </row>
    <row r="208" spans="1:30" x14ac:dyDescent="0.2">
      <c r="A208" s="89" t="s">
        <v>140</v>
      </c>
      <c r="B208" s="90">
        <v>30</v>
      </c>
      <c r="C208" s="91">
        <f>$N$199-$L$199+1</f>
        <v>30</v>
      </c>
      <c r="D208" s="92">
        <v>0.5736</v>
      </c>
      <c r="E208" s="93">
        <v>1.274E-2</v>
      </c>
      <c r="F208" s="94">
        <f t="shared" si="42"/>
        <v>0.38</v>
      </c>
      <c r="H208" s="95">
        <v>30</v>
      </c>
      <c r="I208" s="96">
        <v>1.274E-2</v>
      </c>
      <c r="J208" s="97">
        <f t="shared" si="43"/>
        <v>0.38</v>
      </c>
      <c r="L208" s="98">
        <v>30</v>
      </c>
      <c r="M208" s="99">
        <v>6.2899999999999996E-3</v>
      </c>
      <c r="N208" s="100">
        <f t="shared" si="44"/>
        <v>0.19</v>
      </c>
    </row>
    <row r="209" spans="1:30" x14ac:dyDescent="0.2">
      <c r="A209" s="89" t="s">
        <v>141</v>
      </c>
      <c r="B209" s="90">
        <v>10.210000000000001</v>
      </c>
      <c r="C209" s="103"/>
      <c r="D209" s="92">
        <v>0.24729000000000001</v>
      </c>
      <c r="E209" s="93">
        <v>1</v>
      </c>
      <c r="F209" s="94">
        <f t="shared" si="42"/>
        <v>10.210000000000001</v>
      </c>
      <c r="H209" s="95">
        <v>6.2</v>
      </c>
      <c r="I209" s="96">
        <v>1</v>
      </c>
      <c r="J209" s="97">
        <f t="shared" si="43"/>
        <v>6.2</v>
      </c>
      <c r="L209" s="98">
        <v>7.41</v>
      </c>
      <c r="M209" s="99">
        <v>1</v>
      </c>
      <c r="N209" s="100">
        <f t="shared" si="44"/>
        <v>7.41</v>
      </c>
    </row>
    <row r="210" spans="1:30" x14ac:dyDescent="0.2">
      <c r="A210" s="106" t="s">
        <v>142</v>
      </c>
      <c r="F210" s="107">
        <f>ROUND((SUM(F202:F209)-F209)*1.1+F209,2)</f>
        <v>255.57</v>
      </c>
      <c r="J210" s="108">
        <f>ROUND(SUM(J202:J209),2)</f>
        <v>134.16</v>
      </c>
      <c r="N210" s="109">
        <f>ROUND(SUM(N202:N209),2)</f>
        <v>163.15</v>
      </c>
    </row>
    <row r="211" spans="1:30" x14ac:dyDescent="0.2">
      <c r="A211" s="78" t="s">
        <v>143</v>
      </c>
      <c r="B211" s="110">
        <f>IF((F206+F205+F204+F202+F203)=0,"",((F206+F205+F204+F202+F203)-$AB$204)/(F206+F205+F204+F202+F203))</f>
        <v>0.29999905058764342</v>
      </c>
      <c r="D211" s="139" t="str">
        <f>IF(B211="","SIN PC",IF(B211&gt;=0.3,"APROBAR",IF(B211&gt;=0.2,"REVISAR","RECHAZAR")))</f>
        <v>REVISAR</v>
      </c>
      <c r="E211" s="139"/>
      <c r="F211" s="139"/>
      <c r="AD211">
        <f>SUM(F204:F206)-151.1427</f>
        <v>16.567300000000017</v>
      </c>
    </row>
    <row r="212" spans="1:30" x14ac:dyDescent="0.2">
      <c r="A212" s="140" t="s">
        <v>743</v>
      </c>
      <c r="B212" s="140"/>
      <c r="C212" s="140"/>
      <c r="D212" s="140"/>
      <c r="E212" s="140"/>
      <c r="F212" s="140"/>
    </row>
    <row r="213" spans="1:30" x14ac:dyDescent="0.2">
      <c r="A213" s="111" t="s">
        <v>111</v>
      </c>
      <c r="B213" s="111" t="s">
        <v>744</v>
      </c>
      <c r="D213" s="111" t="s">
        <v>745</v>
      </c>
      <c r="E213" s="111" t="s">
        <v>746</v>
      </c>
      <c r="F213" s="111" t="s">
        <v>120</v>
      </c>
    </row>
    <row r="214" spans="1:30" x14ac:dyDescent="0.2">
      <c r="A214" s="112" t="s">
        <v>747</v>
      </c>
      <c r="B214" s="113">
        <v>43</v>
      </c>
      <c r="C214" s="114"/>
      <c r="D214" s="92">
        <v>0.06</v>
      </c>
      <c r="E214" s="114"/>
      <c r="F214" s="115">
        <f>ROUND(B214*D214,2)</f>
        <v>2.58</v>
      </c>
    </row>
    <row r="215" spans="1:30" x14ac:dyDescent="0.2">
      <c r="A215" s="112" t="s">
        <v>748</v>
      </c>
      <c r="B215" s="114"/>
      <c r="C215" s="114"/>
      <c r="D215" s="114"/>
      <c r="E215" s="116">
        <v>0.06</v>
      </c>
      <c r="F215" s="115">
        <v>2.5299999999999998</v>
      </c>
    </row>
    <row r="216" spans="1:30" x14ac:dyDescent="0.2">
      <c r="A216" s="117" t="s">
        <v>749</v>
      </c>
      <c r="B216" s="114"/>
      <c r="C216" s="114"/>
      <c r="D216" s="114"/>
      <c r="E216" s="114"/>
      <c r="F216" s="118">
        <f>F214-F215</f>
        <v>5.0000000000000266E-2</v>
      </c>
    </row>
    <row r="218" spans="1:30" x14ac:dyDescent="0.2">
      <c r="A218" s="137" t="s">
        <v>750</v>
      </c>
      <c r="B218" s="137"/>
      <c r="C218" s="137"/>
      <c r="D218" s="137"/>
      <c r="E218" s="137"/>
      <c r="F218" s="137"/>
      <c r="H218" s="137" t="s">
        <v>751</v>
      </c>
      <c r="I218" s="137"/>
      <c r="J218" s="137"/>
      <c r="K218" s="137"/>
      <c r="L218" s="76">
        <v>46113</v>
      </c>
      <c r="M218" s="77" t="s">
        <v>607</v>
      </c>
      <c r="N218" s="76">
        <v>46142</v>
      </c>
      <c r="R218" s="138" t="s">
        <v>110</v>
      </c>
      <c r="S218" s="138"/>
      <c r="T218" s="138"/>
      <c r="U218" s="138"/>
      <c r="V218" s="138"/>
    </row>
    <row r="219" spans="1:30" x14ac:dyDescent="0.2">
      <c r="A219" s="78" t="s">
        <v>111</v>
      </c>
      <c r="B219" s="79" t="s">
        <v>112</v>
      </c>
      <c r="C219" s="80"/>
      <c r="D219" s="80"/>
      <c r="E219" s="80"/>
      <c r="F219" s="80"/>
      <c r="H219" s="81" t="s">
        <v>752</v>
      </c>
      <c r="I219" s="82"/>
      <c r="J219" s="82"/>
      <c r="L219" s="83" t="s">
        <v>753</v>
      </c>
      <c r="M219" s="84"/>
      <c r="N219" s="84"/>
      <c r="R219" s="85" t="s">
        <v>754</v>
      </c>
    </row>
    <row r="220" spans="1:30" x14ac:dyDescent="0.2">
      <c r="B220" s="68" t="s">
        <v>116</v>
      </c>
      <c r="C220" s="68" t="s">
        <v>117</v>
      </c>
      <c r="D220" s="68" t="s">
        <v>118</v>
      </c>
      <c r="E220" s="68" t="s">
        <v>119</v>
      </c>
      <c r="F220" s="68" t="s">
        <v>120</v>
      </c>
      <c r="H220" s="86" t="s">
        <v>116</v>
      </c>
      <c r="I220" s="86" t="s">
        <v>119</v>
      </c>
      <c r="J220" s="86" t="s">
        <v>120</v>
      </c>
      <c r="L220" s="87" t="s">
        <v>116</v>
      </c>
      <c r="M220" s="87" t="s">
        <v>119</v>
      </c>
      <c r="N220" s="87" t="s">
        <v>120</v>
      </c>
      <c r="R220" s="88" t="s">
        <v>755</v>
      </c>
    </row>
    <row r="221" spans="1:30" x14ac:dyDescent="0.2">
      <c r="A221" s="89" t="s">
        <v>122</v>
      </c>
      <c r="B221" s="90">
        <v>13.2</v>
      </c>
      <c r="C221" s="91">
        <f>$N$218-$L$218+1</f>
        <v>30</v>
      </c>
      <c r="D221" s="92">
        <v>3.68919</v>
      </c>
      <c r="E221" s="93">
        <v>3.85</v>
      </c>
      <c r="F221" s="94">
        <f t="shared" ref="F221:F228" si="45">ROUND(B221*E221,2)</f>
        <v>50.82</v>
      </c>
      <c r="H221" s="95">
        <v>13.2</v>
      </c>
      <c r="I221" s="96">
        <v>3.85</v>
      </c>
      <c r="J221" s="97">
        <f t="shared" ref="J221:J228" si="46">ROUND(H221*I221,2)</f>
        <v>50.82</v>
      </c>
      <c r="L221" s="98">
        <v>13.2</v>
      </c>
      <c r="M221" s="99">
        <v>3.85</v>
      </c>
      <c r="N221" s="100">
        <f t="shared" ref="N221:N228" si="47">ROUND(L221*M221,2)</f>
        <v>50.82</v>
      </c>
      <c r="R221" s="101" t="s">
        <v>756</v>
      </c>
    </row>
    <row r="222" spans="1:30" x14ac:dyDescent="0.2">
      <c r="A222" s="89" t="s">
        <v>124</v>
      </c>
      <c r="B222" s="90">
        <v>13.2</v>
      </c>
      <c r="C222" s="91">
        <f>$N$218-$L$218+1</f>
        <v>30</v>
      </c>
      <c r="D222" s="92">
        <v>1.31928</v>
      </c>
      <c r="E222" s="93">
        <v>1.33</v>
      </c>
      <c r="F222" s="94">
        <f t="shared" si="45"/>
        <v>17.559999999999999</v>
      </c>
      <c r="H222" s="95">
        <v>13.2</v>
      </c>
      <c r="I222" s="96">
        <v>1.33</v>
      </c>
      <c r="J222" s="97">
        <f t="shared" si="46"/>
        <v>17.559999999999999</v>
      </c>
      <c r="L222" s="98">
        <v>13.2</v>
      </c>
      <c r="M222" s="99">
        <v>1.33</v>
      </c>
      <c r="N222" s="100">
        <f t="shared" si="47"/>
        <v>17.559999999999999</v>
      </c>
      <c r="R222" s="102" t="s">
        <v>757</v>
      </c>
    </row>
    <row r="223" spans="1:30" x14ac:dyDescent="0.2">
      <c r="A223" s="89" t="s">
        <v>614</v>
      </c>
      <c r="B223" s="90">
        <f>IF($P$223&lt;&gt;"",ROUND(AA223*(($AB$223/(1-$P$223))-68.376)/122.8025,2),IF('Resumen 2.0TD'!$D$3="OPTIMIZAR",ROUND(MAX(AA223,MIN(AA223*(($AB$223/(1-'Resumen 2.0TD'!$F$3))-68.376)/122.8025,AA223*(209.7518)/122.8025)),3),AA223))</f>
        <v>352.61099999999999</v>
      </c>
      <c r="C223" s="103"/>
      <c r="D223" s="92">
        <v>0.11117100000000001</v>
      </c>
      <c r="E223" s="93">
        <v>0.13788</v>
      </c>
      <c r="F223" s="94">
        <f t="shared" si="45"/>
        <v>48.62</v>
      </c>
      <c r="H223" s="95">
        <v>442.536</v>
      </c>
      <c r="I223" s="96">
        <v>0.129</v>
      </c>
      <c r="J223" s="97">
        <f t="shared" si="46"/>
        <v>57.09</v>
      </c>
      <c r="L223" s="98">
        <v>256.23200000000003</v>
      </c>
      <c r="M223" s="99">
        <v>0.13788</v>
      </c>
      <c r="N223" s="100">
        <f t="shared" si="47"/>
        <v>35.33</v>
      </c>
      <c r="O223" s="104" t="s">
        <v>615</v>
      </c>
      <c r="P223" s="67"/>
      <c r="R223" s="102" t="s">
        <v>758</v>
      </c>
      <c r="AA223">
        <v>258.488</v>
      </c>
      <c r="AB223">
        <f>B221*D221+B222*D222+AA223*D223+AA224*D224+AA225*D225</f>
        <v>165.12603280800002</v>
      </c>
    </row>
    <row r="224" spans="1:30" x14ac:dyDescent="0.2">
      <c r="A224" s="89" t="s">
        <v>617</v>
      </c>
      <c r="B224" s="90">
        <f>IF($P$223&lt;&gt;"",ROUND(AA224*(($AB$223/(1-$P$223))-68.376)/122.8025,2),IF('Resumen 2.0TD'!$D$3="OPTIMIZAR",ROUND(MAX(AA224,MIN(AA224*(($AB$223/(1-'Resumen 2.0TD'!$F$3))-68.376)/122.8025,AA224*(209.7518)/122.8025)),3),AA224))</f>
        <v>416.63600000000002</v>
      </c>
      <c r="C224" s="103"/>
      <c r="D224" s="92">
        <v>0.11117100000000001</v>
      </c>
      <c r="E224" s="93">
        <v>0.13788</v>
      </c>
      <c r="F224" s="94">
        <f t="shared" si="45"/>
        <v>57.45</v>
      </c>
      <c r="H224" s="95">
        <v>441.52699999999999</v>
      </c>
      <c r="I224" s="96">
        <v>0.129</v>
      </c>
      <c r="J224" s="97">
        <f t="shared" si="46"/>
        <v>56.96</v>
      </c>
      <c r="L224" s="98">
        <v>333.72</v>
      </c>
      <c r="M224" s="99">
        <v>0.13788</v>
      </c>
      <c r="N224" s="100">
        <f t="shared" si="47"/>
        <v>46.01</v>
      </c>
      <c r="O224" s="105" t="s">
        <v>618</v>
      </c>
      <c r="R224" s="102" t="s">
        <v>619</v>
      </c>
      <c r="AA224">
        <v>305.423</v>
      </c>
    </row>
    <row r="225" spans="1:30" x14ac:dyDescent="0.2">
      <c r="A225" s="89" t="s">
        <v>620</v>
      </c>
      <c r="B225" s="90">
        <f>IF($P$223&lt;&gt;"",ROUND(AA225*(($AB$223/(1-$P$223))-68.376)/122.8025,2),IF('Resumen 2.0TD'!$D$3="OPTIMIZAR",ROUND(MAX(AA225,MIN(AA225*(($AB$223/(1-'Resumen 2.0TD'!$F$3))-68.376)/122.8025,AA225*(209.7518)/122.8025)),3),AA225))</f>
        <v>445.71100000000001</v>
      </c>
      <c r="C225" s="103"/>
      <c r="D225" s="92">
        <v>0.11117100000000001</v>
      </c>
      <c r="E225" s="93">
        <v>0.13788</v>
      </c>
      <c r="F225" s="94">
        <f t="shared" si="45"/>
        <v>61.45</v>
      </c>
      <c r="H225" s="95">
        <v>295.77300000000002</v>
      </c>
      <c r="I225" s="96">
        <v>0.129</v>
      </c>
      <c r="J225" s="97">
        <f t="shared" si="46"/>
        <v>38.15</v>
      </c>
      <c r="L225" s="98">
        <v>202.33500000000001</v>
      </c>
      <c r="M225" s="99">
        <v>0.13788</v>
      </c>
      <c r="N225" s="100">
        <f t="shared" si="47"/>
        <v>27.9</v>
      </c>
      <c r="O225" s="105" t="s">
        <v>621</v>
      </c>
      <c r="AA225">
        <v>326.73700000000002</v>
      </c>
    </row>
    <row r="226" spans="1:30" x14ac:dyDescent="0.2">
      <c r="A226" s="89" t="s">
        <v>139</v>
      </c>
      <c r="B226" s="90">
        <v>1</v>
      </c>
      <c r="C226" s="91">
        <f>$N$218-$L$218+1</f>
        <v>30</v>
      </c>
      <c r="D226" s="92">
        <v>1.3413999999999999</v>
      </c>
      <c r="E226" s="93">
        <v>3</v>
      </c>
      <c r="F226" s="94">
        <f t="shared" si="45"/>
        <v>3</v>
      </c>
      <c r="H226" s="95">
        <v>1</v>
      </c>
      <c r="I226" s="96">
        <v>3</v>
      </c>
      <c r="J226" s="97">
        <f t="shared" si="46"/>
        <v>3</v>
      </c>
      <c r="L226" s="98">
        <v>1</v>
      </c>
      <c r="M226" s="99">
        <v>3</v>
      </c>
      <c r="N226" s="100">
        <f t="shared" si="47"/>
        <v>3</v>
      </c>
    </row>
    <row r="227" spans="1:30" x14ac:dyDescent="0.2">
      <c r="A227" s="89" t="s">
        <v>140</v>
      </c>
      <c r="B227" s="90">
        <v>30</v>
      </c>
      <c r="C227" s="91">
        <f>$N$218-$L$218+1</f>
        <v>30</v>
      </c>
      <c r="D227" s="92">
        <v>0.5736</v>
      </c>
      <c r="E227" s="93">
        <v>1.274E-2</v>
      </c>
      <c r="F227" s="94">
        <f t="shared" si="45"/>
        <v>0.38</v>
      </c>
      <c r="H227" s="95">
        <v>30</v>
      </c>
      <c r="I227" s="96">
        <v>1.274E-2</v>
      </c>
      <c r="J227" s="97">
        <f t="shared" si="46"/>
        <v>0.38</v>
      </c>
      <c r="L227" s="98">
        <v>30</v>
      </c>
      <c r="M227" s="99">
        <v>6.2899999999999996E-3</v>
      </c>
      <c r="N227" s="100">
        <f t="shared" si="47"/>
        <v>0.19</v>
      </c>
    </row>
    <row r="228" spans="1:30" x14ac:dyDescent="0.2">
      <c r="A228" s="89" t="s">
        <v>141</v>
      </c>
      <c r="B228" s="90">
        <v>9.7799999999999994</v>
      </c>
      <c r="C228" s="103"/>
      <c r="D228" s="92">
        <v>0.27311999999999997</v>
      </c>
      <c r="E228" s="93">
        <v>1</v>
      </c>
      <c r="F228" s="94">
        <f t="shared" si="45"/>
        <v>9.7799999999999994</v>
      </c>
      <c r="H228" s="95">
        <v>12.04</v>
      </c>
      <c r="I228" s="96">
        <v>1</v>
      </c>
      <c r="J228" s="97">
        <f t="shared" si="46"/>
        <v>12.04</v>
      </c>
      <c r="L228" s="98">
        <v>9.09</v>
      </c>
      <c r="M228" s="99">
        <v>1</v>
      </c>
      <c r="N228" s="100">
        <f t="shared" si="47"/>
        <v>9.09</v>
      </c>
    </row>
    <row r="229" spans="1:30" x14ac:dyDescent="0.2">
      <c r="A229" s="106" t="s">
        <v>142</v>
      </c>
      <c r="F229" s="107">
        <f>ROUND((SUM(F221:F228)-F228)*1.1+F228,2)</f>
        <v>272.99</v>
      </c>
      <c r="J229" s="108">
        <f>ROUND(SUM(J221:J228),2)</f>
        <v>236</v>
      </c>
      <c r="N229" s="109">
        <f>ROUND(SUM(N221:N228),2)</f>
        <v>189.9</v>
      </c>
    </row>
    <row r="230" spans="1:30" x14ac:dyDescent="0.2">
      <c r="A230" s="78" t="s">
        <v>143</v>
      </c>
      <c r="B230" s="110">
        <f>IF((F225+F224+F223+F221+F222)=0,"",((F225+F224+F223+F221+F222)-$AB$223)/(F225+F224+F223+F221+F222))</f>
        <v>0.30001681726155144</v>
      </c>
      <c r="D230" s="139" t="str">
        <f>IF(B230="","SIN PC",IF(B230&gt;=0.3,"APROBAR",IF(B230&gt;=0.2,"REVISAR","RECHAZAR")))</f>
        <v>APROBAR</v>
      </c>
      <c r="E230" s="139"/>
      <c r="F230" s="139"/>
      <c r="AD230">
        <f>SUM(F223:F225)-122.8025</f>
        <v>44.717499999999987</v>
      </c>
    </row>
    <row r="232" spans="1:30" x14ac:dyDescent="0.2">
      <c r="A232" s="137" t="s">
        <v>759</v>
      </c>
      <c r="B232" s="137"/>
      <c r="C232" s="137"/>
      <c r="D232" s="137"/>
      <c r="E232" s="137"/>
      <c r="F232" s="137"/>
      <c r="H232" s="137" t="s">
        <v>760</v>
      </c>
      <c r="I232" s="137"/>
      <c r="J232" s="137"/>
      <c r="K232" s="137"/>
      <c r="L232" s="76">
        <v>46113</v>
      </c>
      <c r="M232" s="77" t="s">
        <v>607</v>
      </c>
      <c r="N232" s="76">
        <v>46142</v>
      </c>
      <c r="R232" s="138" t="s">
        <v>110</v>
      </c>
      <c r="S232" s="138"/>
      <c r="T232" s="138"/>
      <c r="U232" s="138"/>
      <c r="V232" s="138"/>
    </row>
    <row r="233" spans="1:30" x14ac:dyDescent="0.2">
      <c r="A233" s="78" t="s">
        <v>111</v>
      </c>
      <c r="B233" s="79" t="s">
        <v>112</v>
      </c>
      <c r="C233" s="80"/>
      <c r="D233" s="80"/>
      <c r="E233" s="80"/>
      <c r="F233" s="80"/>
      <c r="H233" s="81" t="s">
        <v>761</v>
      </c>
      <c r="I233" s="82"/>
      <c r="J233" s="82"/>
      <c r="L233" s="83" t="s">
        <v>762</v>
      </c>
      <c r="M233" s="84"/>
      <c r="N233" s="84"/>
      <c r="R233" s="85" t="s">
        <v>763</v>
      </c>
    </row>
    <row r="234" spans="1:30" x14ac:dyDescent="0.2">
      <c r="B234" s="68" t="s">
        <v>116</v>
      </c>
      <c r="C234" s="68" t="s">
        <v>117</v>
      </c>
      <c r="D234" s="68" t="s">
        <v>118</v>
      </c>
      <c r="E234" s="68" t="s">
        <v>119</v>
      </c>
      <c r="F234" s="68" t="s">
        <v>120</v>
      </c>
      <c r="H234" s="86" t="s">
        <v>116</v>
      </c>
      <c r="I234" s="86" t="s">
        <v>119</v>
      </c>
      <c r="J234" s="86" t="s">
        <v>120</v>
      </c>
      <c r="L234" s="87" t="s">
        <v>116</v>
      </c>
      <c r="M234" s="87" t="s">
        <v>119</v>
      </c>
      <c r="N234" s="87" t="s">
        <v>120</v>
      </c>
      <c r="R234" s="88" t="s">
        <v>764</v>
      </c>
    </row>
    <row r="235" spans="1:30" x14ac:dyDescent="0.2">
      <c r="A235" s="89" t="s">
        <v>122</v>
      </c>
      <c r="B235" s="90">
        <v>5.5</v>
      </c>
      <c r="C235" s="91">
        <f>$N$232-$L$232+1</f>
        <v>30</v>
      </c>
      <c r="D235" s="92">
        <v>3.68919</v>
      </c>
      <c r="E235" s="93">
        <v>3.85</v>
      </c>
      <c r="F235" s="94">
        <f t="shared" ref="F235:F242" si="48">ROUND(B235*E235,2)</f>
        <v>21.18</v>
      </c>
      <c r="H235" s="95">
        <v>5.5</v>
      </c>
      <c r="I235" s="96">
        <v>3.85</v>
      </c>
      <c r="J235" s="97">
        <f t="shared" ref="J235:J242" si="49">ROUND(H235*I235,2)</f>
        <v>21.18</v>
      </c>
      <c r="L235" s="98">
        <v>5.5</v>
      </c>
      <c r="M235" s="99">
        <v>3.85</v>
      </c>
      <c r="N235" s="100">
        <f t="shared" ref="N235:N242" si="50">ROUND(L235*M235,2)</f>
        <v>21.18</v>
      </c>
      <c r="R235" s="101" t="s">
        <v>765</v>
      </c>
    </row>
    <row r="236" spans="1:30" x14ac:dyDescent="0.2">
      <c r="A236" s="89" t="s">
        <v>124</v>
      </c>
      <c r="B236" s="90">
        <v>5.5</v>
      </c>
      <c r="C236" s="91">
        <f>$N$232-$L$232+1</f>
        <v>30</v>
      </c>
      <c r="D236" s="92">
        <v>1.31928</v>
      </c>
      <c r="E236" s="93">
        <v>1.33</v>
      </c>
      <c r="F236" s="94">
        <f t="shared" si="48"/>
        <v>7.32</v>
      </c>
      <c r="H236" s="95">
        <v>5.5</v>
      </c>
      <c r="I236" s="96">
        <v>1.33</v>
      </c>
      <c r="J236" s="97">
        <f t="shared" si="49"/>
        <v>7.32</v>
      </c>
      <c r="L236" s="98">
        <v>5.5</v>
      </c>
      <c r="M236" s="99">
        <v>1.33</v>
      </c>
      <c r="N236" s="100">
        <f t="shared" si="50"/>
        <v>7.32</v>
      </c>
    </row>
    <row r="237" spans="1:30" x14ac:dyDescent="0.2">
      <c r="A237" s="89" t="s">
        <v>614</v>
      </c>
      <c r="B237" s="90">
        <f>IF($P$237&lt;&gt;"",ROUND(AA237*(($AB$237/(1-$P$237))-28.49)/101.3208,2),IF('Resumen 2.0TD'!$D$3="OPTIMIZAR",AA237,AA237))</f>
        <v>131.53700000000001</v>
      </c>
      <c r="C237" s="103"/>
      <c r="D237" s="92">
        <v>0.11117100000000001</v>
      </c>
      <c r="E237" s="93">
        <v>0.13788</v>
      </c>
      <c r="F237" s="94">
        <f t="shared" si="48"/>
        <v>18.14</v>
      </c>
      <c r="H237" s="95">
        <v>383.00700000000001</v>
      </c>
      <c r="I237" s="96">
        <v>0.13788</v>
      </c>
      <c r="J237" s="97">
        <f t="shared" si="49"/>
        <v>52.81</v>
      </c>
      <c r="L237" s="98">
        <v>197.21199999999999</v>
      </c>
      <c r="M237" s="99">
        <v>0.13788</v>
      </c>
      <c r="N237" s="100">
        <f t="shared" si="50"/>
        <v>27.19</v>
      </c>
      <c r="O237" s="104" t="s">
        <v>615</v>
      </c>
      <c r="P237" s="67"/>
      <c r="AA237">
        <v>131.53700000000001</v>
      </c>
      <c r="AB237">
        <f>B235*D235+B236*D236+AA237*D237+AA238*D238+AA239*D239</f>
        <v>109.24037200800001</v>
      </c>
    </row>
    <row r="238" spans="1:30" x14ac:dyDescent="0.2">
      <c r="A238" s="89" t="s">
        <v>617</v>
      </c>
      <c r="B238" s="90">
        <f>IF($P$237&lt;&gt;"",ROUND(AA238*(($AB$237/(1-$P$237))-28.49)/101.3208,2),IF('Resumen 2.0TD'!$D$3="OPTIMIZAR",AA238,AA238))</f>
        <v>180.24100000000001</v>
      </c>
      <c r="C238" s="103"/>
      <c r="D238" s="92">
        <v>0.11117100000000001</v>
      </c>
      <c r="E238" s="93">
        <v>0.13788</v>
      </c>
      <c r="F238" s="94">
        <f t="shared" si="48"/>
        <v>24.85</v>
      </c>
      <c r="H238" s="95">
        <v>376.41199999999998</v>
      </c>
      <c r="I238" s="96">
        <v>0.13788</v>
      </c>
      <c r="J238" s="97">
        <f t="shared" si="49"/>
        <v>51.9</v>
      </c>
      <c r="L238" s="98">
        <v>187.00899999999999</v>
      </c>
      <c r="M238" s="99">
        <v>0.13788</v>
      </c>
      <c r="N238" s="100">
        <f t="shared" si="50"/>
        <v>25.78</v>
      </c>
      <c r="O238" s="105" t="s">
        <v>618</v>
      </c>
      <c r="R238" s="102" t="s">
        <v>619</v>
      </c>
      <c r="AA238">
        <v>180.24100000000001</v>
      </c>
    </row>
    <row r="239" spans="1:30" x14ac:dyDescent="0.2">
      <c r="A239" s="89" t="s">
        <v>620</v>
      </c>
      <c r="B239" s="90">
        <f>IF($P$237&lt;&gt;"",ROUND(AA239*(($AB$237/(1-$P$237))-28.49)/101.3208,2),IF('Resumen 2.0TD'!$D$3="OPTIMIZAR",AA239,AA239))</f>
        <v>423.07</v>
      </c>
      <c r="C239" s="103"/>
      <c r="D239" s="92">
        <v>0.11117100000000001</v>
      </c>
      <c r="E239" s="93">
        <v>0.13788</v>
      </c>
      <c r="F239" s="94">
        <f t="shared" si="48"/>
        <v>58.33</v>
      </c>
      <c r="H239" s="95">
        <v>918.00199999999995</v>
      </c>
      <c r="I239" s="96">
        <v>0.13788</v>
      </c>
      <c r="J239" s="97">
        <f t="shared" si="49"/>
        <v>126.57</v>
      </c>
      <c r="L239" s="98">
        <v>440.66199999999998</v>
      </c>
      <c r="M239" s="99">
        <v>0.13788</v>
      </c>
      <c r="N239" s="100">
        <f t="shared" si="50"/>
        <v>60.76</v>
      </c>
      <c r="O239" s="105" t="s">
        <v>621</v>
      </c>
      <c r="AA239">
        <v>423.07</v>
      </c>
    </row>
    <row r="240" spans="1:30" x14ac:dyDescent="0.2">
      <c r="A240" s="89" t="s">
        <v>139</v>
      </c>
      <c r="B240" s="90">
        <v>1</v>
      </c>
      <c r="C240" s="91">
        <f>$N$232-$L$232+1</f>
        <v>30</v>
      </c>
      <c r="D240" s="92">
        <v>0.79890000000000005</v>
      </c>
      <c r="E240" s="93">
        <v>3</v>
      </c>
      <c r="F240" s="94">
        <f t="shared" si="48"/>
        <v>3</v>
      </c>
      <c r="H240" s="95">
        <v>1</v>
      </c>
      <c r="I240" s="96">
        <v>3</v>
      </c>
      <c r="J240" s="97">
        <f t="shared" si="49"/>
        <v>3</v>
      </c>
      <c r="L240" s="98">
        <v>1</v>
      </c>
      <c r="M240" s="99">
        <v>3</v>
      </c>
      <c r="N240" s="100">
        <f t="shared" si="50"/>
        <v>3</v>
      </c>
    </row>
    <row r="241" spans="1:30" x14ac:dyDescent="0.2">
      <c r="A241" s="89" t="s">
        <v>140</v>
      </c>
      <c r="B241" s="90">
        <v>30</v>
      </c>
      <c r="C241" s="91">
        <f>$N$232-$L$232+1</f>
        <v>30</v>
      </c>
      <c r="D241" s="92">
        <v>0.5736</v>
      </c>
      <c r="E241" s="93">
        <v>1.274E-2</v>
      </c>
      <c r="F241" s="94">
        <f t="shared" si="48"/>
        <v>0.38</v>
      </c>
      <c r="H241" s="95">
        <v>30</v>
      </c>
      <c r="I241" s="96">
        <v>1.274E-2</v>
      </c>
      <c r="J241" s="97">
        <f t="shared" si="49"/>
        <v>0.38</v>
      </c>
      <c r="L241" s="98">
        <v>30</v>
      </c>
      <c r="M241" s="99">
        <v>6.2899999999999996E-3</v>
      </c>
      <c r="N241" s="100">
        <f t="shared" si="50"/>
        <v>0.19</v>
      </c>
    </row>
    <row r="242" spans="1:30" x14ac:dyDescent="0.2">
      <c r="A242" s="89" t="s">
        <v>141</v>
      </c>
      <c r="B242" s="90">
        <v>6.64</v>
      </c>
      <c r="C242" s="103"/>
      <c r="D242" s="92">
        <v>0.27311999999999997</v>
      </c>
      <c r="E242" s="93">
        <v>1</v>
      </c>
      <c r="F242" s="94">
        <f t="shared" si="48"/>
        <v>6.64</v>
      </c>
      <c r="H242" s="95">
        <v>13.28</v>
      </c>
      <c r="I242" s="96">
        <v>1</v>
      </c>
      <c r="J242" s="97">
        <f t="shared" si="49"/>
        <v>13.28</v>
      </c>
      <c r="L242" s="98">
        <v>7.28</v>
      </c>
      <c r="M242" s="99">
        <v>1</v>
      </c>
      <c r="N242" s="100">
        <f t="shared" si="50"/>
        <v>7.28</v>
      </c>
    </row>
    <row r="243" spans="1:30" x14ac:dyDescent="0.2">
      <c r="A243" s="106" t="s">
        <v>142</v>
      </c>
      <c r="F243" s="107">
        <f>ROUND((SUM(F235:F242)-F242)*1.1+F242,2)</f>
        <v>153.16</v>
      </c>
      <c r="J243" s="108">
        <f>ROUND(SUM(J235:J242),2)</f>
        <v>276.44</v>
      </c>
      <c r="N243" s="109">
        <f>ROUND(SUM(N235:N242),2)</f>
        <v>152.69999999999999</v>
      </c>
    </row>
    <row r="244" spans="1:30" x14ac:dyDescent="0.2">
      <c r="A244" s="78" t="s">
        <v>143</v>
      </c>
      <c r="B244" s="110">
        <f>IF((F239+F238+F237+F235+F236)=0,"",((F239+F238+F237+F235+F236)-$AB$237)/(F239+F238+F237+F235+F236))</f>
        <v>0.15852432592820817</v>
      </c>
      <c r="D244" s="139" t="str">
        <f>IF(B244="","SIN PC",IF(B244&gt;=0.3,"APROBAR",IF(B244&gt;=0.2,"REVISAR","RECHAZAR")))</f>
        <v>RECHAZAR</v>
      </c>
      <c r="E244" s="139"/>
      <c r="F244" s="139"/>
      <c r="AD244">
        <f>SUM(F237:F239)-101.3208</f>
        <v>-8.0000000001234639E-4</v>
      </c>
    </row>
    <row r="246" spans="1:30" x14ac:dyDescent="0.2">
      <c r="A246" s="137" t="s">
        <v>766</v>
      </c>
      <c r="B246" s="137"/>
      <c r="C246" s="137"/>
      <c r="D246" s="137"/>
      <c r="E246" s="137"/>
      <c r="F246" s="137"/>
      <c r="H246" s="137" t="s">
        <v>767</v>
      </c>
      <c r="I246" s="137"/>
      <c r="J246" s="137"/>
      <c r="K246" s="137"/>
      <c r="L246" s="76">
        <v>46113</v>
      </c>
      <c r="M246" s="77" t="s">
        <v>607</v>
      </c>
      <c r="N246" s="76">
        <v>46142</v>
      </c>
      <c r="R246" s="138" t="s">
        <v>110</v>
      </c>
      <c r="S246" s="138"/>
      <c r="T246" s="138"/>
      <c r="U246" s="138"/>
      <c r="V246" s="138"/>
    </row>
    <row r="247" spans="1:30" x14ac:dyDescent="0.2">
      <c r="A247" s="78" t="s">
        <v>111</v>
      </c>
      <c r="B247" s="79" t="s">
        <v>112</v>
      </c>
      <c r="C247" s="80"/>
      <c r="D247" s="80"/>
      <c r="E247" s="80"/>
      <c r="F247" s="80"/>
      <c r="H247" s="81" t="s">
        <v>768</v>
      </c>
      <c r="I247" s="82"/>
      <c r="J247" s="82"/>
      <c r="L247" s="83" t="s">
        <v>769</v>
      </c>
      <c r="M247" s="84"/>
      <c r="N247" s="84"/>
      <c r="R247" s="85" t="s">
        <v>770</v>
      </c>
    </row>
    <row r="248" spans="1:30" x14ac:dyDescent="0.2">
      <c r="B248" s="68" t="s">
        <v>116</v>
      </c>
      <c r="C248" s="68" t="s">
        <v>117</v>
      </c>
      <c r="D248" s="68" t="s">
        <v>118</v>
      </c>
      <c r="E248" s="68" t="s">
        <v>119</v>
      </c>
      <c r="F248" s="68" t="s">
        <v>120</v>
      </c>
      <c r="H248" s="86" t="s">
        <v>116</v>
      </c>
      <c r="I248" s="86" t="s">
        <v>119</v>
      </c>
      <c r="J248" s="86" t="s">
        <v>120</v>
      </c>
      <c r="L248" s="87" t="s">
        <v>116</v>
      </c>
      <c r="M248" s="87" t="s">
        <v>119</v>
      </c>
      <c r="N248" s="87" t="s">
        <v>120</v>
      </c>
      <c r="R248" s="88" t="s">
        <v>771</v>
      </c>
    </row>
    <row r="249" spans="1:30" x14ac:dyDescent="0.2">
      <c r="A249" s="89" t="s">
        <v>122</v>
      </c>
      <c r="B249" s="90">
        <v>5.75</v>
      </c>
      <c r="C249" s="91">
        <f>$N$246-$L$246+1</f>
        <v>30</v>
      </c>
      <c r="D249" s="92">
        <v>3.4085999999999999</v>
      </c>
      <c r="E249" s="93">
        <v>4.17</v>
      </c>
      <c r="F249" s="94">
        <f t="shared" ref="F249:F256" si="51">ROUND(B249*E249,2)</f>
        <v>23.98</v>
      </c>
      <c r="H249" s="95">
        <v>5.75</v>
      </c>
      <c r="I249" s="96">
        <v>4.17</v>
      </c>
      <c r="J249" s="97">
        <f t="shared" ref="J249:J256" si="52">ROUND(H249*I249,2)</f>
        <v>23.98</v>
      </c>
      <c r="L249" s="98">
        <v>5.75</v>
      </c>
      <c r="M249" s="99">
        <v>4.17</v>
      </c>
      <c r="N249" s="100">
        <f t="shared" ref="N249:N256" si="53">ROUND(L249*M249,2)</f>
        <v>23.98</v>
      </c>
      <c r="R249" s="101" t="s">
        <v>772</v>
      </c>
    </row>
    <row r="250" spans="1:30" x14ac:dyDescent="0.2">
      <c r="A250" s="89" t="s">
        <v>124</v>
      </c>
      <c r="B250" s="90">
        <v>5.75</v>
      </c>
      <c r="C250" s="91">
        <f>$N$246-$L$246+1</f>
        <v>30</v>
      </c>
      <c r="D250" s="92">
        <v>1.09728</v>
      </c>
      <c r="E250" s="93">
        <v>1.37</v>
      </c>
      <c r="F250" s="94">
        <f t="shared" si="51"/>
        <v>7.88</v>
      </c>
      <c r="H250" s="95">
        <v>5.75</v>
      </c>
      <c r="I250" s="96">
        <v>1.37</v>
      </c>
      <c r="J250" s="97">
        <f t="shared" si="52"/>
        <v>7.88</v>
      </c>
      <c r="L250" s="98">
        <v>5.75</v>
      </c>
      <c r="M250" s="99">
        <v>1.37</v>
      </c>
      <c r="N250" s="100">
        <f t="shared" si="53"/>
        <v>7.88</v>
      </c>
      <c r="R250" s="102" t="s">
        <v>773</v>
      </c>
    </row>
    <row r="251" spans="1:30" x14ac:dyDescent="0.2">
      <c r="A251" s="89" t="s">
        <v>614</v>
      </c>
      <c r="B251" s="90">
        <f>IF($P$251&lt;&gt;"",ROUND(AA251*(($AB$251/(1-$P$251))-31.855)/37.5019,2),IF('Resumen 2.0TD'!$D$3="OPTIMIZAR",ROUND(MAX(AA251,MIN(AA251*(($AB$251/(1-'Resumen 2.0TD'!$F$3))-31.855)/37.5019,AA251*(84.7228)/37.5019)),3),AA251))</f>
        <v>85.668999999999997</v>
      </c>
      <c r="C251" s="103"/>
      <c r="D251" s="92">
        <v>0.110306</v>
      </c>
      <c r="E251" s="93">
        <v>0.14937</v>
      </c>
      <c r="F251" s="94">
        <f t="shared" si="51"/>
        <v>12.8</v>
      </c>
      <c r="H251" s="95">
        <v>77.319000000000003</v>
      </c>
      <c r="I251" s="96">
        <v>0.14937</v>
      </c>
      <c r="J251" s="97">
        <f t="shared" si="52"/>
        <v>11.55</v>
      </c>
      <c r="L251" s="98">
        <v>49.27</v>
      </c>
      <c r="M251" s="99">
        <v>0.14937</v>
      </c>
      <c r="N251" s="100">
        <f t="shared" si="53"/>
        <v>7.36</v>
      </c>
      <c r="O251" s="104" t="s">
        <v>615</v>
      </c>
      <c r="P251" s="67"/>
      <c r="R251" s="102" t="s">
        <v>774</v>
      </c>
      <c r="AA251">
        <v>71.84</v>
      </c>
      <c r="AB251">
        <f>B249*D249+B250*D250+AA251*D251+AA252*D252+AA253*D253</f>
        <v>53.603006502</v>
      </c>
    </row>
    <row r="252" spans="1:30" x14ac:dyDescent="0.2">
      <c r="A252" s="89" t="s">
        <v>617</v>
      </c>
      <c r="B252" s="90">
        <f>IF($P$251&lt;&gt;"",ROUND(AA252*(($AB$251/(1-$P$251))-31.855)/37.5019,2),IF('Resumen 2.0TD'!$D$3="OPTIMIZAR",ROUND(MAX(AA252,MIN(AA252*(($AB$251/(1-'Resumen 2.0TD'!$F$3))-31.855)/37.5019,AA252*(84.7228)/37.5019)),3),AA252))</f>
        <v>46.296999999999997</v>
      </c>
      <c r="C252" s="103"/>
      <c r="D252" s="92">
        <v>0.110306</v>
      </c>
      <c r="E252" s="93">
        <v>0.14937</v>
      </c>
      <c r="F252" s="94">
        <f t="shared" si="51"/>
        <v>6.92</v>
      </c>
      <c r="H252" s="95">
        <v>44.497999999999998</v>
      </c>
      <c r="I252" s="96">
        <v>0.14937</v>
      </c>
      <c r="J252" s="97">
        <f t="shared" si="52"/>
        <v>6.65</v>
      </c>
      <c r="L252" s="98">
        <v>35.232999999999997</v>
      </c>
      <c r="M252" s="99">
        <v>0.14937</v>
      </c>
      <c r="N252" s="100">
        <f t="shared" si="53"/>
        <v>5.26</v>
      </c>
      <c r="O252" s="105" t="s">
        <v>618</v>
      </c>
      <c r="R252" s="102" t="s">
        <v>619</v>
      </c>
      <c r="AA252">
        <v>38.823999999999998</v>
      </c>
    </row>
    <row r="253" spans="1:30" x14ac:dyDescent="0.2">
      <c r="A253" s="89" t="s">
        <v>620</v>
      </c>
      <c r="B253" s="90">
        <f>IF($P$251&lt;&gt;"",ROUND(AA253*(($AB$251/(1-$P$251))-31.855)/37.5019,2),IF('Resumen 2.0TD'!$D$3="OPTIMIZAR",ROUND(MAX(AA253,MIN(AA253*(($AB$251/(1-'Resumen 2.0TD'!$F$3))-31.855)/37.5019,AA253*(84.7228)/37.5019)),3),AA253))</f>
        <v>167.429</v>
      </c>
      <c r="C253" s="103"/>
      <c r="D253" s="92">
        <v>0.110306</v>
      </c>
      <c r="E253" s="93">
        <v>0.14937</v>
      </c>
      <c r="F253" s="94">
        <f t="shared" si="51"/>
        <v>25.01</v>
      </c>
      <c r="H253" s="95">
        <v>121.108</v>
      </c>
      <c r="I253" s="96">
        <v>0.14937</v>
      </c>
      <c r="J253" s="97">
        <f t="shared" si="52"/>
        <v>18.09</v>
      </c>
      <c r="L253" s="98">
        <v>94.742999999999995</v>
      </c>
      <c r="M253" s="99">
        <v>0.14937</v>
      </c>
      <c r="N253" s="100">
        <f t="shared" si="53"/>
        <v>14.15</v>
      </c>
      <c r="O253" s="105" t="s">
        <v>621</v>
      </c>
      <c r="AA253">
        <v>140.40299999999999</v>
      </c>
    </row>
    <row r="254" spans="1:30" x14ac:dyDescent="0.2">
      <c r="A254" s="89" t="s">
        <v>139</v>
      </c>
      <c r="B254" s="90">
        <v>1</v>
      </c>
      <c r="C254" s="91">
        <f>$N$246-$L$246+1</f>
        <v>30</v>
      </c>
      <c r="D254" s="92">
        <v>0.79890000000000005</v>
      </c>
      <c r="E254" s="93">
        <v>4</v>
      </c>
      <c r="F254" s="94">
        <f t="shared" si="51"/>
        <v>4</v>
      </c>
      <c r="H254" s="95">
        <v>1</v>
      </c>
      <c r="I254" s="96">
        <v>4</v>
      </c>
      <c r="J254" s="97">
        <f t="shared" si="52"/>
        <v>4</v>
      </c>
      <c r="L254" s="98">
        <v>1</v>
      </c>
      <c r="M254" s="99">
        <v>4</v>
      </c>
      <c r="N254" s="100">
        <f t="shared" si="53"/>
        <v>4</v>
      </c>
    </row>
    <row r="255" spans="1:30" x14ac:dyDescent="0.2">
      <c r="A255" s="89" t="s">
        <v>140</v>
      </c>
      <c r="B255" s="90">
        <v>30</v>
      </c>
      <c r="C255" s="91">
        <f>$N$246-$L$246+1</f>
        <v>30</v>
      </c>
      <c r="D255" s="92">
        <v>0.5736</v>
      </c>
      <c r="E255" s="93">
        <v>1.274E-2</v>
      </c>
      <c r="F255" s="94">
        <f t="shared" si="51"/>
        <v>0.38</v>
      </c>
      <c r="H255" s="95">
        <v>30</v>
      </c>
      <c r="I255" s="96">
        <v>1.274E-2</v>
      </c>
      <c r="J255" s="97">
        <f t="shared" si="52"/>
        <v>0.38</v>
      </c>
      <c r="L255" s="98">
        <v>30</v>
      </c>
      <c r="M255" s="99">
        <v>6.2899999999999996E-3</v>
      </c>
      <c r="N255" s="100">
        <f t="shared" si="53"/>
        <v>0.19</v>
      </c>
    </row>
    <row r="256" spans="1:30" x14ac:dyDescent="0.2">
      <c r="A256" s="89" t="s">
        <v>141</v>
      </c>
      <c r="B256" s="90">
        <v>3.13</v>
      </c>
      <c r="C256" s="103"/>
      <c r="D256" s="92">
        <v>0.24729000000000001</v>
      </c>
      <c r="E256" s="93">
        <v>1</v>
      </c>
      <c r="F256" s="94">
        <f t="shared" si="51"/>
        <v>3.13</v>
      </c>
      <c r="H256" s="95">
        <v>3.08</v>
      </c>
      <c r="I256" s="96">
        <v>1</v>
      </c>
      <c r="J256" s="97">
        <f t="shared" si="52"/>
        <v>3.08</v>
      </c>
      <c r="L256" s="98">
        <v>2.4300000000000002</v>
      </c>
      <c r="M256" s="99">
        <v>1</v>
      </c>
      <c r="N256" s="100">
        <f t="shared" si="53"/>
        <v>2.4300000000000002</v>
      </c>
    </row>
    <row r="257" spans="1:30" x14ac:dyDescent="0.2">
      <c r="A257" s="106" t="s">
        <v>142</v>
      </c>
      <c r="F257" s="107">
        <f>ROUND((SUM(F249:F256)-F256)*1.1+F256,2)</f>
        <v>92.2</v>
      </c>
      <c r="J257" s="108">
        <f>ROUND(SUM(J249:J256),2)</f>
        <v>75.61</v>
      </c>
      <c r="N257" s="109">
        <f>ROUND(SUM(N249:N256),2)</f>
        <v>65.25</v>
      </c>
    </row>
    <row r="258" spans="1:30" x14ac:dyDescent="0.2">
      <c r="A258" s="78" t="s">
        <v>143</v>
      </c>
      <c r="B258" s="110">
        <f>IF((F253+F252+F251+F249+F250)=0,"",((F253+F252+F251+F249+F250)-$AB$251)/(F253+F252+F251+F249+F250))</f>
        <v>0.30013048045436747</v>
      </c>
      <c r="D258" s="139" t="str">
        <f>IF(B258="","SIN PC",IF(B258&gt;=0.3,"APROBAR",IF(B258&gt;=0.2,"REVISAR","RECHAZAR")))</f>
        <v>APROBAR</v>
      </c>
      <c r="E258" s="139"/>
      <c r="F258" s="139"/>
      <c r="AD258">
        <f>SUM(F251:F253)-37.5019</f>
        <v>7.2281000000000049</v>
      </c>
    </row>
    <row r="259" spans="1:30" x14ac:dyDescent="0.2">
      <c r="A259" s="140" t="s">
        <v>743</v>
      </c>
      <c r="B259" s="140"/>
      <c r="C259" s="140"/>
      <c r="D259" s="140"/>
      <c r="E259" s="140"/>
      <c r="F259" s="140"/>
    </row>
    <row r="260" spans="1:30" x14ac:dyDescent="0.2">
      <c r="A260" s="111" t="s">
        <v>111</v>
      </c>
      <c r="B260" s="111" t="s">
        <v>744</v>
      </c>
      <c r="D260" s="111" t="s">
        <v>745</v>
      </c>
      <c r="E260" s="111" t="s">
        <v>746</v>
      </c>
      <c r="F260" s="111" t="s">
        <v>120</v>
      </c>
    </row>
    <row r="261" spans="1:30" x14ac:dyDescent="0.2">
      <c r="A261" s="112" t="s">
        <v>747</v>
      </c>
      <c r="B261" s="113">
        <v>161</v>
      </c>
      <c r="C261" s="114"/>
      <c r="D261" s="92">
        <v>0.06</v>
      </c>
      <c r="E261" s="114"/>
      <c r="F261" s="115">
        <f>ROUND(B261*D261,2)</f>
        <v>9.66</v>
      </c>
    </row>
    <row r="262" spans="1:30" x14ac:dyDescent="0.2">
      <c r="A262" s="112" t="s">
        <v>748</v>
      </c>
      <c r="B262" s="114"/>
      <c r="C262" s="114"/>
      <c r="D262" s="114"/>
      <c r="E262" s="116">
        <v>0.06</v>
      </c>
      <c r="F262" s="115">
        <v>8.31</v>
      </c>
    </row>
    <row r="263" spans="1:30" x14ac:dyDescent="0.2">
      <c r="A263" s="117" t="s">
        <v>749</v>
      </c>
      <c r="B263" s="114"/>
      <c r="C263" s="114"/>
      <c r="D263" s="114"/>
      <c r="E263" s="114"/>
      <c r="F263" s="118">
        <f>F261-F262</f>
        <v>1.3499999999999996</v>
      </c>
    </row>
    <row r="265" spans="1:30" x14ac:dyDescent="0.2">
      <c r="A265" s="137" t="s">
        <v>775</v>
      </c>
      <c r="B265" s="137"/>
      <c r="C265" s="137"/>
      <c r="D265" s="137"/>
      <c r="E265" s="137"/>
      <c r="F265" s="137"/>
      <c r="H265" s="137" t="s">
        <v>776</v>
      </c>
      <c r="I265" s="137"/>
      <c r="J265" s="137"/>
      <c r="K265" s="137"/>
      <c r="L265" s="76">
        <v>46113</v>
      </c>
      <c r="M265" s="77" t="s">
        <v>607</v>
      </c>
      <c r="N265" s="76">
        <v>46142</v>
      </c>
      <c r="R265" s="138" t="s">
        <v>110</v>
      </c>
      <c r="S265" s="138"/>
      <c r="T265" s="138"/>
      <c r="U265" s="138"/>
      <c r="V265" s="138"/>
    </row>
    <row r="266" spans="1:30" x14ac:dyDescent="0.2">
      <c r="A266" s="78" t="s">
        <v>111</v>
      </c>
      <c r="B266" s="79" t="s">
        <v>112</v>
      </c>
      <c r="C266" s="80"/>
      <c r="D266" s="80"/>
      <c r="E266" s="80"/>
      <c r="F266" s="80"/>
      <c r="H266" s="81" t="s">
        <v>777</v>
      </c>
      <c r="I266" s="82"/>
      <c r="J266" s="82"/>
      <c r="L266" s="83" t="s">
        <v>778</v>
      </c>
      <c r="M266" s="84"/>
      <c r="N266" s="84"/>
      <c r="R266" s="85" t="s">
        <v>779</v>
      </c>
    </row>
    <row r="267" spans="1:30" x14ac:dyDescent="0.2">
      <c r="B267" s="68" t="s">
        <v>116</v>
      </c>
      <c r="C267" s="68" t="s">
        <v>117</v>
      </c>
      <c r="D267" s="68" t="s">
        <v>118</v>
      </c>
      <c r="E267" s="68" t="s">
        <v>119</v>
      </c>
      <c r="F267" s="68" t="s">
        <v>120</v>
      </c>
      <c r="H267" s="86" t="s">
        <v>116</v>
      </c>
      <c r="I267" s="86" t="s">
        <v>119</v>
      </c>
      <c r="J267" s="86" t="s">
        <v>120</v>
      </c>
      <c r="L267" s="87" t="s">
        <v>116</v>
      </c>
      <c r="M267" s="87" t="s">
        <v>119</v>
      </c>
      <c r="N267" s="87" t="s">
        <v>120</v>
      </c>
      <c r="R267" s="88" t="s">
        <v>780</v>
      </c>
    </row>
    <row r="268" spans="1:30" x14ac:dyDescent="0.2">
      <c r="A268" s="89" t="s">
        <v>122</v>
      </c>
      <c r="B268" s="90">
        <v>9.1999999999999993</v>
      </c>
      <c r="C268" s="91">
        <f>$N$265-$L$265+1</f>
        <v>30</v>
      </c>
      <c r="D268" s="92">
        <v>3.4085999999999999</v>
      </c>
      <c r="E268" s="93">
        <v>4.17</v>
      </c>
      <c r="F268" s="94">
        <f t="shared" ref="F268:F275" si="54">ROUND(B268*E268,2)</f>
        <v>38.36</v>
      </c>
      <c r="H268" s="95">
        <v>9.1999999999999993</v>
      </c>
      <c r="I268" s="96">
        <v>4.17</v>
      </c>
      <c r="J268" s="97">
        <f t="shared" ref="J268:J275" si="55">ROUND(H268*I268,2)</f>
        <v>38.36</v>
      </c>
      <c r="L268" s="98">
        <v>9.1999999999999993</v>
      </c>
      <c r="M268" s="99">
        <v>4.17</v>
      </c>
      <c r="N268" s="100">
        <f t="shared" ref="N268:N275" si="56">ROUND(L268*M268,2)</f>
        <v>38.36</v>
      </c>
      <c r="R268" s="101" t="s">
        <v>781</v>
      </c>
    </row>
    <row r="269" spans="1:30" x14ac:dyDescent="0.2">
      <c r="A269" s="89" t="s">
        <v>124</v>
      </c>
      <c r="B269" s="90">
        <v>9.1999999999999993</v>
      </c>
      <c r="C269" s="91">
        <f>$N$265-$L$265+1</f>
        <v>30</v>
      </c>
      <c r="D269" s="92">
        <v>1.09728</v>
      </c>
      <c r="E269" s="93">
        <v>1.37</v>
      </c>
      <c r="F269" s="94">
        <f t="shared" si="54"/>
        <v>12.6</v>
      </c>
      <c r="H269" s="95">
        <v>9.1999999999999993</v>
      </c>
      <c r="I269" s="96">
        <v>1.37</v>
      </c>
      <c r="J269" s="97">
        <f t="shared" si="55"/>
        <v>12.6</v>
      </c>
      <c r="L269" s="98">
        <v>9.1999999999999993</v>
      </c>
      <c r="M269" s="99">
        <v>1.37</v>
      </c>
      <c r="N269" s="100">
        <f t="shared" si="56"/>
        <v>12.6</v>
      </c>
      <c r="R269" s="102" t="s">
        <v>782</v>
      </c>
    </row>
    <row r="270" spans="1:30" x14ac:dyDescent="0.2">
      <c r="A270" s="89" t="s">
        <v>614</v>
      </c>
      <c r="B270" s="90">
        <f>IF($P$270&lt;&gt;"",ROUND(AA270*(($AB$270/(1-$P$270))-50.968)/35.0461,2),IF('Resumen 2.0TD'!$D$3="OPTIMIZAR",ROUND(MAX(AA270,MIN(AA270*(($AB$270/(1-'Resumen 2.0TD'!$F$3))-50.968)/35.0461,AA270*(153.8798)/35.0461)),3),AA270))</f>
        <v>101.932</v>
      </c>
      <c r="C270" s="103"/>
      <c r="D270" s="92">
        <v>0.110306</v>
      </c>
      <c r="E270" s="93">
        <v>0.14937</v>
      </c>
      <c r="F270" s="94">
        <f t="shared" si="54"/>
        <v>15.23</v>
      </c>
      <c r="H270" s="95">
        <v>123.339</v>
      </c>
      <c r="I270" s="96">
        <v>0.14937</v>
      </c>
      <c r="J270" s="97">
        <f t="shared" si="55"/>
        <v>18.420000000000002</v>
      </c>
      <c r="L270" s="98">
        <v>83.492999999999995</v>
      </c>
      <c r="M270" s="99">
        <v>0.14937</v>
      </c>
      <c r="N270" s="100">
        <f t="shared" si="56"/>
        <v>12.47</v>
      </c>
      <c r="O270" s="104" t="s">
        <v>615</v>
      </c>
      <c r="P270" s="67"/>
      <c r="R270" s="102" t="s">
        <v>783</v>
      </c>
      <c r="AA270">
        <v>78.991</v>
      </c>
      <c r="AB270">
        <f>B268*D268+B269*D269+AA270*D270+AA271*D271+AA272*D272</f>
        <v>67.334751555999986</v>
      </c>
    </row>
    <row r="271" spans="1:30" x14ac:dyDescent="0.2">
      <c r="A271" s="89" t="s">
        <v>617</v>
      </c>
      <c r="B271" s="90">
        <f>IF($P$270&lt;&gt;"",ROUND(AA271*(($AB$270/(1-$P$270))-50.968)/35.0461,2),IF('Resumen 2.0TD'!$D$3="OPTIMIZAR",ROUND(MAX(AA271,MIN(AA271*(($AB$270/(1-'Resumen 2.0TD'!$F$3))-50.968)/35.0461,AA271*(153.8798)/35.0461)),3),AA271))</f>
        <v>53.832999999999998</v>
      </c>
      <c r="C271" s="103"/>
      <c r="D271" s="92">
        <v>0.110306</v>
      </c>
      <c r="E271" s="93">
        <v>0.14937</v>
      </c>
      <c r="F271" s="94">
        <f t="shared" si="54"/>
        <v>8.0399999999999991</v>
      </c>
      <c r="H271" s="95">
        <v>78.641999999999996</v>
      </c>
      <c r="I271" s="96">
        <v>0.14937</v>
      </c>
      <c r="J271" s="97">
        <f t="shared" si="55"/>
        <v>11.75</v>
      </c>
      <c r="L271" s="98">
        <v>41.140999999999998</v>
      </c>
      <c r="M271" s="99">
        <v>0.14937</v>
      </c>
      <c r="N271" s="100">
        <f t="shared" si="56"/>
        <v>6.15</v>
      </c>
      <c r="O271" s="105" t="s">
        <v>618</v>
      </c>
      <c r="R271" s="102" t="s">
        <v>619</v>
      </c>
      <c r="AA271">
        <v>41.716999999999999</v>
      </c>
    </row>
    <row r="272" spans="1:30" x14ac:dyDescent="0.2">
      <c r="A272" s="89" t="s">
        <v>620</v>
      </c>
      <c r="B272" s="90">
        <f>IF($P$270&lt;&gt;"",ROUND(AA272*(($AB$270/(1-$P$270))-50.968)/35.0461,2),IF('Resumen 2.0TD'!$D$3="OPTIMIZAR",ROUND(MAX(AA272,MIN(AA272*(($AB$270/(1-'Resumen 2.0TD'!$F$3))-50.968)/35.0461,AA272*(153.8798)/35.0461)),3),AA272))</f>
        <v>147.00299999999999</v>
      </c>
      <c r="C272" s="103"/>
      <c r="D272" s="92">
        <v>0.110306</v>
      </c>
      <c r="E272" s="93">
        <v>0.14937</v>
      </c>
      <c r="F272" s="94">
        <f t="shared" si="54"/>
        <v>21.96</v>
      </c>
      <c r="H272" s="95">
        <v>162.137</v>
      </c>
      <c r="I272" s="96">
        <v>0.14937</v>
      </c>
      <c r="J272" s="97">
        <f t="shared" si="55"/>
        <v>24.22</v>
      </c>
      <c r="L272" s="98">
        <v>128.31800000000001</v>
      </c>
      <c r="M272" s="99">
        <v>0.14937</v>
      </c>
      <c r="N272" s="100">
        <f t="shared" si="56"/>
        <v>19.170000000000002</v>
      </c>
      <c r="O272" s="105" t="s">
        <v>621</v>
      </c>
      <c r="AA272">
        <v>113.91800000000001</v>
      </c>
    </row>
    <row r="273" spans="1:30" x14ac:dyDescent="0.2">
      <c r="A273" s="89" t="s">
        <v>139</v>
      </c>
      <c r="B273" s="90">
        <v>1</v>
      </c>
      <c r="C273" s="91">
        <f>$N$265-$L$265+1</f>
        <v>30</v>
      </c>
      <c r="D273" s="92">
        <v>0.79890000000000005</v>
      </c>
      <c r="E273" s="93">
        <v>4</v>
      </c>
      <c r="F273" s="94">
        <f t="shared" si="54"/>
        <v>4</v>
      </c>
      <c r="H273" s="95">
        <v>1</v>
      </c>
      <c r="I273" s="96">
        <v>4</v>
      </c>
      <c r="J273" s="97">
        <f t="shared" si="55"/>
        <v>4</v>
      </c>
      <c r="L273" s="98">
        <v>1</v>
      </c>
      <c r="M273" s="99">
        <v>4</v>
      </c>
      <c r="N273" s="100">
        <f t="shared" si="56"/>
        <v>4</v>
      </c>
    </row>
    <row r="274" spans="1:30" x14ac:dyDescent="0.2">
      <c r="A274" s="89" t="s">
        <v>140</v>
      </c>
      <c r="B274" s="90">
        <v>30</v>
      </c>
      <c r="C274" s="91">
        <f>$N$265-$L$265+1</f>
        <v>30</v>
      </c>
      <c r="D274" s="92">
        <v>0.5736</v>
      </c>
      <c r="E274" s="93">
        <v>1.274E-2</v>
      </c>
      <c r="F274" s="94">
        <f t="shared" si="54"/>
        <v>0.38</v>
      </c>
      <c r="H274" s="95">
        <v>30</v>
      </c>
      <c r="I274" s="96">
        <v>1.274E-2</v>
      </c>
      <c r="J274" s="97">
        <f t="shared" si="55"/>
        <v>0.38</v>
      </c>
      <c r="L274" s="98">
        <v>30</v>
      </c>
      <c r="M274" s="99">
        <v>6.2899999999999996E-3</v>
      </c>
      <c r="N274" s="100">
        <f t="shared" si="56"/>
        <v>0.19</v>
      </c>
    </row>
    <row r="275" spans="1:30" x14ac:dyDescent="0.2">
      <c r="A275" s="89" t="s">
        <v>141</v>
      </c>
      <c r="B275" s="90">
        <v>2.61</v>
      </c>
      <c r="C275" s="103"/>
      <c r="D275" s="92">
        <v>0.24729000000000001</v>
      </c>
      <c r="E275" s="93">
        <v>1</v>
      </c>
      <c r="F275" s="94">
        <f t="shared" si="54"/>
        <v>2.61</v>
      </c>
      <c r="H275" s="95">
        <v>4.22</v>
      </c>
      <c r="I275" s="96">
        <v>1</v>
      </c>
      <c r="J275" s="97">
        <f t="shared" si="55"/>
        <v>4.22</v>
      </c>
      <c r="L275" s="98">
        <v>2.83</v>
      </c>
      <c r="M275" s="99">
        <v>1</v>
      </c>
      <c r="N275" s="100">
        <f t="shared" si="56"/>
        <v>2.83</v>
      </c>
    </row>
    <row r="276" spans="1:30" x14ac:dyDescent="0.2">
      <c r="A276" s="106" t="s">
        <v>142</v>
      </c>
      <c r="F276" s="107">
        <f>ROUND((SUM(F268:F275)-F275)*1.1+F275,2)</f>
        <v>113.24</v>
      </c>
      <c r="J276" s="108">
        <f>ROUND(SUM(J268:J275),2)</f>
        <v>113.95</v>
      </c>
      <c r="N276" s="109">
        <f>ROUND(SUM(N268:N275),2)</f>
        <v>95.77</v>
      </c>
    </row>
    <row r="277" spans="1:30" x14ac:dyDescent="0.2">
      <c r="A277" s="78" t="s">
        <v>143</v>
      </c>
      <c r="B277" s="110">
        <f>IF((F272+F271+F270+F268+F269)=0,"",((F272+F271+F270+F268+F269)-$AB$270)/(F272+F271+F270+F268+F269))</f>
        <v>0.29998179066431035</v>
      </c>
      <c r="D277" s="139" t="str">
        <f>IF(B277="","SIN PC",IF(B277&gt;=0.3,"APROBAR",IF(B277&gt;=0.2,"REVISAR","RECHAZAR")))</f>
        <v>REVISAR</v>
      </c>
      <c r="E277" s="139"/>
      <c r="F277" s="139"/>
      <c r="AD277">
        <f>SUM(F270:F272)-35.0461</f>
        <v>10.183900000000001</v>
      </c>
    </row>
    <row r="278" spans="1:30" x14ac:dyDescent="0.2">
      <c r="A278" s="140" t="s">
        <v>743</v>
      </c>
      <c r="B278" s="140"/>
      <c r="C278" s="140"/>
      <c r="D278" s="140"/>
      <c r="E278" s="140"/>
      <c r="F278" s="140"/>
    </row>
    <row r="279" spans="1:30" x14ac:dyDescent="0.2">
      <c r="A279" s="111" t="s">
        <v>111</v>
      </c>
      <c r="B279" s="111" t="s">
        <v>744</v>
      </c>
      <c r="D279" s="111" t="s">
        <v>745</v>
      </c>
      <c r="E279" s="111" t="s">
        <v>746</v>
      </c>
      <c r="F279" s="111" t="s">
        <v>120</v>
      </c>
    </row>
    <row r="280" spans="1:30" x14ac:dyDescent="0.2">
      <c r="A280" s="112" t="s">
        <v>747</v>
      </c>
      <c r="B280" s="113">
        <v>822</v>
      </c>
      <c r="C280" s="114"/>
      <c r="D280" s="92">
        <v>0.06</v>
      </c>
      <c r="E280" s="114"/>
      <c r="F280" s="115">
        <f>ROUND(B280*D280,2)</f>
        <v>49.32</v>
      </c>
    </row>
    <row r="281" spans="1:30" x14ac:dyDescent="0.2">
      <c r="A281" s="112" t="s">
        <v>748</v>
      </c>
      <c r="B281" s="114"/>
      <c r="C281" s="114"/>
      <c r="D281" s="114"/>
      <c r="E281" s="116">
        <v>0.06</v>
      </c>
      <c r="F281" s="115">
        <v>35.049999999999997</v>
      </c>
    </row>
    <row r="282" spans="1:30" x14ac:dyDescent="0.2">
      <c r="A282" s="117" t="s">
        <v>749</v>
      </c>
      <c r="B282" s="114"/>
      <c r="C282" s="114"/>
      <c r="D282" s="114"/>
      <c r="E282" s="114"/>
      <c r="F282" s="118">
        <f>F280-F281</f>
        <v>14.270000000000003</v>
      </c>
    </row>
    <row r="284" spans="1:30" x14ac:dyDescent="0.2">
      <c r="A284" s="137" t="s">
        <v>784</v>
      </c>
      <c r="B284" s="137"/>
      <c r="C284" s="137"/>
      <c r="D284" s="137"/>
      <c r="E284" s="137"/>
      <c r="F284" s="137"/>
      <c r="H284" s="137" t="s">
        <v>785</v>
      </c>
      <c r="I284" s="137"/>
      <c r="J284" s="137"/>
      <c r="K284" s="137"/>
      <c r="L284" s="76">
        <v>46113</v>
      </c>
      <c r="M284" s="77" t="s">
        <v>607</v>
      </c>
      <c r="N284" s="76">
        <v>46142</v>
      </c>
      <c r="R284" s="138" t="s">
        <v>110</v>
      </c>
      <c r="S284" s="138"/>
      <c r="T284" s="138"/>
      <c r="U284" s="138"/>
      <c r="V284" s="138"/>
    </row>
    <row r="285" spans="1:30" x14ac:dyDescent="0.2">
      <c r="A285" s="78" t="s">
        <v>111</v>
      </c>
      <c r="B285" s="79" t="s">
        <v>112</v>
      </c>
      <c r="C285" s="80"/>
      <c r="D285" s="80"/>
      <c r="E285" s="80"/>
      <c r="F285" s="80"/>
      <c r="H285" s="81" t="s">
        <v>786</v>
      </c>
      <c r="I285" s="82"/>
      <c r="J285" s="82"/>
      <c r="L285" s="83" t="s">
        <v>787</v>
      </c>
      <c r="M285" s="84"/>
      <c r="N285" s="84"/>
      <c r="R285" s="85" t="s">
        <v>788</v>
      </c>
    </row>
    <row r="286" spans="1:30" x14ac:dyDescent="0.2">
      <c r="B286" s="68" t="s">
        <v>116</v>
      </c>
      <c r="C286" s="68" t="s">
        <v>117</v>
      </c>
      <c r="D286" s="68" t="s">
        <v>118</v>
      </c>
      <c r="E286" s="68" t="s">
        <v>119</v>
      </c>
      <c r="F286" s="68" t="s">
        <v>120</v>
      </c>
      <c r="H286" s="86" t="s">
        <v>116</v>
      </c>
      <c r="I286" s="86" t="s">
        <v>119</v>
      </c>
      <c r="J286" s="86" t="s">
        <v>120</v>
      </c>
      <c r="L286" s="87" t="s">
        <v>116</v>
      </c>
      <c r="M286" s="87" t="s">
        <v>119</v>
      </c>
      <c r="N286" s="87" t="s">
        <v>120</v>
      </c>
      <c r="R286" s="88" t="s">
        <v>789</v>
      </c>
    </row>
    <row r="287" spans="1:30" x14ac:dyDescent="0.2">
      <c r="A287" s="89" t="s">
        <v>122</v>
      </c>
      <c r="B287" s="90">
        <v>5.75</v>
      </c>
      <c r="C287" s="91">
        <f>$N$284-$L$284+1</f>
        <v>30</v>
      </c>
      <c r="D287" s="92">
        <v>3.68919</v>
      </c>
      <c r="E287" s="93">
        <v>4.82</v>
      </c>
      <c r="F287" s="94">
        <f t="shared" ref="F287:F294" si="57">ROUND(B287*E287,2)</f>
        <v>27.72</v>
      </c>
      <c r="H287" s="95">
        <v>5.75</v>
      </c>
      <c r="I287" s="96">
        <v>4.82</v>
      </c>
      <c r="J287" s="97">
        <f t="shared" ref="J287:J294" si="58">ROUND(H287*I287,2)</f>
        <v>27.72</v>
      </c>
      <c r="L287" s="98">
        <v>5.75</v>
      </c>
      <c r="M287" s="99">
        <v>4.82</v>
      </c>
      <c r="N287" s="100">
        <f t="shared" ref="N287:N294" si="59">ROUND(L287*M287,2)</f>
        <v>27.72</v>
      </c>
      <c r="R287" s="101" t="s">
        <v>790</v>
      </c>
    </row>
    <row r="288" spans="1:30" x14ac:dyDescent="0.2">
      <c r="A288" s="89" t="s">
        <v>124</v>
      </c>
      <c r="B288" s="90">
        <v>5.75</v>
      </c>
      <c r="C288" s="91">
        <f>$N$284-$L$284+1</f>
        <v>30</v>
      </c>
      <c r="D288" s="92">
        <v>1.31928</v>
      </c>
      <c r="E288" s="93">
        <v>2.3744000000000001</v>
      </c>
      <c r="F288" s="94">
        <f t="shared" si="57"/>
        <v>13.65</v>
      </c>
      <c r="H288" s="95">
        <v>5.75</v>
      </c>
      <c r="I288" s="96">
        <v>2.3744000000000001</v>
      </c>
      <c r="J288" s="97">
        <f t="shared" si="58"/>
        <v>13.65</v>
      </c>
      <c r="L288" s="98">
        <v>5.75</v>
      </c>
      <c r="M288" s="99">
        <v>2.3744000000000001</v>
      </c>
      <c r="N288" s="100">
        <f t="shared" si="59"/>
        <v>13.65</v>
      </c>
      <c r="R288" s="102" t="s">
        <v>791</v>
      </c>
    </row>
    <row r="289" spans="1:30" x14ac:dyDescent="0.2">
      <c r="A289" s="89" t="s">
        <v>614</v>
      </c>
      <c r="B289" s="90">
        <f>IF($P$289&lt;&gt;"",ROUND(AA289*(($AB$289/(1-$P$289))-41.3678)/22.5019,2),IF('Resumen 2.0TD'!$D$3="OPTIMIZAR",ROUND(MAX(AA289,MIN(AA289*(($AB$289/(1-'Resumen 2.0TD'!$F$3))-41.3678)/22.5019,AA289*(112.17)/22.5019)),3),AA289))</f>
        <v>58.122999999999998</v>
      </c>
      <c r="C289" s="103"/>
      <c r="D289" s="92">
        <v>0.11117100000000001</v>
      </c>
      <c r="E289" s="93">
        <v>0.13900000000000001</v>
      </c>
      <c r="F289" s="94">
        <f t="shared" si="57"/>
        <v>8.08</v>
      </c>
      <c r="H289" s="95">
        <v>44.942999999999998</v>
      </c>
      <c r="I289" s="96">
        <v>0.13900000000000001</v>
      </c>
      <c r="J289" s="97">
        <f t="shared" si="58"/>
        <v>6.25</v>
      </c>
      <c r="L289" s="98">
        <v>55.127000000000002</v>
      </c>
      <c r="M289" s="99">
        <v>0.1724</v>
      </c>
      <c r="N289" s="100">
        <f t="shared" si="59"/>
        <v>9.5</v>
      </c>
      <c r="O289" s="104" t="s">
        <v>615</v>
      </c>
      <c r="P289" s="67"/>
      <c r="R289" s="102" t="s">
        <v>792</v>
      </c>
      <c r="AA289">
        <v>51.323999999999998</v>
      </c>
      <c r="AB289">
        <f>B287*D287+B288*D288+AA289*D289+AA290*D290+AA291*D291</f>
        <v>46.795508664000003</v>
      </c>
    </row>
    <row r="290" spans="1:30" x14ac:dyDescent="0.2">
      <c r="A290" s="89" t="s">
        <v>617</v>
      </c>
      <c r="B290" s="90">
        <f>IF($P$289&lt;&gt;"",ROUND(AA290*(($AB$289/(1-$P$289))-41.3678)/22.5019,2),IF('Resumen 2.0TD'!$D$3="OPTIMIZAR",ROUND(MAX(AA290,MIN(AA290*(($AB$289/(1-'Resumen 2.0TD'!$F$3))-41.3678)/22.5019,AA290*(112.17)/22.5019)),3),AA290))</f>
        <v>24.545000000000002</v>
      </c>
      <c r="C290" s="103"/>
      <c r="D290" s="92">
        <v>0.11117100000000001</v>
      </c>
      <c r="E290" s="93">
        <v>0.13900000000000001</v>
      </c>
      <c r="F290" s="94">
        <f t="shared" si="57"/>
        <v>3.41</v>
      </c>
      <c r="H290" s="95">
        <v>24.242999999999999</v>
      </c>
      <c r="I290" s="96">
        <v>0.13900000000000001</v>
      </c>
      <c r="J290" s="97">
        <f t="shared" si="58"/>
        <v>3.37</v>
      </c>
      <c r="L290" s="98">
        <v>55.993000000000002</v>
      </c>
      <c r="M290" s="99">
        <v>0.1724</v>
      </c>
      <c r="N290" s="100">
        <f t="shared" si="59"/>
        <v>9.65</v>
      </c>
      <c r="O290" s="105" t="s">
        <v>618</v>
      </c>
      <c r="R290" s="102" t="s">
        <v>619</v>
      </c>
      <c r="AA290">
        <v>21.673999999999999</v>
      </c>
    </row>
    <row r="291" spans="1:30" x14ac:dyDescent="0.2">
      <c r="A291" s="89" t="s">
        <v>620</v>
      </c>
      <c r="B291" s="90">
        <f>IF($P$289&lt;&gt;"",ROUND(AA291*(($AB$289/(1-$P$289))-41.3678)/22.5019,2),IF('Resumen 2.0TD'!$D$3="OPTIMIZAR",ROUND(MAX(AA291,MIN(AA291*(($AB$289/(1-'Resumen 2.0TD'!$F$3))-41.3678)/22.5019,AA291*(112.17)/22.5019)),3),AA291))</f>
        <v>100.66200000000001</v>
      </c>
      <c r="C291" s="103"/>
      <c r="D291" s="92">
        <v>0.11117100000000001</v>
      </c>
      <c r="E291" s="93">
        <v>0.13900000000000001</v>
      </c>
      <c r="F291" s="94">
        <f t="shared" si="57"/>
        <v>13.99</v>
      </c>
      <c r="H291" s="95">
        <v>88.21</v>
      </c>
      <c r="I291" s="96">
        <v>0.13900000000000001</v>
      </c>
      <c r="J291" s="97">
        <f t="shared" si="58"/>
        <v>12.26</v>
      </c>
      <c r="L291" s="98">
        <v>120.095</v>
      </c>
      <c r="M291" s="99">
        <v>0.1724</v>
      </c>
      <c r="N291" s="100">
        <f t="shared" si="59"/>
        <v>20.7</v>
      </c>
      <c r="O291" s="105" t="s">
        <v>621</v>
      </c>
      <c r="AA291">
        <v>88.885999999999996</v>
      </c>
    </row>
    <row r="292" spans="1:30" x14ac:dyDescent="0.2">
      <c r="A292" s="89" t="s">
        <v>139</v>
      </c>
      <c r="B292" s="90">
        <v>1</v>
      </c>
      <c r="C292" s="91">
        <f>$N$284-$L$284+1</f>
        <v>30</v>
      </c>
      <c r="D292" s="92">
        <v>0.79890000000000005</v>
      </c>
      <c r="E292" s="93">
        <v>6</v>
      </c>
      <c r="F292" s="94">
        <f t="shared" si="57"/>
        <v>6</v>
      </c>
      <c r="H292" s="95">
        <v>1</v>
      </c>
      <c r="I292" s="96">
        <v>6</v>
      </c>
      <c r="J292" s="97">
        <f t="shared" si="58"/>
        <v>6</v>
      </c>
      <c r="L292" s="98">
        <v>1</v>
      </c>
      <c r="M292" s="99">
        <v>6</v>
      </c>
      <c r="N292" s="100">
        <f t="shared" si="59"/>
        <v>6</v>
      </c>
    </row>
    <row r="293" spans="1:30" x14ac:dyDescent="0.2">
      <c r="A293" s="89" t="s">
        <v>140</v>
      </c>
      <c r="B293" s="90">
        <v>30</v>
      </c>
      <c r="C293" s="91">
        <f>$N$284-$L$284+1</f>
        <v>30</v>
      </c>
      <c r="D293" s="92">
        <v>0.5736</v>
      </c>
      <c r="E293" s="93">
        <v>1.274E-2</v>
      </c>
      <c r="F293" s="94">
        <f t="shared" si="57"/>
        <v>0.38</v>
      </c>
      <c r="H293" s="95">
        <v>30</v>
      </c>
      <c r="I293" s="96">
        <v>1.274E-2</v>
      </c>
      <c r="J293" s="97">
        <f t="shared" si="58"/>
        <v>0.38</v>
      </c>
      <c r="L293" s="98">
        <v>30</v>
      </c>
      <c r="M293" s="99">
        <v>6.2899999999999996E-3</v>
      </c>
      <c r="N293" s="100">
        <f t="shared" si="59"/>
        <v>0.19</v>
      </c>
    </row>
    <row r="294" spans="1:30" x14ac:dyDescent="0.2">
      <c r="A294" s="89" t="s">
        <v>141</v>
      </c>
      <c r="B294" s="90">
        <v>2.4</v>
      </c>
      <c r="C294" s="103"/>
      <c r="D294" s="92">
        <v>0.27311999999999997</v>
      </c>
      <c r="E294" s="93">
        <v>1</v>
      </c>
      <c r="F294" s="94">
        <f t="shared" si="57"/>
        <v>2.4</v>
      </c>
      <c r="H294" s="95">
        <v>2.5299999999999998</v>
      </c>
      <c r="I294" s="96">
        <v>1</v>
      </c>
      <c r="J294" s="97">
        <f t="shared" si="58"/>
        <v>2.5299999999999998</v>
      </c>
      <c r="L294" s="98">
        <v>3.33</v>
      </c>
      <c r="M294" s="99">
        <v>1</v>
      </c>
      <c r="N294" s="100">
        <f t="shared" si="59"/>
        <v>3.33</v>
      </c>
    </row>
    <row r="295" spans="1:30" x14ac:dyDescent="0.2">
      <c r="A295" s="106" t="s">
        <v>142</v>
      </c>
      <c r="F295" s="107">
        <f>ROUND((SUM(F287:F294)-F294)*1.1+F294,2)</f>
        <v>82.95</v>
      </c>
      <c r="J295" s="108">
        <f>ROUND(SUM(J287:J294),2)</f>
        <v>72.16</v>
      </c>
      <c r="N295" s="109">
        <f>ROUND(SUM(N287:N294),2)</f>
        <v>90.74</v>
      </c>
    </row>
    <row r="296" spans="1:30" x14ac:dyDescent="0.2">
      <c r="A296" s="78" t="s">
        <v>143</v>
      </c>
      <c r="B296" s="110">
        <f>IF((F291+F290+F289+F287+F288)=0,"",((F291+F290+F289+F287+F288)-$AB$289)/(F291+F290+F289+F287+F288))</f>
        <v>0.29999239096484659</v>
      </c>
      <c r="D296" s="139" t="str">
        <f>IF(B296="","SIN PC",IF(B296&gt;=0.3,"APROBAR",IF(B296&gt;=0.2,"REVISAR","RECHAZAR")))</f>
        <v>REVISAR</v>
      </c>
      <c r="E296" s="139"/>
      <c r="F296" s="139"/>
      <c r="AD296">
        <f>SUM(F289:F291)-22.5019</f>
        <v>2.9781000000000013</v>
      </c>
    </row>
    <row r="297" spans="1:30" x14ac:dyDescent="0.2">
      <c r="A297" s="140" t="s">
        <v>743</v>
      </c>
      <c r="B297" s="140"/>
      <c r="C297" s="140"/>
      <c r="D297" s="140"/>
      <c r="E297" s="140"/>
      <c r="F297" s="140"/>
    </row>
    <row r="298" spans="1:30" x14ac:dyDescent="0.2">
      <c r="A298" s="111" t="s">
        <v>111</v>
      </c>
      <c r="B298" s="111" t="s">
        <v>744</v>
      </c>
      <c r="D298" s="111" t="s">
        <v>745</v>
      </c>
      <c r="E298" s="111" t="s">
        <v>746</v>
      </c>
      <c r="F298" s="111" t="s">
        <v>120</v>
      </c>
    </row>
    <row r="299" spans="1:30" x14ac:dyDescent="0.2">
      <c r="A299" s="112" t="s">
        <v>747</v>
      </c>
      <c r="B299" s="113">
        <v>524</v>
      </c>
      <c r="C299" s="114"/>
      <c r="D299" s="92">
        <v>0.06</v>
      </c>
      <c r="E299" s="114"/>
      <c r="F299" s="115">
        <f>ROUND(B299*D299,2)</f>
        <v>31.44</v>
      </c>
    </row>
    <row r="300" spans="1:30" x14ac:dyDescent="0.2">
      <c r="A300" s="112" t="s">
        <v>748</v>
      </c>
      <c r="B300" s="114"/>
      <c r="C300" s="114"/>
      <c r="D300" s="114"/>
      <c r="E300" s="116">
        <v>0.06</v>
      </c>
      <c r="F300" s="115">
        <v>17.170000000000002</v>
      </c>
    </row>
    <row r="301" spans="1:30" x14ac:dyDescent="0.2">
      <c r="A301" s="117" t="s">
        <v>749</v>
      </c>
      <c r="B301" s="114"/>
      <c r="C301" s="114"/>
      <c r="D301" s="114"/>
      <c r="E301" s="114"/>
      <c r="F301" s="118">
        <f>F299-F300</f>
        <v>14.27</v>
      </c>
    </row>
    <row r="303" spans="1:30" x14ac:dyDescent="0.2">
      <c r="A303" s="137" t="s">
        <v>793</v>
      </c>
      <c r="B303" s="137"/>
      <c r="C303" s="137"/>
      <c r="D303" s="137"/>
      <c r="E303" s="137"/>
      <c r="F303" s="137"/>
      <c r="H303" s="137" t="s">
        <v>794</v>
      </c>
      <c r="I303" s="137"/>
      <c r="J303" s="137"/>
      <c r="K303" s="137"/>
      <c r="L303" s="76">
        <v>46113</v>
      </c>
      <c r="M303" s="77" t="s">
        <v>607</v>
      </c>
      <c r="N303" s="76">
        <v>46142</v>
      </c>
      <c r="R303" s="138" t="s">
        <v>110</v>
      </c>
      <c r="S303" s="138"/>
      <c r="T303" s="138"/>
      <c r="U303" s="138"/>
      <c r="V303" s="138"/>
    </row>
    <row r="304" spans="1:30" x14ac:dyDescent="0.2">
      <c r="A304" s="78" t="s">
        <v>111</v>
      </c>
      <c r="B304" s="79" t="s">
        <v>112</v>
      </c>
      <c r="C304" s="80"/>
      <c r="D304" s="80"/>
      <c r="E304" s="80"/>
      <c r="F304" s="80"/>
      <c r="H304" s="81" t="s">
        <v>795</v>
      </c>
      <c r="I304" s="82"/>
      <c r="J304" s="82"/>
      <c r="L304" s="83" t="s">
        <v>796</v>
      </c>
      <c r="M304" s="84"/>
      <c r="N304" s="84"/>
      <c r="R304" s="85" t="s">
        <v>797</v>
      </c>
    </row>
    <row r="305" spans="1:30" x14ac:dyDescent="0.2">
      <c r="B305" s="68" t="s">
        <v>116</v>
      </c>
      <c r="C305" s="68" t="s">
        <v>117</v>
      </c>
      <c r="D305" s="68" t="s">
        <v>118</v>
      </c>
      <c r="E305" s="68" t="s">
        <v>119</v>
      </c>
      <c r="F305" s="68" t="s">
        <v>120</v>
      </c>
      <c r="H305" s="86" t="s">
        <v>116</v>
      </c>
      <c r="I305" s="86" t="s">
        <v>119</v>
      </c>
      <c r="J305" s="86" t="s">
        <v>120</v>
      </c>
      <c r="L305" s="87" t="s">
        <v>116</v>
      </c>
      <c r="M305" s="87" t="s">
        <v>119</v>
      </c>
      <c r="N305" s="87" t="s">
        <v>120</v>
      </c>
      <c r="R305" s="88" t="s">
        <v>764</v>
      </c>
    </row>
    <row r="306" spans="1:30" x14ac:dyDescent="0.2">
      <c r="A306" s="89" t="s">
        <v>122</v>
      </c>
      <c r="B306" s="90">
        <v>5.5</v>
      </c>
      <c r="C306" s="91">
        <f>$N$303-$L$303+1</f>
        <v>30</v>
      </c>
      <c r="D306" s="92">
        <v>3.68919</v>
      </c>
      <c r="E306" s="93">
        <v>3.85</v>
      </c>
      <c r="F306" s="94">
        <f t="shared" ref="F306:F313" si="60">ROUND(B306*E306,2)</f>
        <v>21.18</v>
      </c>
      <c r="H306" s="95">
        <v>5.5</v>
      </c>
      <c r="I306" s="96">
        <v>3.85</v>
      </c>
      <c r="J306" s="97">
        <f t="shared" ref="J306:J313" si="61">ROUND(H306*I306,2)</f>
        <v>21.18</v>
      </c>
      <c r="L306" s="119"/>
      <c r="M306" s="119"/>
      <c r="N306" s="119"/>
      <c r="R306" s="101" t="s">
        <v>798</v>
      </c>
    </row>
    <row r="307" spans="1:30" x14ac:dyDescent="0.2">
      <c r="A307" s="89" t="s">
        <v>124</v>
      </c>
      <c r="B307" s="90">
        <v>5.5</v>
      </c>
      <c r="C307" s="91">
        <f>$N$303-$L$303+1</f>
        <v>30</v>
      </c>
      <c r="D307" s="92">
        <v>1.31928</v>
      </c>
      <c r="E307" s="93">
        <v>1.33</v>
      </c>
      <c r="F307" s="94">
        <f t="shared" si="60"/>
        <v>7.32</v>
      </c>
      <c r="H307" s="95">
        <v>5.5</v>
      </c>
      <c r="I307" s="96">
        <v>1.33</v>
      </c>
      <c r="J307" s="97">
        <f t="shared" si="61"/>
        <v>7.32</v>
      </c>
      <c r="L307" s="119"/>
      <c r="M307" s="119"/>
      <c r="N307" s="119"/>
    </row>
    <row r="308" spans="1:30" x14ac:dyDescent="0.2">
      <c r="A308" s="89" t="s">
        <v>614</v>
      </c>
      <c r="B308" s="90">
        <f>IF($P$308&lt;&gt;"",ROUND(AA308*(($AB$308/(1-$P$308))-28.49)/19.4386,2),IF('Resumen 2.0TD'!$D$3="OPTIMIZAR",AA308,AA308))</f>
        <v>20.388999999999999</v>
      </c>
      <c r="C308" s="103"/>
      <c r="D308" s="92">
        <v>0.11117100000000001</v>
      </c>
      <c r="E308" s="93">
        <v>0.13788</v>
      </c>
      <c r="F308" s="94">
        <f t="shared" si="60"/>
        <v>2.81</v>
      </c>
      <c r="H308" s="95">
        <v>28.824000000000002</v>
      </c>
      <c r="I308" s="96">
        <v>0.13788</v>
      </c>
      <c r="J308" s="97">
        <f t="shared" si="61"/>
        <v>3.97</v>
      </c>
      <c r="L308" s="119"/>
      <c r="M308" s="119"/>
      <c r="N308" s="119"/>
      <c r="O308" s="104" t="s">
        <v>615</v>
      </c>
      <c r="P308" s="67"/>
      <c r="AA308">
        <v>20.388999999999999</v>
      </c>
      <c r="AB308">
        <f>B306*D306+B307*D307+AA308*D308+AA309*D309+AA310*D310</f>
        <v>43.219694922000002</v>
      </c>
    </row>
    <row r="309" spans="1:30" x14ac:dyDescent="0.2">
      <c r="A309" s="89" t="s">
        <v>617</v>
      </c>
      <c r="B309" s="90">
        <f>IF($P$308&lt;&gt;"",ROUND(AA309*(($AB$308/(1-$P$308))-28.49)/19.4386,2),IF('Resumen 2.0TD'!$D$3="OPTIMIZAR",AA309,AA309))</f>
        <v>20.815999999999999</v>
      </c>
      <c r="C309" s="103"/>
      <c r="D309" s="92">
        <v>0.11117100000000001</v>
      </c>
      <c r="E309" s="93">
        <v>0.13788</v>
      </c>
      <c r="F309" s="94">
        <f t="shared" si="60"/>
        <v>2.87</v>
      </c>
      <c r="H309" s="95">
        <v>27.849</v>
      </c>
      <c r="I309" s="96">
        <v>0.13788</v>
      </c>
      <c r="J309" s="97">
        <f t="shared" si="61"/>
        <v>3.84</v>
      </c>
      <c r="L309" s="119"/>
      <c r="M309" s="119"/>
      <c r="N309" s="119"/>
      <c r="O309" s="105" t="s">
        <v>618</v>
      </c>
      <c r="R309" s="102" t="s">
        <v>619</v>
      </c>
      <c r="AA309">
        <v>20.815999999999999</v>
      </c>
    </row>
    <row r="310" spans="1:30" x14ac:dyDescent="0.2">
      <c r="A310" s="89" t="s">
        <v>620</v>
      </c>
      <c r="B310" s="90">
        <f>IF($P$308&lt;&gt;"",ROUND(AA310*(($AB$308/(1-$P$308))-28.49)/19.4386,2),IF('Resumen 2.0TD'!$D$3="OPTIMIZAR",AA310,AA310))</f>
        <v>99.777000000000001</v>
      </c>
      <c r="C310" s="103"/>
      <c r="D310" s="92">
        <v>0.11117100000000001</v>
      </c>
      <c r="E310" s="93">
        <v>0.13788</v>
      </c>
      <c r="F310" s="94">
        <f t="shared" si="60"/>
        <v>13.76</v>
      </c>
      <c r="H310" s="95">
        <v>76.409000000000006</v>
      </c>
      <c r="I310" s="96">
        <v>0.13788</v>
      </c>
      <c r="J310" s="97">
        <f t="shared" si="61"/>
        <v>10.54</v>
      </c>
      <c r="L310" s="119"/>
      <c r="M310" s="119"/>
      <c r="N310" s="119"/>
      <c r="O310" s="105" t="s">
        <v>621</v>
      </c>
      <c r="AA310">
        <v>99.777000000000001</v>
      </c>
    </row>
    <row r="311" spans="1:30" x14ac:dyDescent="0.2">
      <c r="A311" s="89" t="s">
        <v>139</v>
      </c>
      <c r="B311" s="90">
        <v>1</v>
      </c>
      <c r="C311" s="91">
        <f>$N$303-$L$303+1</f>
        <v>30</v>
      </c>
      <c r="D311" s="92">
        <v>0.79890000000000005</v>
      </c>
      <c r="E311" s="93">
        <v>3</v>
      </c>
      <c r="F311" s="94">
        <f t="shared" si="60"/>
        <v>3</v>
      </c>
      <c r="H311" s="95">
        <v>1</v>
      </c>
      <c r="I311" s="96">
        <v>3</v>
      </c>
      <c r="J311" s="97">
        <f t="shared" si="61"/>
        <v>3</v>
      </c>
      <c r="L311" s="119"/>
      <c r="M311" s="119"/>
      <c r="N311" s="119"/>
    </row>
    <row r="312" spans="1:30" x14ac:dyDescent="0.2">
      <c r="A312" s="89" t="s">
        <v>140</v>
      </c>
      <c r="B312" s="90">
        <v>30</v>
      </c>
      <c r="C312" s="91">
        <f>$N$303-$L$303+1</f>
        <v>30</v>
      </c>
      <c r="D312" s="92">
        <v>0.5736</v>
      </c>
      <c r="E312" s="93">
        <v>1.274E-2</v>
      </c>
      <c r="F312" s="94">
        <f t="shared" si="60"/>
        <v>0.38</v>
      </c>
      <c r="H312" s="95">
        <v>30</v>
      </c>
      <c r="I312" s="96">
        <v>1.274E-2</v>
      </c>
      <c r="J312" s="97">
        <f t="shared" si="61"/>
        <v>0.38</v>
      </c>
      <c r="L312" s="119"/>
      <c r="M312" s="119"/>
      <c r="N312" s="119"/>
    </row>
    <row r="313" spans="1:30" x14ac:dyDescent="0.2">
      <c r="A313" s="89" t="s">
        <v>141</v>
      </c>
      <c r="B313" s="90">
        <v>2.46</v>
      </c>
      <c r="C313" s="103"/>
      <c r="D313" s="92">
        <v>2.6710000000000001E-2</v>
      </c>
      <c r="E313" s="93">
        <v>1</v>
      </c>
      <c r="F313" s="94">
        <f t="shared" si="60"/>
        <v>2.46</v>
      </c>
      <c r="H313" s="95">
        <v>2.4</v>
      </c>
      <c r="I313" s="96">
        <v>1</v>
      </c>
      <c r="J313" s="97">
        <f t="shared" si="61"/>
        <v>2.4</v>
      </c>
      <c r="L313" s="119"/>
      <c r="M313" s="119"/>
      <c r="N313" s="119"/>
    </row>
    <row r="314" spans="1:30" x14ac:dyDescent="0.2">
      <c r="A314" s="106" t="s">
        <v>142</v>
      </c>
      <c r="F314" s="107">
        <f>ROUND((SUM(F306:F313)-F313)*1.1+F313,2)</f>
        <v>58.91</v>
      </c>
      <c r="J314" s="108">
        <f>ROUND(SUM(J306:J313),2)</f>
        <v>52.63</v>
      </c>
      <c r="N314" s="120"/>
    </row>
    <row r="315" spans="1:30" x14ac:dyDescent="0.2">
      <c r="A315" s="78" t="s">
        <v>143</v>
      </c>
      <c r="B315" s="110">
        <f>IF((F310+F309+F308+F306+F307)=0,"",((F310+F309+F308+F306+F307)-$AB$308)/(F310+F309+F308+F306+F307))</f>
        <v>9.8462767584480512E-2</v>
      </c>
      <c r="D315" s="139" t="str">
        <f>IF(B315="","SIN PC",IF(B315&gt;=0.3,"APROBAR",IF(B315&gt;=0.2,"REVISAR","RECHAZAR")))</f>
        <v>RECHAZAR</v>
      </c>
      <c r="E315" s="139"/>
      <c r="F315" s="139"/>
      <c r="AD315">
        <f>SUM(F308:F310)-19.4386</f>
        <v>1.3999999999967372E-3</v>
      </c>
    </row>
    <row r="317" spans="1:30" x14ac:dyDescent="0.2">
      <c r="A317" s="137" t="s">
        <v>799</v>
      </c>
      <c r="B317" s="137"/>
      <c r="C317" s="137"/>
      <c r="D317" s="137"/>
      <c r="E317" s="137"/>
      <c r="F317" s="137"/>
      <c r="H317" s="137" t="s">
        <v>800</v>
      </c>
      <c r="I317" s="137"/>
      <c r="J317" s="137"/>
      <c r="K317" s="137"/>
      <c r="L317" s="76">
        <v>46113</v>
      </c>
      <c r="M317" s="77" t="s">
        <v>607</v>
      </c>
      <c r="N317" s="76">
        <v>46142</v>
      </c>
      <c r="R317" s="138" t="s">
        <v>110</v>
      </c>
      <c r="S317" s="138"/>
      <c r="T317" s="138"/>
      <c r="U317" s="138"/>
      <c r="V317" s="138"/>
    </row>
    <row r="318" spans="1:30" x14ac:dyDescent="0.2">
      <c r="A318" s="78" t="s">
        <v>111</v>
      </c>
      <c r="B318" s="79" t="s">
        <v>112</v>
      </c>
      <c r="C318" s="80"/>
      <c r="D318" s="80"/>
      <c r="E318" s="80"/>
      <c r="F318" s="80"/>
      <c r="H318" s="81" t="s">
        <v>801</v>
      </c>
      <c r="I318" s="82"/>
      <c r="J318" s="82"/>
      <c r="L318" s="83" t="s">
        <v>802</v>
      </c>
      <c r="M318" s="84"/>
      <c r="N318" s="84"/>
      <c r="R318" s="85" t="s">
        <v>803</v>
      </c>
    </row>
    <row r="319" spans="1:30" x14ac:dyDescent="0.2">
      <c r="B319" s="68" t="s">
        <v>116</v>
      </c>
      <c r="C319" s="68" t="s">
        <v>117</v>
      </c>
      <c r="D319" s="68" t="s">
        <v>118</v>
      </c>
      <c r="E319" s="68" t="s">
        <v>119</v>
      </c>
      <c r="F319" s="68" t="s">
        <v>120</v>
      </c>
      <c r="H319" s="86" t="s">
        <v>116</v>
      </c>
      <c r="I319" s="86" t="s">
        <v>119</v>
      </c>
      <c r="J319" s="86" t="s">
        <v>120</v>
      </c>
      <c r="L319" s="87" t="s">
        <v>116</v>
      </c>
      <c r="M319" s="87" t="s">
        <v>119</v>
      </c>
      <c r="N319" s="87" t="s">
        <v>120</v>
      </c>
      <c r="R319" s="88" t="s">
        <v>804</v>
      </c>
    </row>
    <row r="320" spans="1:30" x14ac:dyDescent="0.2">
      <c r="A320" s="89" t="s">
        <v>122</v>
      </c>
      <c r="B320" s="90">
        <v>9.1999999999999993</v>
      </c>
      <c r="C320" s="91">
        <f>$N$317-$L$317+1</f>
        <v>30</v>
      </c>
      <c r="D320" s="92">
        <v>3.4085999999999999</v>
      </c>
      <c r="E320" s="93">
        <v>3.85</v>
      </c>
      <c r="F320" s="94">
        <f t="shared" ref="F320:F327" si="62">ROUND(B320*E320,2)</f>
        <v>35.42</v>
      </c>
      <c r="H320" s="95">
        <v>9.1999999999999993</v>
      </c>
      <c r="I320" s="96">
        <v>3.85</v>
      </c>
      <c r="J320" s="97">
        <f t="shared" ref="J320:J327" si="63">ROUND(H320*I320,2)</f>
        <v>35.42</v>
      </c>
      <c r="L320" s="98">
        <v>9.1999999999999993</v>
      </c>
      <c r="M320" s="99">
        <v>3.85</v>
      </c>
      <c r="N320" s="100">
        <f t="shared" ref="N320:N327" si="64">ROUND(L320*M320,2)</f>
        <v>35.42</v>
      </c>
      <c r="R320" s="101" t="s">
        <v>805</v>
      </c>
    </row>
    <row r="321" spans="1:30" x14ac:dyDescent="0.2">
      <c r="A321" s="89" t="s">
        <v>124</v>
      </c>
      <c r="B321" s="90">
        <v>9.1999999999999993</v>
      </c>
      <c r="C321" s="91">
        <f>$N$317-$L$317+1</f>
        <v>30</v>
      </c>
      <c r="D321" s="92">
        <v>1.09728</v>
      </c>
      <c r="E321" s="93">
        <v>1.33</v>
      </c>
      <c r="F321" s="94">
        <f t="shared" si="62"/>
        <v>12.24</v>
      </c>
      <c r="H321" s="95">
        <v>9.1999999999999993</v>
      </c>
      <c r="I321" s="96">
        <v>1.33</v>
      </c>
      <c r="J321" s="97">
        <f t="shared" si="63"/>
        <v>12.24</v>
      </c>
      <c r="L321" s="98">
        <v>9.1999999999999993</v>
      </c>
      <c r="M321" s="99">
        <v>1.33</v>
      </c>
      <c r="N321" s="100">
        <f t="shared" si="64"/>
        <v>12.24</v>
      </c>
      <c r="R321" s="102" t="s">
        <v>806</v>
      </c>
    </row>
    <row r="322" spans="1:30" x14ac:dyDescent="0.2">
      <c r="A322" s="89" t="s">
        <v>614</v>
      </c>
      <c r="B322" s="90">
        <f>IF($P$322&lt;&gt;"",ROUND(AA322*(($AB$322/(1-$P$322))-47.656)/14.8091,2),IF('Resumen 2.0TD'!$D$3="OPTIMIZAR",ROUND(MAX(AA322,MIN(AA322*(($AB$322/(1-'Resumen 2.0TD'!$F$3))-47.656)/14.8091,AA322*(74.9318)/14.8091)),3),AA322))</f>
        <v>37.213000000000001</v>
      </c>
      <c r="C322" s="103"/>
      <c r="D322" s="92">
        <v>0.110306</v>
      </c>
      <c r="E322" s="93">
        <v>0.13788</v>
      </c>
      <c r="F322" s="94">
        <f t="shared" si="62"/>
        <v>5.13</v>
      </c>
      <c r="H322" s="95">
        <v>109.227</v>
      </c>
      <c r="I322" s="96">
        <v>0.13788</v>
      </c>
      <c r="J322" s="97">
        <f t="shared" si="63"/>
        <v>15.06</v>
      </c>
      <c r="L322" s="98">
        <v>24.777999999999999</v>
      </c>
      <c r="M322" s="99">
        <v>0.13788</v>
      </c>
      <c r="N322" s="100">
        <f t="shared" si="64"/>
        <v>3.42</v>
      </c>
      <c r="O322" s="104" t="s">
        <v>615</v>
      </c>
      <c r="P322" s="67"/>
      <c r="R322" s="102" t="s">
        <v>807</v>
      </c>
      <c r="AA322">
        <v>19.344000000000001</v>
      </c>
      <c r="AB322">
        <f>B320*D320+B321*D321+AA322*D322+AA323*D323+AA324*D324</f>
        <v>53.301622235999986</v>
      </c>
    </row>
    <row r="323" spans="1:30" x14ac:dyDescent="0.2">
      <c r="A323" s="89" t="s">
        <v>617</v>
      </c>
      <c r="B323" s="90">
        <f>IF($P$322&lt;&gt;"",ROUND(AA323*(($AB$322/(1-$P$322))-47.656)/14.8091,2),IF('Resumen 2.0TD'!$D$3="OPTIMIZAR",ROUND(MAX(AA323,MIN(AA323*(($AB$322/(1-'Resumen 2.0TD'!$F$3))-47.656)/14.8091,AA323*(74.9318)/14.8091)),3),AA323))</f>
        <v>28.838999999999999</v>
      </c>
      <c r="C323" s="103"/>
      <c r="D323" s="92">
        <v>0.110306</v>
      </c>
      <c r="E323" s="93">
        <v>0.13788</v>
      </c>
      <c r="F323" s="94">
        <f t="shared" si="62"/>
        <v>3.98</v>
      </c>
      <c r="H323" s="95">
        <v>81.879000000000005</v>
      </c>
      <c r="I323" s="96">
        <v>0.13788</v>
      </c>
      <c r="J323" s="97">
        <f t="shared" si="63"/>
        <v>11.29</v>
      </c>
      <c r="L323" s="98">
        <v>21.157</v>
      </c>
      <c r="M323" s="99">
        <v>0.13788</v>
      </c>
      <c r="N323" s="100">
        <f t="shared" si="64"/>
        <v>2.92</v>
      </c>
      <c r="O323" s="105" t="s">
        <v>618</v>
      </c>
      <c r="R323" s="102" t="s">
        <v>619</v>
      </c>
      <c r="AA323">
        <v>14.991</v>
      </c>
    </row>
    <row r="324" spans="1:30" x14ac:dyDescent="0.2">
      <c r="A324" s="89" t="s">
        <v>620</v>
      </c>
      <c r="B324" s="90">
        <f>IF($P$322&lt;&gt;"",ROUND(AA324*(($AB$322/(1-$P$322))-47.656)/14.8091,2),IF('Resumen 2.0TD'!$D$3="OPTIMIZAR",ROUND(MAX(AA324,MIN(AA324*(($AB$322/(1-'Resumen 2.0TD'!$F$3))-47.656)/14.8091,AA324*(74.9318)/14.8091)),3),AA324))</f>
        <v>140.571</v>
      </c>
      <c r="C324" s="103"/>
      <c r="D324" s="92">
        <v>0.110306</v>
      </c>
      <c r="E324" s="93">
        <v>0.13788</v>
      </c>
      <c r="F324" s="94">
        <f t="shared" si="62"/>
        <v>19.38</v>
      </c>
      <c r="H324" s="95">
        <v>173.798</v>
      </c>
      <c r="I324" s="96">
        <v>0.13788</v>
      </c>
      <c r="J324" s="97">
        <f t="shared" si="63"/>
        <v>23.96</v>
      </c>
      <c r="L324" s="98">
        <v>77.584000000000003</v>
      </c>
      <c r="M324" s="99">
        <v>0.13788</v>
      </c>
      <c r="N324" s="100">
        <f t="shared" si="64"/>
        <v>10.7</v>
      </c>
      <c r="O324" s="105" t="s">
        <v>621</v>
      </c>
      <c r="AA324">
        <v>73.070999999999998</v>
      </c>
    </row>
    <row r="325" spans="1:30" x14ac:dyDescent="0.2">
      <c r="A325" s="89" t="s">
        <v>139</v>
      </c>
      <c r="B325" s="90">
        <v>1</v>
      </c>
      <c r="C325" s="91">
        <f>$N$317-$L$317+1</f>
        <v>30</v>
      </c>
      <c r="D325" s="92">
        <v>0.79890000000000005</v>
      </c>
      <c r="E325" s="93">
        <v>3</v>
      </c>
      <c r="F325" s="94">
        <f t="shared" si="62"/>
        <v>3</v>
      </c>
      <c r="H325" s="95">
        <v>1</v>
      </c>
      <c r="I325" s="96">
        <v>3</v>
      </c>
      <c r="J325" s="97">
        <f t="shared" si="63"/>
        <v>3</v>
      </c>
      <c r="L325" s="98">
        <v>1</v>
      </c>
      <c r="M325" s="99">
        <v>3</v>
      </c>
      <c r="N325" s="100">
        <f t="shared" si="64"/>
        <v>3</v>
      </c>
    </row>
    <row r="326" spans="1:30" x14ac:dyDescent="0.2">
      <c r="A326" s="89" t="s">
        <v>140</v>
      </c>
      <c r="B326" s="90">
        <v>30</v>
      </c>
      <c r="C326" s="91">
        <f>$N$317-$L$317+1</f>
        <v>30</v>
      </c>
      <c r="D326" s="92">
        <v>0.5736</v>
      </c>
      <c r="E326" s="93">
        <v>1.274E-2</v>
      </c>
      <c r="F326" s="94">
        <f t="shared" si="62"/>
        <v>0.38</v>
      </c>
      <c r="H326" s="95">
        <v>30</v>
      </c>
      <c r="I326" s="96">
        <v>1.274E-2</v>
      </c>
      <c r="J326" s="97">
        <f t="shared" si="63"/>
        <v>0.38</v>
      </c>
      <c r="L326" s="98">
        <v>30</v>
      </c>
      <c r="M326" s="99">
        <v>6.2899999999999996E-3</v>
      </c>
      <c r="N326" s="100">
        <f t="shared" si="64"/>
        <v>0.19</v>
      </c>
    </row>
    <row r="327" spans="1:30" x14ac:dyDescent="0.2">
      <c r="A327" s="89" t="s">
        <v>141</v>
      </c>
      <c r="B327" s="90">
        <v>2.4500000000000002</v>
      </c>
      <c r="C327" s="103"/>
      <c r="D327" s="92">
        <v>0.24729000000000001</v>
      </c>
      <c r="E327" s="93">
        <v>1</v>
      </c>
      <c r="F327" s="94">
        <f t="shared" si="62"/>
        <v>2.4500000000000002</v>
      </c>
      <c r="H327" s="95">
        <v>4.04</v>
      </c>
      <c r="I327" s="96">
        <v>1</v>
      </c>
      <c r="J327" s="97">
        <f t="shared" si="63"/>
        <v>4.04</v>
      </c>
      <c r="L327" s="98">
        <v>2.4500000000000002</v>
      </c>
      <c r="M327" s="99">
        <v>1</v>
      </c>
      <c r="N327" s="100">
        <f t="shared" si="64"/>
        <v>2.4500000000000002</v>
      </c>
    </row>
    <row r="328" spans="1:30" x14ac:dyDescent="0.2">
      <c r="A328" s="106" t="s">
        <v>142</v>
      </c>
      <c r="F328" s="107">
        <f>ROUND((SUM(F320:F327)-F327)*1.1+F327,2)</f>
        <v>89.93</v>
      </c>
      <c r="J328" s="108">
        <f>ROUND(SUM(J320:J327),2)</f>
        <v>105.39</v>
      </c>
      <c r="N328" s="109">
        <f>ROUND(SUM(N320:N327),2)</f>
        <v>70.34</v>
      </c>
    </row>
    <row r="329" spans="1:30" x14ac:dyDescent="0.2">
      <c r="A329" s="78" t="s">
        <v>143</v>
      </c>
      <c r="B329" s="110">
        <f>IF((F324+F323+F322+F320+F321)=0,"",((F324+F323+F322+F320+F321)-$AB$322)/(F324+F323+F322+F320+F321))</f>
        <v>0.30004435671700602</v>
      </c>
      <c r="D329" s="139" t="str">
        <f>IF(B329="","SIN PC",IF(B329&gt;=0.3,"APROBAR",IF(B329&gt;=0.2,"REVISAR","RECHAZAR")))</f>
        <v>APROBAR</v>
      </c>
      <c r="E329" s="139"/>
      <c r="F329" s="139"/>
      <c r="AD329">
        <f>SUM(F322:F324)-14.8091</f>
        <v>13.680899999999998</v>
      </c>
    </row>
    <row r="330" spans="1:30" x14ac:dyDescent="0.2">
      <c r="A330" s="140" t="s">
        <v>743</v>
      </c>
      <c r="B330" s="140"/>
      <c r="C330" s="140"/>
      <c r="D330" s="140"/>
      <c r="E330" s="140"/>
      <c r="F330" s="140"/>
    </row>
    <row r="331" spans="1:30" x14ac:dyDescent="0.2">
      <c r="A331" s="111" t="s">
        <v>111</v>
      </c>
      <c r="B331" s="111" t="s">
        <v>744</v>
      </c>
      <c r="D331" s="111" t="s">
        <v>745</v>
      </c>
      <c r="E331" s="111" t="s">
        <v>746</v>
      </c>
      <c r="F331" s="111" t="s">
        <v>120</v>
      </c>
    </row>
    <row r="332" spans="1:30" x14ac:dyDescent="0.2">
      <c r="A332" s="112" t="s">
        <v>747</v>
      </c>
      <c r="B332" s="113">
        <v>554</v>
      </c>
      <c r="C332" s="114"/>
      <c r="D332" s="92">
        <v>0.06</v>
      </c>
      <c r="E332" s="114"/>
      <c r="F332" s="115">
        <f>ROUND(B332*D332,2)</f>
        <v>33.24</v>
      </c>
    </row>
    <row r="333" spans="1:30" x14ac:dyDescent="0.2">
      <c r="A333" s="112" t="s">
        <v>748</v>
      </c>
      <c r="B333" s="114"/>
      <c r="C333" s="114"/>
      <c r="D333" s="114"/>
      <c r="E333" s="116">
        <v>0.06</v>
      </c>
      <c r="F333" s="115">
        <v>14.82</v>
      </c>
    </row>
    <row r="334" spans="1:30" x14ac:dyDescent="0.2">
      <c r="A334" s="117" t="s">
        <v>749</v>
      </c>
      <c r="B334" s="114"/>
      <c r="C334" s="114"/>
      <c r="D334" s="114"/>
      <c r="E334" s="114"/>
      <c r="F334" s="118">
        <f>F332-F333</f>
        <v>18.420000000000002</v>
      </c>
    </row>
    <row r="336" spans="1:30" x14ac:dyDescent="0.2">
      <c r="A336" s="137" t="s">
        <v>808</v>
      </c>
      <c r="B336" s="137"/>
      <c r="C336" s="137"/>
      <c r="D336" s="137"/>
      <c r="E336" s="137"/>
      <c r="F336" s="137"/>
      <c r="H336" s="137" t="s">
        <v>809</v>
      </c>
      <c r="I336" s="137"/>
      <c r="J336" s="137"/>
      <c r="K336" s="137"/>
      <c r="L336" s="76">
        <v>46113</v>
      </c>
      <c r="M336" s="77" t="s">
        <v>607</v>
      </c>
      <c r="N336" s="76">
        <v>46142</v>
      </c>
      <c r="R336" s="138" t="s">
        <v>110</v>
      </c>
      <c r="S336" s="138"/>
      <c r="T336" s="138"/>
      <c r="U336" s="138"/>
      <c r="V336" s="138"/>
    </row>
    <row r="337" spans="1:30" x14ac:dyDescent="0.2">
      <c r="A337" s="78" t="s">
        <v>111</v>
      </c>
      <c r="B337" s="79" t="s">
        <v>112</v>
      </c>
      <c r="C337" s="80"/>
      <c r="D337" s="80"/>
      <c r="E337" s="80"/>
      <c r="F337" s="80"/>
      <c r="H337" s="81" t="s">
        <v>810</v>
      </c>
      <c r="I337" s="82"/>
      <c r="J337" s="82"/>
      <c r="L337" s="83" t="s">
        <v>811</v>
      </c>
      <c r="M337" s="84"/>
      <c r="N337" s="84"/>
      <c r="R337" s="85" t="s">
        <v>812</v>
      </c>
    </row>
    <row r="338" spans="1:30" x14ac:dyDescent="0.2">
      <c r="B338" s="68" t="s">
        <v>116</v>
      </c>
      <c r="C338" s="68" t="s">
        <v>117</v>
      </c>
      <c r="D338" s="68" t="s">
        <v>118</v>
      </c>
      <c r="E338" s="68" t="s">
        <v>119</v>
      </c>
      <c r="F338" s="68" t="s">
        <v>120</v>
      </c>
      <c r="H338" s="86" t="s">
        <v>116</v>
      </c>
      <c r="I338" s="86" t="s">
        <v>119</v>
      </c>
      <c r="J338" s="86" t="s">
        <v>120</v>
      </c>
      <c r="L338" s="87" t="s">
        <v>116</v>
      </c>
      <c r="M338" s="87" t="s">
        <v>119</v>
      </c>
      <c r="N338" s="87" t="s">
        <v>120</v>
      </c>
      <c r="R338" s="88" t="s">
        <v>813</v>
      </c>
    </row>
    <row r="339" spans="1:30" x14ac:dyDescent="0.2">
      <c r="A339" s="89" t="s">
        <v>122</v>
      </c>
      <c r="B339" s="90">
        <v>4.9000000000000004</v>
      </c>
      <c r="C339" s="91">
        <f>$N$336-$L$336+1</f>
        <v>30</v>
      </c>
      <c r="D339" s="92">
        <v>3.4085999999999999</v>
      </c>
      <c r="E339" s="93">
        <v>3.85</v>
      </c>
      <c r="F339" s="94">
        <f t="shared" ref="F339:F346" si="65">ROUND(B339*E339,2)</f>
        <v>18.87</v>
      </c>
      <c r="H339" s="95">
        <v>4.9000000000000004</v>
      </c>
      <c r="I339" s="96">
        <v>3.85</v>
      </c>
      <c r="J339" s="97">
        <f t="shared" ref="J339:J346" si="66">ROUND(H339*I339,2)</f>
        <v>18.87</v>
      </c>
      <c r="L339" s="98">
        <v>4.9000000000000004</v>
      </c>
      <c r="M339" s="99">
        <v>3.85</v>
      </c>
      <c r="N339" s="100">
        <f t="shared" ref="N339:N346" si="67">ROUND(L339*M339,2)</f>
        <v>18.87</v>
      </c>
      <c r="R339" s="101" t="s">
        <v>814</v>
      </c>
    </row>
    <row r="340" spans="1:30" x14ac:dyDescent="0.2">
      <c r="A340" s="89" t="s">
        <v>124</v>
      </c>
      <c r="B340" s="90">
        <v>4.9000000000000004</v>
      </c>
      <c r="C340" s="91">
        <f>$N$336-$L$336+1</f>
        <v>30</v>
      </c>
      <c r="D340" s="92">
        <v>1.09728</v>
      </c>
      <c r="E340" s="93">
        <v>1.33</v>
      </c>
      <c r="F340" s="94">
        <f t="shared" si="65"/>
        <v>6.52</v>
      </c>
      <c r="H340" s="95">
        <v>4.9000000000000004</v>
      </c>
      <c r="I340" s="96">
        <v>1.33</v>
      </c>
      <c r="J340" s="97">
        <f t="shared" si="66"/>
        <v>6.52</v>
      </c>
      <c r="L340" s="98">
        <v>4.9000000000000004</v>
      </c>
      <c r="M340" s="99">
        <v>1.33</v>
      </c>
      <c r="N340" s="100">
        <f t="shared" si="67"/>
        <v>6.52</v>
      </c>
      <c r="R340" s="102" t="s">
        <v>815</v>
      </c>
    </row>
    <row r="341" spans="1:30" x14ac:dyDescent="0.2">
      <c r="A341" s="89" t="s">
        <v>614</v>
      </c>
      <c r="B341" s="90">
        <f>IF($P$341&lt;&gt;"",ROUND(AA341*(($AB$341/(1-$P$341))-25.382)/1.3591,2),IF('Resumen 2.0TD'!$D$3="OPTIMIZAR",ROUND(MAX(AA341,MIN(AA341*(($AB$341/(1-'Resumen 2.0TD'!$F$3))-25.382)/1.3591,AA341*(37.4458)/1.3591)),3),AA341))</f>
        <v>20.434000000000001</v>
      </c>
      <c r="C341" s="103"/>
      <c r="D341" s="92">
        <v>0.110306</v>
      </c>
      <c r="E341" s="93">
        <v>0.13788</v>
      </c>
      <c r="F341" s="94">
        <f t="shared" si="65"/>
        <v>2.82</v>
      </c>
      <c r="H341" s="95">
        <v>0.79600000000000004</v>
      </c>
      <c r="I341" s="96">
        <v>0.13788</v>
      </c>
      <c r="J341" s="97">
        <f t="shared" si="66"/>
        <v>0.11</v>
      </c>
      <c r="L341" s="98">
        <v>1.331</v>
      </c>
      <c r="M341" s="99">
        <v>0.13788</v>
      </c>
      <c r="N341" s="100">
        <f t="shared" si="67"/>
        <v>0.18</v>
      </c>
      <c r="O341" s="104" t="s">
        <v>615</v>
      </c>
      <c r="P341" s="67"/>
      <c r="R341" s="102" t="s">
        <v>816</v>
      </c>
      <c r="AA341">
        <v>3.601</v>
      </c>
      <c r="AB341">
        <f>B339*D339+B340*D340+AA341*D341+AA342*D342+AA343*D343</f>
        <v>23.166098242</v>
      </c>
    </row>
    <row r="342" spans="1:30" x14ac:dyDescent="0.2">
      <c r="A342" s="89" t="s">
        <v>617</v>
      </c>
      <c r="B342" s="90">
        <f>IF($P$341&lt;&gt;"",ROUND(AA342*(($AB$341/(1-$P$341))-25.382)/1.3591,2),IF('Resumen 2.0TD'!$D$3="OPTIMIZAR",ROUND(MAX(AA342,MIN(AA342*(($AB$341/(1-'Resumen 2.0TD'!$F$3))-25.382)/1.3591,AA342*(37.4458)/1.3591)),3),AA342))</f>
        <v>12.025</v>
      </c>
      <c r="C342" s="103"/>
      <c r="D342" s="92">
        <v>0.110306</v>
      </c>
      <c r="E342" s="93">
        <v>0.13788</v>
      </c>
      <c r="F342" s="94">
        <f t="shared" si="65"/>
        <v>1.66</v>
      </c>
      <c r="H342" s="95">
        <v>0.61699999999999999</v>
      </c>
      <c r="I342" s="96">
        <v>0.13788</v>
      </c>
      <c r="J342" s="97">
        <f t="shared" si="66"/>
        <v>0.09</v>
      </c>
      <c r="L342" s="98">
        <v>1.534</v>
      </c>
      <c r="M342" s="99">
        <v>0.13788</v>
      </c>
      <c r="N342" s="100">
        <f t="shared" si="67"/>
        <v>0.21</v>
      </c>
      <c r="O342" s="105" t="s">
        <v>618</v>
      </c>
      <c r="R342" s="102" t="s">
        <v>619</v>
      </c>
      <c r="AA342">
        <v>2.1190000000000002</v>
      </c>
    </row>
    <row r="343" spans="1:30" x14ac:dyDescent="0.2">
      <c r="A343" s="89" t="s">
        <v>620</v>
      </c>
      <c r="B343" s="90">
        <f>IF($P$341&lt;&gt;"",ROUND(AA343*(($AB$341/(1-$P$341))-25.382)/1.3591,2),IF('Resumen 2.0TD'!$D$3="OPTIMIZAR",ROUND(MAX(AA343,MIN(AA343*(($AB$341/(1-'Resumen 2.0TD'!$F$3))-25.382)/1.3591,AA343*(37.4458)/1.3591)),3),AA343))</f>
        <v>23.475999999999999</v>
      </c>
      <c r="C343" s="103"/>
      <c r="D343" s="92">
        <v>0.110306</v>
      </c>
      <c r="E343" s="93">
        <v>0.13788</v>
      </c>
      <c r="F343" s="94">
        <f t="shared" si="65"/>
        <v>3.24</v>
      </c>
      <c r="H343" s="95">
        <v>5.0359999999999996</v>
      </c>
      <c r="I343" s="96">
        <v>0.13788</v>
      </c>
      <c r="J343" s="97">
        <f t="shared" si="66"/>
        <v>0.69</v>
      </c>
      <c r="L343" s="98">
        <v>12.478999999999999</v>
      </c>
      <c r="M343" s="99">
        <v>0.13788</v>
      </c>
      <c r="N343" s="100">
        <f t="shared" si="67"/>
        <v>1.72</v>
      </c>
      <c r="O343" s="105" t="s">
        <v>621</v>
      </c>
      <c r="AA343">
        <v>4.1369999999999996</v>
      </c>
    </row>
    <row r="344" spans="1:30" x14ac:dyDescent="0.2">
      <c r="A344" s="89" t="s">
        <v>139</v>
      </c>
      <c r="B344" s="90">
        <v>1</v>
      </c>
      <c r="C344" s="91">
        <f>$N$336-$L$336+1</f>
        <v>30</v>
      </c>
      <c r="D344" s="92">
        <v>1.3413999999999999</v>
      </c>
      <c r="E344" s="93">
        <v>3</v>
      </c>
      <c r="F344" s="94">
        <f t="shared" si="65"/>
        <v>3</v>
      </c>
      <c r="H344" s="95">
        <v>1</v>
      </c>
      <c r="I344" s="96">
        <v>3</v>
      </c>
      <c r="J344" s="97">
        <f t="shared" si="66"/>
        <v>3</v>
      </c>
      <c r="L344" s="98">
        <v>1</v>
      </c>
      <c r="M344" s="99">
        <v>3</v>
      </c>
      <c r="N344" s="100">
        <f t="shared" si="67"/>
        <v>3</v>
      </c>
    </row>
    <row r="345" spans="1:30" x14ac:dyDescent="0.2">
      <c r="A345" s="89" t="s">
        <v>140</v>
      </c>
      <c r="B345" s="90">
        <v>30</v>
      </c>
      <c r="C345" s="91">
        <f>$N$336-$L$336+1</f>
        <v>30</v>
      </c>
      <c r="D345" s="92">
        <v>0.5736</v>
      </c>
      <c r="E345" s="93">
        <v>1.274E-2</v>
      </c>
      <c r="F345" s="94">
        <f t="shared" si="65"/>
        <v>0.38</v>
      </c>
      <c r="H345" s="95">
        <v>30</v>
      </c>
      <c r="I345" s="96">
        <v>1.9120000000000002E-2</v>
      </c>
      <c r="J345" s="97">
        <f t="shared" si="66"/>
        <v>0.56999999999999995</v>
      </c>
      <c r="L345" s="98">
        <v>30</v>
      </c>
      <c r="M345" s="99">
        <v>6.2899999999999996E-3</v>
      </c>
      <c r="N345" s="100">
        <f t="shared" si="67"/>
        <v>0.19</v>
      </c>
    </row>
    <row r="346" spans="1:30" x14ac:dyDescent="0.2">
      <c r="A346" s="89" t="s">
        <v>141</v>
      </c>
      <c r="B346" s="90">
        <v>1.31</v>
      </c>
      <c r="C346" s="103"/>
      <c r="D346" s="92">
        <v>0.24729000000000001</v>
      </c>
      <c r="E346" s="93">
        <v>1</v>
      </c>
      <c r="F346" s="94">
        <f t="shared" si="65"/>
        <v>1.31</v>
      </c>
      <c r="H346" s="95">
        <v>1.31</v>
      </c>
      <c r="I346" s="96">
        <v>1</v>
      </c>
      <c r="J346" s="97">
        <f t="shared" si="66"/>
        <v>1.31</v>
      </c>
      <c r="L346" s="98">
        <v>1.31</v>
      </c>
      <c r="M346" s="99">
        <v>1</v>
      </c>
      <c r="N346" s="100">
        <f t="shared" si="67"/>
        <v>1.31</v>
      </c>
    </row>
    <row r="347" spans="1:30" x14ac:dyDescent="0.2">
      <c r="A347" s="106" t="s">
        <v>142</v>
      </c>
      <c r="F347" s="107">
        <f>ROUND((SUM(F339:F346)-F346)*1.1+F346,2)</f>
        <v>41.45</v>
      </c>
      <c r="J347" s="108">
        <f>ROUND(SUM(J339:J346),2)</f>
        <v>31.16</v>
      </c>
      <c r="N347" s="109">
        <f>ROUND(SUM(N339:N346),2)</f>
        <v>32</v>
      </c>
    </row>
    <row r="348" spans="1:30" x14ac:dyDescent="0.2">
      <c r="A348" s="78" t="s">
        <v>143</v>
      </c>
      <c r="B348" s="110">
        <f>IF((F343+F342+F341+F339+F340)=0,"",((F343+F342+F341+F339+F340)-$AB$341)/(F343+F342+F341+F339+F340))</f>
        <v>0.30032925877378436</v>
      </c>
      <c r="D348" s="139" t="str">
        <f>IF(B348="","SIN PC",IF(B348&gt;=0.3,"APROBAR",IF(B348&gt;=0.2,"REVISAR","RECHAZAR")))</f>
        <v>APROBAR</v>
      </c>
      <c r="E348" s="139"/>
      <c r="F348" s="139"/>
      <c r="AD348">
        <f>SUM(F341:F343)-1.3591</f>
        <v>6.3609</v>
      </c>
    </row>
    <row r="349" spans="1:30" x14ac:dyDescent="0.2">
      <c r="A349" s="140" t="s">
        <v>743</v>
      </c>
      <c r="B349" s="140"/>
      <c r="C349" s="140"/>
      <c r="D349" s="140"/>
      <c r="E349" s="140"/>
      <c r="F349" s="140"/>
    </row>
    <row r="350" spans="1:30" x14ac:dyDescent="0.2">
      <c r="A350" s="111" t="s">
        <v>111</v>
      </c>
      <c r="B350" s="111" t="s">
        <v>744</v>
      </c>
      <c r="D350" s="111" t="s">
        <v>745</v>
      </c>
      <c r="E350" s="111" t="s">
        <v>746</v>
      </c>
      <c r="F350" s="111" t="s">
        <v>120</v>
      </c>
    </row>
    <row r="351" spans="1:30" x14ac:dyDescent="0.2">
      <c r="A351" s="112" t="s">
        <v>747</v>
      </c>
      <c r="B351" s="113">
        <v>193</v>
      </c>
      <c r="C351" s="114"/>
      <c r="D351" s="92">
        <v>0.06</v>
      </c>
      <c r="E351" s="114"/>
      <c r="F351" s="115">
        <f>ROUND(B351*D351,2)</f>
        <v>11.58</v>
      </c>
    </row>
    <row r="352" spans="1:30" x14ac:dyDescent="0.2">
      <c r="A352" s="112" t="s">
        <v>748</v>
      </c>
      <c r="B352" s="114"/>
      <c r="C352" s="114"/>
      <c r="D352" s="114"/>
      <c r="E352" s="116">
        <v>0.1</v>
      </c>
      <c r="F352" s="115">
        <v>1.36</v>
      </c>
    </row>
    <row r="353" spans="1:30" x14ac:dyDescent="0.2">
      <c r="A353" s="117" t="s">
        <v>749</v>
      </c>
      <c r="B353" s="114"/>
      <c r="C353" s="114"/>
      <c r="D353" s="114"/>
      <c r="E353" s="114"/>
      <c r="F353" s="118">
        <f>F351-F352</f>
        <v>10.220000000000001</v>
      </c>
    </row>
    <row r="355" spans="1:30" x14ac:dyDescent="0.2">
      <c r="A355" s="137" t="s">
        <v>817</v>
      </c>
      <c r="B355" s="137"/>
      <c r="C355" s="137"/>
      <c r="D355" s="137"/>
      <c r="E355" s="137"/>
      <c r="F355" s="137"/>
      <c r="H355" s="137" t="s">
        <v>818</v>
      </c>
      <c r="I355" s="137"/>
      <c r="J355" s="137"/>
      <c r="K355" s="137"/>
      <c r="L355" s="76">
        <v>46113</v>
      </c>
      <c r="M355" s="77" t="s">
        <v>607</v>
      </c>
      <c r="N355" s="76">
        <v>46142</v>
      </c>
      <c r="R355" s="138" t="s">
        <v>110</v>
      </c>
      <c r="S355" s="138"/>
      <c r="T355" s="138"/>
      <c r="U355" s="138"/>
      <c r="V355" s="138"/>
    </row>
    <row r="356" spans="1:30" x14ac:dyDescent="0.2">
      <c r="A356" s="78" t="s">
        <v>111</v>
      </c>
      <c r="B356" s="79" t="s">
        <v>112</v>
      </c>
      <c r="C356" s="80"/>
      <c r="D356" s="80"/>
      <c r="E356" s="80"/>
      <c r="F356" s="80"/>
      <c r="H356" s="81" t="s">
        <v>819</v>
      </c>
      <c r="I356" s="82"/>
      <c r="J356" s="82"/>
      <c r="L356" s="83" t="s">
        <v>820</v>
      </c>
      <c r="M356" s="84"/>
      <c r="N356" s="84"/>
      <c r="R356" s="85" t="s">
        <v>821</v>
      </c>
    </row>
    <row r="357" spans="1:30" x14ac:dyDescent="0.2">
      <c r="B357" s="68" t="s">
        <v>116</v>
      </c>
      <c r="C357" s="68" t="s">
        <v>117</v>
      </c>
      <c r="D357" s="68" t="s">
        <v>118</v>
      </c>
      <c r="E357" s="68" t="s">
        <v>119</v>
      </c>
      <c r="F357" s="68" t="s">
        <v>120</v>
      </c>
      <c r="H357" s="86" t="s">
        <v>116</v>
      </c>
      <c r="I357" s="86" t="s">
        <v>119</v>
      </c>
      <c r="J357" s="86" t="s">
        <v>120</v>
      </c>
      <c r="L357" s="87" t="s">
        <v>116</v>
      </c>
      <c r="M357" s="87" t="s">
        <v>119</v>
      </c>
      <c r="N357" s="87" t="s">
        <v>120</v>
      </c>
      <c r="R357" s="88" t="s">
        <v>822</v>
      </c>
    </row>
    <row r="358" spans="1:30" x14ac:dyDescent="0.2">
      <c r="A358" s="89" t="s">
        <v>122</v>
      </c>
      <c r="B358" s="90">
        <v>6.93</v>
      </c>
      <c r="C358" s="91">
        <f>$N$355-$L$355+1</f>
        <v>30</v>
      </c>
      <c r="D358" s="92">
        <v>3.4085999999999999</v>
      </c>
      <c r="E358" s="93">
        <v>4.17</v>
      </c>
      <c r="F358" s="94">
        <f t="shared" ref="F358:F365" si="68">ROUND(B358*E358,2)</f>
        <v>28.9</v>
      </c>
      <c r="H358" s="95">
        <v>6.93</v>
      </c>
      <c r="I358" s="96">
        <v>4.17</v>
      </c>
      <c r="J358" s="97">
        <f t="shared" ref="J358:J365" si="69">ROUND(H358*I358,2)</f>
        <v>28.9</v>
      </c>
      <c r="L358" s="98">
        <v>6.93</v>
      </c>
      <c r="M358" s="99">
        <v>4.17</v>
      </c>
      <c r="N358" s="100">
        <f t="shared" ref="N358:N365" si="70">ROUND(L358*M358,2)</f>
        <v>28.9</v>
      </c>
      <c r="R358" s="101" t="s">
        <v>823</v>
      </c>
    </row>
    <row r="359" spans="1:30" x14ac:dyDescent="0.2">
      <c r="A359" s="89" t="s">
        <v>124</v>
      </c>
      <c r="B359" s="90">
        <v>6.93</v>
      </c>
      <c r="C359" s="91">
        <f>$N$355-$L$355+1</f>
        <v>30</v>
      </c>
      <c r="D359" s="92">
        <v>1.09728</v>
      </c>
      <c r="E359" s="93">
        <v>1.37</v>
      </c>
      <c r="F359" s="94">
        <f t="shared" si="68"/>
        <v>9.49</v>
      </c>
      <c r="H359" s="95">
        <v>6.93</v>
      </c>
      <c r="I359" s="96">
        <v>1.37</v>
      </c>
      <c r="J359" s="97">
        <f t="shared" si="69"/>
        <v>9.49</v>
      </c>
      <c r="L359" s="98">
        <v>6.93</v>
      </c>
      <c r="M359" s="99">
        <v>1.37</v>
      </c>
      <c r="N359" s="100">
        <f t="shared" si="70"/>
        <v>9.49</v>
      </c>
      <c r="R359" s="102" t="s">
        <v>824</v>
      </c>
    </row>
    <row r="360" spans="1:30" x14ac:dyDescent="0.2">
      <c r="A360" s="89" t="s">
        <v>614</v>
      </c>
      <c r="B360" s="90">
        <f>IF($P$360&lt;&gt;"",ROUND(AA360*(($AB$360/(1-$P$360))-38.3922)/46.6496,2),IF('Resumen 2.0TD'!$D$3="OPTIMIZAR",ROUND(MAX(AA360,MIN(AA360*(($AB$360/(1-'Resumen 2.0TD'!$F$3))-38.3922)/46.6496,AA360*(155.7556)/46.6496)),3),AA360))</f>
        <v>77.304000000000002</v>
      </c>
      <c r="C360" s="103"/>
      <c r="D360" s="92">
        <v>0.110306</v>
      </c>
      <c r="E360" s="93">
        <v>0.14937</v>
      </c>
      <c r="F360" s="94">
        <f t="shared" si="68"/>
        <v>11.55</v>
      </c>
      <c r="H360" s="95">
        <v>151.137</v>
      </c>
      <c r="I360" s="96">
        <v>0.14937</v>
      </c>
      <c r="J360" s="97">
        <f t="shared" si="69"/>
        <v>22.58</v>
      </c>
      <c r="L360" s="98">
        <v>27.198</v>
      </c>
      <c r="M360" s="99">
        <v>0.14937</v>
      </c>
      <c r="N360" s="100">
        <f t="shared" si="70"/>
        <v>4.0599999999999996</v>
      </c>
      <c r="O360" s="104" t="s">
        <v>615</v>
      </c>
      <c r="P360" s="67"/>
      <c r="R360" s="102" t="s">
        <v>825</v>
      </c>
      <c r="AA360">
        <v>65.058999999999997</v>
      </c>
      <c r="AB360">
        <f>B358*D358+B359*D359+AA360*D360+AA361*D361+AA362*D362</f>
        <v>65.675304954000012</v>
      </c>
    </row>
    <row r="361" spans="1:30" x14ac:dyDescent="0.2">
      <c r="A361" s="89" t="s">
        <v>617</v>
      </c>
      <c r="B361" s="90">
        <f>IF($P$360&lt;&gt;"",ROUND(AA361*(($AB$360/(1-$P$360))-38.3922)/46.6496,2),IF('Resumen 2.0TD'!$D$3="OPTIMIZAR",ROUND(MAX(AA361,MIN(AA361*(($AB$360/(1-'Resumen 2.0TD'!$F$3))-38.3922)/46.6496,AA361*(155.7556)/46.6496)),3),AA361))</f>
        <v>49.866999999999997</v>
      </c>
      <c r="C361" s="103"/>
      <c r="D361" s="92">
        <v>0.110306</v>
      </c>
      <c r="E361" s="93">
        <v>0.14937</v>
      </c>
      <c r="F361" s="94">
        <f t="shared" si="68"/>
        <v>7.45</v>
      </c>
      <c r="H361" s="95">
        <v>123.193</v>
      </c>
      <c r="I361" s="96">
        <v>0.14937</v>
      </c>
      <c r="J361" s="97">
        <f t="shared" si="69"/>
        <v>18.399999999999999</v>
      </c>
      <c r="L361" s="98">
        <v>22.981000000000002</v>
      </c>
      <c r="M361" s="99">
        <v>0.14937</v>
      </c>
      <c r="N361" s="100">
        <f t="shared" si="70"/>
        <v>3.43</v>
      </c>
      <c r="O361" s="105" t="s">
        <v>618</v>
      </c>
      <c r="R361" s="102" t="s">
        <v>619</v>
      </c>
      <c r="AA361">
        <v>41.968000000000004</v>
      </c>
    </row>
    <row r="362" spans="1:30" x14ac:dyDescent="0.2">
      <c r="A362" s="89" t="s">
        <v>620</v>
      </c>
      <c r="B362" s="90">
        <f>IF($P$360&lt;&gt;"",ROUND(AA362*(($AB$360/(1-$P$360))-38.3922)/46.6496,2),IF('Resumen 2.0TD'!$D$3="OPTIMIZAR",ROUND(MAX(AA362,MIN(AA362*(($AB$360/(1-'Resumen 2.0TD'!$F$3))-38.3922)/46.6496,AA362*(155.7556)/46.6496)),3),AA362))</f>
        <v>243.91900000000001</v>
      </c>
      <c r="C362" s="103"/>
      <c r="D362" s="92">
        <v>0.110306</v>
      </c>
      <c r="E362" s="93">
        <v>0.14937</v>
      </c>
      <c r="F362" s="94">
        <f t="shared" si="68"/>
        <v>36.43</v>
      </c>
      <c r="H362" s="95">
        <v>361.74200000000002</v>
      </c>
      <c r="I362" s="96">
        <v>0.14937</v>
      </c>
      <c r="J362" s="97">
        <f t="shared" si="69"/>
        <v>54.03</v>
      </c>
      <c r="L362" s="98">
        <v>44.96</v>
      </c>
      <c r="M362" s="99">
        <v>0.14937</v>
      </c>
      <c r="N362" s="100">
        <f t="shared" si="70"/>
        <v>6.72</v>
      </c>
      <c r="O362" s="105" t="s">
        <v>621</v>
      </c>
      <c r="AA362">
        <v>205.28200000000001</v>
      </c>
    </row>
    <row r="363" spans="1:30" x14ac:dyDescent="0.2">
      <c r="A363" s="89" t="s">
        <v>139</v>
      </c>
      <c r="B363" s="90">
        <v>1</v>
      </c>
      <c r="C363" s="91">
        <f>$N$355-$L$355+1</f>
        <v>30</v>
      </c>
      <c r="D363" s="92">
        <v>1.3413999999999999</v>
      </c>
      <c r="E363" s="93">
        <v>4</v>
      </c>
      <c r="F363" s="94">
        <f t="shared" si="68"/>
        <v>4</v>
      </c>
      <c r="H363" s="95">
        <v>1</v>
      </c>
      <c r="I363" s="96">
        <v>4</v>
      </c>
      <c r="J363" s="97">
        <f t="shared" si="69"/>
        <v>4</v>
      </c>
      <c r="L363" s="98">
        <v>1</v>
      </c>
      <c r="M363" s="99">
        <v>4</v>
      </c>
      <c r="N363" s="100">
        <f t="shared" si="70"/>
        <v>4</v>
      </c>
    </row>
    <row r="364" spans="1:30" x14ac:dyDescent="0.2">
      <c r="A364" s="89" t="s">
        <v>140</v>
      </c>
      <c r="B364" s="90">
        <v>30</v>
      </c>
      <c r="C364" s="91">
        <f>$N$355-$L$355+1</f>
        <v>30</v>
      </c>
      <c r="D364" s="92">
        <v>0.5736</v>
      </c>
      <c r="E364" s="93">
        <v>1.274E-2</v>
      </c>
      <c r="F364" s="94">
        <f t="shared" si="68"/>
        <v>0.38</v>
      </c>
      <c r="H364" s="95">
        <v>30</v>
      </c>
      <c r="I364" s="96">
        <v>1.274E-2</v>
      </c>
      <c r="J364" s="97">
        <f t="shared" si="69"/>
        <v>0.38</v>
      </c>
      <c r="L364" s="98">
        <v>30</v>
      </c>
      <c r="M364" s="99">
        <v>6.2899999999999996E-3</v>
      </c>
      <c r="N364" s="100">
        <f t="shared" si="70"/>
        <v>0.19</v>
      </c>
    </row>
    <row r="365" spans="1:30" x14ac:dyDescent="0.2">
      <c r="A365" s="89" t="s">
        <v>141</v>
      </c>
      <c r="B365" s="90">
        <v>3.12</v>
      </c>
      <c r="C365" s="103"/>
      <c r="D365" s="92">
        <v>0.24729000000000001</v>
      </c>
      <c r="E365" s="93">
        <v>1</v>
      </c>
      <c r="F365" s="94">
        <f t="shared" si="68"/>
        <v>3.12</v>
      </c>
      <c r="H365" s="95">
        <v>6.09</v>
      </c>
      <c r="I365" s="96">
        <v>1</v>
      </c>
      <c r="J365" s="97">
        <f t="shared" si="69"/>
        <v>6.09</v>
      </c>
      <c r="L365" s="98">
        <v>1.97</v>
      </c>
      <c r="M365" s="99">
        <v>1</v>
      </c>
      <c r="N365" s="100">
        <f t="shared" si="70"/>
        <v>1.97</v>
      </c>
    </row>
    <row r="366" spans="1:30" x14ac:dyDescent="0.2">
      <c r="A366" s="106" t="s">
        <v>142</v>
      </c>
      <c r="F366" s="107">
        <f>ROUND((SUM(F358:F365)-F365)*1.1+F365,2)</f>
        <v>111.14</v>
      </c>
      <c r="J366" s="108">
        <f>ROUND(SUM(J358:J365),2)</f>
        <v>143.87</v>
      </c>
      <c r="N366" s="109">
        <f>ROUND(SUM(N358:N365),2)</f>
        <v>58.76</v>
      </c>
    </row>
    <row r="367" spans="1:30" x14ac:dyDescent="0.2">
      <c r="A367" s="78" t="s">
        <v>143</v>
      </c>
      <c r="B367" s="110">
        <f>IF((F362+F361+F360+F358+F359)=0,"",((F362+F361+F360+F358+F359)-$AB$360)/(F362+F361+F360+F358+F359))</f>
        <v>0.29998609087614575</v>
      </c>
      <c r="D367" s="139" t="str">
        <f>IF(B367="","SIN PC",IF(B367&gt;=0.3,"APROBAR",IF(B367&gt;=0.2,"REVISAR","RECHAZAR")))</f>
        <v>REVISAR</v>
      </c>
      <c r="E367" s="139"/>
      <c r="F367" s="139"/>
      <c r="AD367">
        <f>SUM(F360:F362)-46.6496</f>
        <v>8.7804000000000002</v>
      </c>
    </row>
    <row r="368" spans="1:30" x14ac:dyDescent="0.2">
      <c r="A368" s="140" t="s">
        <v>743</v>
      </c>
      <c r="B368" s="140"/>
      <c r="C368" s="140"/>
      <c r="D368" s="140"/>
      <c r="E368" s="140"/>
      <c r="F368" s="140"/>
    </row>
    <row r="369" spans="1:28" x14ac:dyDescent="0.2">
      <c r="A369" s="111" t="s">
        <v>111</v>
      </c>
      <c r="B369" s="111" t="s">
        <v>744</v>
      </c>
      <c r="D369" s="111" t="s">
        <v>745</v>
      </c>
      <c r="E369" s="111" t="s">
        <v>746</v>
      </c>
      <c r="F369" s="111" t="s">
        <v>120</v>
      </c>
    </row>
    <row r="370" spans="1:28" x14ac:dyDescent="0.2">
      <c r="A370" s="112" t="s">
        <v>747</v>
      </c>
      <c r="B370" s="113">
        <v>482</v>
      </c>
      <c r="C370" s="114"/>
      <c r="D370" s="92">
        <v>0.06</v>
      </c>
      <c r="E370" s="114"/>
      <c r="F370" s="115">
        <f>ROUND(B370*D370,2)</f>
        <v>28.92</v>
      </c>
    </row>
    <row r="371" spans="1:28" x14ac:dyDescent="0.2">
      <c r="A371" s="112" t="s">
        <v>748</v>
      </c>
      <c r="B371" s="114"/>
      <c r="C371" s="114"/>
      <c r="D371" s="114"/>
      <c r="E371" s="116">
        <v>0.06</v>
      </c>
      <c r="F371" s="115">
        <v>24.22</v>
      </c>
    </row>
    <row r="372" spans="1:28" x14ac:dyDescent="0.2">
      <c r="A372" s="117" t="s">
        <v>749</v>
      </c>
      <c r="B372" s="114"/>
      <c r="C372" s="114"/>
      <c r="D372" s="114"/>
      <c r="E372" s="114"/>
      <c r="F372" s="118">
        <f>F370-F371</f>
        <v>4.7000000000000028</v>
      </c>
    </row>
    <row r="374" spans="1:28" x14ac:dyDescent="0.2">
      <c r="A374" s="137" t="s">
        <v>826</v>
      </c>
      <c r="B374" s="137"/>
      <c r="C374" s="137"/>
      <c r="D374" s="137"/>
      <c r="E374" s="137"/>
      <c r="F374" s="137"/>
      <c r="H374" s="137" t="s">
        <v>827</v>
      </c>
      <c r="I374" s="137"/>
      <c r="J374" s="137"/>
      <c r="K374" s="137"/>
      <c r="L374" s="76">
        <v>46113</v>
      </c>
      <c r="M374" s="77" t="s">
        <v>607</v>
      </c>
      <c r="N374" s="76">
        <v>46142</v>
      </c>
      <c r="R374" s="138" t="s">
        <v>110</v>
      </c>
      <c r="S374" s="138"/>
      <c r="T374" s="138"/>
      <c r="U374" s="138"/>
      <c r="V374" s="138"/>
    </row>
    <row r="375" spans="1:28" x14ac:dyDescent="0.2">
      <c r="A375" s="78" t="s">
        <v>111</v>
      </c>
      <c r="B375" s="79" t="s">
        <v>112</v>
      </c>
      <c r="C375" s="80"/>
      <c r="D375" s="80"/>
      <c r="E375" s="80"/>
      <c r="F375" s="80"/>
      <c r="H375" s="81" t="s">
        <v>828</v>
      </c>
      <c r="I375" s="82"/>
      <c r="J375" s="82"/>
      <c r="L375" s="83" t="s">
        <v>829</v>
      </c>
      <c r="M375" s="84"/>
      <c r="N375" s="84"/>
      <c r="R375" s="85" t="s">
        <v>830</v>
      </c>
    </row>
    <row r="376" spans="1:28" x14ac:dyDescent="0.2">
      <c r="B376" s="68" t="s">
        <v>116</v>
      </c>
      <c r="C376" s="68" t="s">
        <v>117</v>
      </c>
      <c r="D376" s="68" t="s">
        <v>118</v>
      </c>
      <c r="E376" s="68" t="s">
        <v>119</v>
      </c>
      <c r="F376" s="68" t="s">
        <v>120</v>
      </c>
      <c r="H376" s="86" t="s">
        <v>116</v>
      </c>
      <c r="I376" s="86" t="s">
        <v>119</v>
      </c>
      <c r="J376" s="86" t="s">
        <v>120</v>
      </c>
      <c r="L376" s="87" t="s">
        <v>116</v>
      </c>
      <c r="M376" s="87" t="s">
        <v>119</v>
      </c>
      <c r="N376" s="87" t="s">
        <v>120</v>
      </c>
      <c r="R376" s="88" t="s">
        <v>831</v>
      </c>
    </row>
    <row r="377" spans="1:28" x14ac:dyDescent="0.2">
      <c r="A377" s="89" t="s">
        <v>122</v>
      </c>
      <c r="B377" s="90">
        <v>9.9</v>
      </c>
      <c r="C377" s="91">
        <f>$N$374-$L$374+1</f>
        <v>30</v>
      </c>
      <c r="D377" s="92">
        <v>3.68919</v>
      </c>
      <c r="E377" s="93">
        <v>3.7376</v>
      </c>
      <c r="F377" s="94">
        <f t="shared" ref="F377:F384" si="71">ROUND(B377*E377,2)</f>
        <v>37</v>
      </c>
      <c r="H377" s="95">
        <v>9.9</v>
      </c>
      <c r="I377" s="96">
        <v>3.7376</v>
      </c>
      <c r="J377" s="97">
        <f>ROUND(H377*I377,2)</f>
        <v>37</v>
      </c>
      <c r="L377" s="98">
        <v>9.9</v>
      </c>
      <c r="M377" s="99">
        <v>3.85</v>
      </c>
      <c r="N377" s="100">
        <f>ROUND(L377*M377,2)</f>
        <v>38.119999999999997</v>
      </c>
      <c r="R377" s="101" t="s">
        <v>832</v>
      </c>
    </row>
    <row r="378" spans="1:28" x14ac:dyDescent="0.2">
      <c r="A378" s="89" t="s">
        <v>124</v>
      </c>
      <c r="B378" s="90">
        <v>9.9</v>
      </c>
      <c r="C378" s="91">
        <f>$N$374-$L$374+1</f>
        <v>30</v>
      </c>
      <c r="D378" s="92">
        <v>1.31928</v>
      </c>
      <c r="E378" s="93">
        <v>1.3068</v>
      </c>
      <c r="F378" s="94">
        <f t="shared" si="71"/>
        <v>12.94</v>
      </c>
      <c r="H378" s="95">
        <v>9.9</v>
      </c>
      <c r="I378" s="96">
        <v>1.3068</v>
      </c>
      <c r="J378" s="97">
        <f>ROUND(H378*I378,2)</f>
        <v>12.94</v>
      </c>
      <c r="L378" s="98">
        <v>9.9</v>
      </c>
      <c r="M378" s="99">
        <v>1.55</v>
      </c>
      <c r="N378" s="100">
        <f>ROUND(L378*M378,2)</f>
        <v>15.35</v>
      </c>
      <c r="R378" s="102" t="s">
        <v>833</v>
      </c>
    </row>
    <row r="379" spans="1:28" x14ac:dyDescent="0.2">
      <c r="A379" s="89" t="s">
        <v>614</v>
      </c>
      <c r="B379" s="90">
        <f>IF($P$379&lt;&gt;"",ROUND(AA379*(($AB$379/(1-$P$379))-49.9396)/40.5353,2),IF('Resumen 2.0TD'!$D$3="OPTIMIZAR",ROUND(MAX(AA379,MIN(AA379*(($AB$379/(1-'Resumen 2.0TD'!$F$3))-49.9396)/40.5353,AA379*(193.0982)/40.5353)),3),AA379))</f>
        <v>490.17099999999999</v>
      </c>
      <c r="C379" s="103"/>
      <c r="D379" s="92">
        <v>0.11117100000000001</v>
      </c>
      <c r="E379" s="93">
        <v>0.13788</v>
      </c>
      <c r="F379" s="94">
        <f t="shared" si="71"/>
        <v>67.58</v>
      </c>
      <c r="H379" s="95">
        <v>540.20699999999999</v>
      </c>
      <c r="I379" s="96">
        <v>0.13788</v>
      </c>
      <c r="J379" s="97">
        <f>ROUND(H379*I379,2)</f>
        <v>74.48</v>
      </c>
      <c r="L379" s="98">
        <v>503</v>
      </c>
      <c r="M379" s="99">
        <v>0.13788</v>
      </c>
      <c r="N379" s="100">
        <f>ROUND(L379*M379,2)</f>
        <v>69.349999999999994</v>
      </c>
      <c r="O379" s="104" t="s">
        <v>615</v>
      </c>
      <c r="P379" s="67"/>
      <c r="R379" s="102" t="s">
        <v>834</v>
      </c>
      <c r="AA379">
        <v>293.99</v>
      </c>
      <c r="AB379">
        <f>B377*D377+B378*D378+AA379*D379+AA380*D380+AA381*D381</f>
        <v>82.267015290000018</v>
      </c>
    </row>
    <row r="380" spans="1:28" x14ac:dyDescent="0.2">
      <c r="A380" s="89" t="s">
        <v>617</v>
      </c>
      <c r="B380" s="90">
        <f>IF($P$379&lt;&gt;"",ROUND(AA380*(($AB$379/(1-$P$379))-49.9396)/40.5353,2),IF('Resumen 2.0TD'!$D$3="OPTIMIZAR",ROUND(MAX(AA380,MIN(AA380*(($AB$379/(1-'Resumen 2.0TD'!$F$3))-49.9396)/40.5353,AA380*(193.0982)/40.5353)),3),AA380))</f>
        <v>0</v>
      </c>
      <c r="C380" s="103"/>
      <c r="D380" s="92">
        <v>0.11117100000000001</v>
      </c>
      <c r="E380" s="93">
        <v>0</v>
      </c>
      <c r="F380" s="94">
        <f t="shared" si="71"/>
        <v>0</v>
      </c>
      <c r="H380" s="121"/>
      <c r="I380" s="121"/>
      <c r="J380" s="121"/>
      <c r="L380" s="119"/>
      <c r="M380" s="119"/>
      <c r="N380" s="119"/>
      <c r="O380" s="105" t="s">
        <v>618</v>
      </c>
      <c r="R380" s="102" t="s">
        <v>619</v>
      </c>
      <c r="AA380">
        <v>0</v>
      </c>
    </row>
    <row r="381" spans="1:28" x14ac:dyDescent="0.2">
      <c r="A381" s="89" t="s">
        <v>620</v>
      </c>
      <c r="B381" s="90">
        <f>IF($P$379&lt;&gt;"",ROUND(AA381*(($AB$379/(1-$P$379))-49.9396)/40.5353,2),IF('Resumen 2.0TD'!$D$3="OPTIMIZAR",ROUND(MAX(AA381,MIN(AA381*(($AB$379/(1-'Resumen 2.0TD'!$F$3))-49.9396)/40.5353,AA381*(193.0982)/40.5353)),3),AA381))</f>
        <v>0</v>
      </c>
      <c r="C381" s="103"/>
      <c r="D381" s="92">
        <v>0.11117100000000001</v>
      </c>
      <c r="E381" s="93">
        <v>0</v>
      </c>
      <c r="F381" s="94">
        <f t="shared" si="71"/>
        <v>0</v>
      </c>
      <c r="H381" s="121"/>
      <c r="I381" s="121"/>
      <c r="J381" s="121"/>
      <c r="L381" s="119"/>
      <c r="M381" s="119"/>
      <c r="N381" s="119"/>
      <c r="O381" s="105" t="s">
        <v>621</v>
      </c>
      <c r="AA381">
        <v>0</v>
      </c>
    </row>
    <row r="382" spans="1:28" x14ac:dyDescent="0.2">
      <c r="A382" s="89" t="s">
        <v>139</v>
      </c>
      <c r="B382" s="90">
        <v>0</v>
      </c>
      <c r="C382" s="91">
        <f>$N$374-$L$374+1</f>
        <v>30</v>
      </c>
      <c r="D382" s="92"/>
      <c r="E382" s="93">
        <v>0</v>
      </c>
      <c r="F382" s="94">
        <f t="shared" si="71"/>
        <v>0</v>
      </c>
      <c r="H382" s="121"/>
      <c r="I382" s="121"/>
      <c r="J382" s="121"/>
      <c r="L382" s="119"/>
      <c r="M382" s="119"/>
      <c r="N382" s="119"/>
    </row>
    <row r="383" spans="1:28" x14ac:dyDescent="0.2">
      <c r="A383" s="89" t="s">
        <v>140</v>
      </c>
      <c r="B383" s="90">
        <v>30</v>
      </c>
      <c r="C383" s="91">
        <f>$N$374-$L$374+1</f>
        <v>30</v>
      </c>
      <c r="D383" s="92">
        <v>0.5736</v>
      </c>
      <c r="E383" s="93">
        <v>1.274E-2</v>
      </c>
      <c r="F383" s="94">
        <f t="shared" si="71"/>
        <v>0.38</v>
      </c>
      <c r="H383" s="95">
        <v>30</v>
      </c>
      <c r="I383" s="96">
        <v>1.274E-2</v>
      </c>
      <c r="J383" s="97">
        <f>ROUND(H383*I383,2)</f>
        <v>0.38</v>
      </c>
      <c r="L383" s="98">
        <v>30</v>
      </c>
      <c r="M383" s="99">
        <v>6.2899999999999996E-3</v>
      </c>
      <c r="N383" s="100">
        <f>ROUND(L383*M383,2)</f>
        <v>0.19</v>
      </c>
    </row>
    <row r="384" spans="1:28" x14ac:dyDescent="0.2">
      <c r="A384" s="89" t="s">
        <v>141</v>
      </c>
      <c r="B384" s="90">
        <v>0</v>
      </c>
      <c r="C384" s="103"/>
      <c r="D384" s="92"/>
      <c r="E384" s="93">
        <v>0</v>
      </c>
      <c r="F384" s="94">
        <f t="shared" si="71"/>
        <v>0</v>
      </c>
      <c r="H384" s="121"/>
      <c r="I384" s="121"/>
      <c r="J384" s="121"/>
      <c r="L384" s="119"/>
      <c r="M384" s="119"/>
      <c r="N384" s="119"/>
    </row>
    <row r="385" spans="1:30" x14ac:dyDescent="0.2">
      <c r="A385" s="106" t="s">
        <v>142</v>
      </c>
      <c r="F385" s="107">
        <f>ROUND((SUM(F377:F384)-F384)*1.1+F384,2)</f>
        <v>129.69</v>
      </c>
      <c r="J385" s="108">
        <f>ROUND(SUM(J377:J384),2)</f>
        <v>124.8</v>
      </c>
      <c r="N385" s="109">
        <f>ROUND(SUM(N377:N384),2)</f>
        <v>123.01</v>
      </c>
    </row>
    <row r="386" spans="1:30" x14ac:dyDescent="0.2">
      <c r="A386" s="78" t="s">
        <v>143</v>
      </c>
      <c r="B386" s="110">
        <f>IF((F381+F380+F379+F377+F378)=0,"",((F381+F380+F379+F377+F378)-$AB$379)/(F381+F380+F379+F377+F378))</f>
        <v>0.29997434232471054</v>
      </c>
      <c r="D386" s="139" t="str">
        <f>IF(B386="","SIN PC",IF(B386&gt;=0.3,"APROBAR",IF(B386&gt;=0.2,"REVISAR","RECHAZAR")))</f>
        <v>REVISAR</v>
      </c>
      <c r="E386" s="139"/>
      <c r="F386" s="139"/>
      <c r="AD386">
        <f>SUM(F379:F381)-40.5353</f>
        <v>27.044699999999999</v>
      </c>
    </row>
    <row r="388" spans="1:30" x14ac:dyDescent="0.2">
      <c r="A388" s="137" t="s">
        <v>835</v>
      </c>
      <c r="B388" s="137"/>
      <c r="C388" s="137"/>
      <c r="D388" s="137"/>
      <c r="E388" s="137"/>
      <c r="F388" s="137"/>
      <c r="H388" s="137" t="s">
        <v>836</v>
      </c>
      <c r="I388" s="137"/>
      <c r="J388" s="137"/>
      <c r="K388" s="137"/>
      <c r="L388" s="76">
        <v>46113</v>
      </c>
      <c r="M388" s="77" t="s">
        <v>607</v>
      </c>
      <c r="N388" s="76">
        <v>46142</v>
      </c>
      <c r="R388" s="138" t="s">
        <v>110</v>
      </c>
      <c r="S388" s="138"/>
      <c r="T388" s="138"/>
      <c r="U388" s="138"/>
      <c r="V388" s="138"/>
    </row>
    <row r="389" spans="1:30" x14ac:dyDescent="0.2">
      <c r="A389" s="78" t="s">
        <v>111</v>
      </c>
      <c r="B389" s="79" t="s">
        <v>112</v>
      </c>
      <c r="C389" s="80"/>
      <c r="D389" s="80"/>
      <c r="E389" s="80"/>
      <c r="F389" s="80"/>
      <c r="H389" s="81" t="s">
        <v>837</v>
      </c>
      <c r="I389" s="82"/>
      <c r="J389" s="82"/>
      <c r="L389" s="83" t="s">
        <v>838</v>
      </c>
      <c r="M389" s="84"/>
      <c r="N389" s="84"/>
      <c r="R389" s="85" t="s">
        <v>839</v>
      </c>
    </row>
    <row r="390" spans="1:30" x14ac:dyDescent="0.2">
      <c r="B390" s="68" t="s">
        <v>116</v>
      </c>
      <c r="C390" s="68" t="s">
        <v>117</v>
      </c>
      <c r="D390" s="68" t="s">
        <v>118</v>
      </c>
      <c r="E390" s="68" t="s">
        <v>119</v>
      </c>
      <c r="F390" s="68" t="s">
        <v>120</v>
      </c>
      <c r="H390" s="86" t="s">
        <v>116</v>
      </c>
      <c r="I390" s="86" t="s">
        <v>119</v>
      </c>
      <c r="J390" s="86" t="s">
        <v>120</v>
      </c>
      <c r="L390" s="87" t="s">
        <v>116</v>
      </c>
      <c r="M390" s="87" t="s">
        <v>119</v>
      </c>
      <c r="N390" s="87" t="s">
        <v>120</v>
      </c>
      <c r="R390" s="88" t="s">
        <v>840</v>
      </c>
    </row>
    <row r="391" spans="1:30" x14ac:dyDescent="0.2">
      <c r="A391" s="89" t="s">
        <v>122</v>
      </c>
      <c r="B391" s="90">
        <v>6.9</v>
      </c>
      <c r="C391" s="91">
        <f>$N$388-$L$388+1</f>
        <v>30</v>
      </c>
      <c r="D391" s="92">
        <v>3.4085999999999999</v>
      </c>
      <c r="E391" s="93">
        <v>4.17</v>
      </c>
      <c r="F391" s="94">
        <f t="shared" ref="F391:F398" si="72">ROUND(B391*E391,2)</f>
        <v>28.77</v>
      </c>
      <c r="H391" s="95">
        <v>6.9</v>
      </c>
      <c r="I391" s="96">
        <v>4.17</v>
      </c>
      <c r="J391" s="97">
        <f t="shared" ref="J391:J398" si="73">ROUND(H391*I391,2)</f>
        <v>28.77</v>
      </c>
      <c r="L391" s="98">
        <v>6.9</v>
      </c>
      <c r="M391" s="99">
        <v>4.17</v>
      </c>
      <c r="N391" s="100">
        <f t="shared" ref="N391:N398" si="74">ROUND(L391*M391,2)</f>
        <v>28.77</v>
      </c>
      <c r="R391" s="101" t="s">
        <v>841</v>
      </c>
    </row>
    <row r="392" spans="1:30" x14ac:dyDescent="0.2">
      <c r="A392" s="89" t="s">
        <v>124</v>
      </c>
      <c r="B392" s="90">
        <v>6.9</v>
      </c>
      <c r="C392" s="91">
        <f>$N$388-$L$388+1</f>
        <v>30</v>
      </c>
      <c r="D392" s="92">
        <v>1.09728</v>
      </c>
      <c r="E392" s="93">
        <v>1.37</v>
      </c>
      <c r="F392" s="94">
        <f t="shared" si="72"/>
        <v>9.4499999999999993</v>
      </c>
      <c r="H392" s="95">
        <v>6.9</v>
      </c>
      <c r="I392" s="96">
        <v>1.37</v>
      </c>
      <c r="J392" s="97">
        <f t="shared" si="73"/>
        <v>9.4499999999999993</v>
      </c>
      <c r="L392" s="98">
        <v>6.9</v>
      </c>
      <c r="M392" s="99">
        <v>1.37</v>
      </c>
      <c r="N392" s="100">
        <f t="shared" si="74"/>
        <v>9.4499999999999993</v>
      </c>
      <c r="R392" s="102" t="s">
        <v>842</v>
      </c>
    </row>
    <row r="393" spans="1:30" x14ac:dyDescent="0.2">
      <c r="A393" s="89" t="s">
        <v>614</v>
      </c>
      <c r="B393" s="90">
        <f>IF($P$393&lt;&gt;"",ROUND(AA393*(($AB$393/(1-$P$393))-38.226)/21.8618,2),IF('Resumen 2.0TD'!$D$3="OPTIMIZAR",ROUND(MAX(AA393,MIN(AA393*(($AB$393/(1-'Resumen 2.0TD'!$F$3))-38.226)/21.8618,AA393*(721.8618)/21.8618)),3),AA393))</f>
        <v>45.247999999999998</v>
      </c>
      <c r="C393" s="103"/>
      <c r="D393" s="92">
        <v>0.110306</v>
      </c>
      <c r="E393" s="93">
        <v>0.14937</v>
      </c>
      <c r="F393" s="94">
        <f t="shared" si="72"/>
        <v>6.76</v>
      </c>
      <c r="H393" s="95">
        <v>458.11700000000002</v>
      </c>
      <c r="I393" s="96">
        <v>0.14937</v>
      </c>
      <c r="J393" s="97">
        <f t="shared" si="73"/>
        <v>68.430000000000007</v>
      </c>
      <c r="L393" s="98">
        <v>314.50599999999997</v>
      </c>
      <c r="M393" s="99">
        <v>0.14937</v>
      </c>
      <c r="N393" s="100">
        <f t="shared" si="74"/>
        <v>46.98</v>
      </c>
      <c r="O393" s="104" t="s">
        <v>615</v>
      </c>
      <c r="P393" s="67"/>
      <c r="R393" s="102" t="s">
        <v>843</v>
      </c>
      <c r="AA393">
        <v>33.816000000000003</v>
      </c>
      <c r="AB393">
        <f>B391*D391+B392*D392+AA393*D393+AA394*D394+AA395*D395</f>
        <v>47.234958159999998</v>
      </c>
    </row>
    <row r="394" spans="1:30" x14ac:dyDescent="0.2">
      <c r="A394" s="89" t="s">
        <v>617</v>
      </c>
      <c r="B394" s="90">
        <f>IF($P$393&lt;&gt;"",ROUND(AA394*(($AB$393/(1-$P$393))-38.226)/21.8618,2),IF('Resumen 2.0TD'!$D$3="OPTIMIZAR",ROUND(MAX(AA394,MIN(AA394*(($AB$393/(1-'Resumen 2.0TD'!$F$3))-38.226)/21.8618,AA394*(721.8618)/21.8618)),3),AA394))</f>
        <v>33.658999999999999</v>
      </c>
      <c r="C394" s="103"/>
      <c r="D394" s="92">
        <v>0.110306</v>
      </c>
      <c r="E394" s="93">
        <v>0.14937</v>
      </c>
      <c r="F394" s="94">
        <f t="shared" si="72"/>
        <v>5.03</v>
      </c>
      <c r="H394" s="95">
        <v>441.22800000000001</v>
      </c>
      <c r="I394" s="96">
        <v>0.14937</v>
      </c>
      <c r="J394" s="97">
        <f t="shared" si="73"/>
        <v>65.91</v>
      </c>
      <c r="L394" s="98">
        <v>462.70800000000003</v>
      </c>
      <c r="M394" s="99">
        <v>0.14937</v>
      </c>
      <c r="N394" s="100">
        <f t="shared" si="74"/>
        <v>69.11</v>
      </c>
      <c r="O394" s="105" t="s">
        <v>618</v>
      </c>
      <c r="R394" s="102" t="s">
        <v>619</v>
      </c>
      <c r="AA394">
        <v>25.155000000000001</v>
      </c>
    </row>
    <row r="395" spans="1:30" x14ac:dyDescent="0.2">
      <c r="A395" s="89" t="s">
        <v>620</v>
      </c>
      <c r="B395" s="90">
        <f>IF($P$393&lt;&gt;"",ROUND(AA395*(($AB$393/(1-$P$393))-38.226)/21.8618,2),IF('Resumen 2.0TD'!$D$3="OPTIMIZAR",ROUND(MAX(AA395,MIN(AA395*(($AB$393/(1-'Resumen 2.0TD'!$F$3))-38.226)/21.8618,AA395*(721.8618)/21.8618)),3),AA395))</f>
        <v>116.932</v>
      </c>
      <c r="C395" s="103"/>
      <c r="D395" s="92">
        <v>0.110306</v>
      </c>
      <c r="E395" s="93">
        <v>0.14937</v>
      </c>
      <c r="F395" s="94">
        <f t="shared" si="72"/>
        <v>17.47</v>
      </c>
      <c r="H395" s="95">
        <v>967.32899999999995</v>
      </c>
      <c r="I395" s="96">
        <v>0.14937</v>
      </c>
      <c r="J395" s="97">
        <f t="shared" si="73"/>
        <v>144.49</v>
      </c>
      <c r="L395" s="98">
        <v>906.13199999999995</v>
      </c>
      <c r="M395" s="99">
        <v>0.14937</v>
      </c>
      <c r="N395" s="100">
        <f t="shared" si="74"/>
        <v>135.35</v>
      </c>
      <c r="O395" s="105" t="s">
        <v>621</v>
      </c>
      <c r="AA395">
        <v>87.388999999999996</v>
      </c>
    </row>
    <row r="396" spans="1:30" x14ac:dyDescent="0.2">
      <c r="A396" s="89" t="s">
        <v>139</v>
      </c>
      <c r="B396" s="90">
        <v>1</v>
      </c>
      <c r="C396" s="91">
        <f>$N$388-$L$388+1</f>
        <v>30</v>
      </c>
      <c r="D396" s="92">
        <v>0.79890000000000005</v>
      </c>
      <c r="E396" s="93">
        <v>4</v>
      </c>
      <c r="F396" s="94">
        <f t="shared" si="72"/>
        <v>4</v>
      </c>
      <c r="H396" s="95">
        <v>1</v>
      </c>
      <c r="I396" s="96">
        <v>4</v>
      </c>
      <c r="J396" s="97">
        <f t="shared" si="73"/>
        <v>4</v>
      </c>
      <c r="L396" s="98">
        <v>1</v>
      </c>
      <c r="M396" s="99">
        <v>4</v>
      </c>
      <c r="N396" s="100">
        <f t="shared" si="74"/>
        <v>4</v>
      </c>
    </row>
    <row r="397" spans="1:30" x14ac:dyDescent="0.2">
      <c r="A397" s="89" t="s">
        <v>140</v>
      </c>
      <c r="B397" s="90">
        <v>30</v>
      </c>
      <c r="C397" s="91">
        <f>$N$388-$L$388+1</f>
        <v>30</v>
      </c>
      <c r="D397" s="92">
        <v>0.5736</v>
      </c>
      <c r="E397" s="93">
        <v>1.274E-2</v>
      </c>
      <c r="F397" s="94">
        <f t="shared" si="72"/>
        <v>0.38</v>
      </c>
      <c r="H397" s="95">
        <v>30</v>
      </c>
      <c r="I397" s="96">
        <v>1.274E-2</v>
      </c>
      <c r="J397" s="97">
        <f t="shared" si="73"/>
        <v>0.38</v>
      </c>
      <c r="L397" s="98">
        <v>30</v>
      </c>
      <c r="M397" s="99">
        <v>6.2899999999999996E-3</v>
      </c>
      <c r="N397" s="100">
        <f t="shared" si="74"/>
        <v>0.19</v>
      </c>
    </row>
    <row r="398" spans="1:30" x14ac:dyDescent="0.2">
      <c r="A398" s="89" t="s">
        <v>141</v>
      </c>
      <c r="B398" s="90">
        <v>3.06</v>
      </c>
      <c r="C398" s="103"/>
      <c r="D398" s="92">
        <v>0.24729000000000001</v>
      </c>
      <c r="E398" s="93">
        <v>1</v>
      </c>
      <c r="F398" s="94">
        <f t="shared" si="72"/>
        <v>3.06</v>
      </c>
      <c r="H398" s="95">
        <v>16.12</v>
      </c>
      <c r="I398" s="96">
        <v>1</v>
      </c>
      <c r="J398" s="97">
        <f t="shared" si="73"/>
        <v>16.12</v>
      </c>
      <c r="L398" s="98">
        <v>15.43</v>
      </c>
      <c r="M398" s="99">
        <v>1</v>
      </c>
      <c r="N398" s="100">
        <f t="shared" si="74"/>
        <v>15.43</v>
      </c>
    </row>
    <row r="399" spans="1:30" x14ac:dyDescent="0.2">
      <c r="A399" s="106" t="s">
        <v>142</v>
      </c>
      <c r="F399" s="107">
        <f>ROUND((SUM(F391:F398)-F398)*1.1+F398,2)</f>
        <v>82.11</v>
      </c>
      <c r="J399" s="108">
        <f>ROUND(SUM(J391:J398),2)</f>
        <v>337.55</v>
      </c>
      <c r="N399" s="109">
        <f>ROUND(SUM(N391:N398),2)</f>
        <v>309.27999999999997</v>
      </c>
    </row>
    <row r="400" spans="1:30" x14ac:dyDescent="0.2">
      <c r="A400" s="78" t="s">
        <v>143</v>
      </c>
      <c r="B400" s="110">
        <f>IF((F395+F394+F393+F391+F392)=0,"",((F395+F394+F393+F391+F392)-$AB$393)/(F395+F394+F393+F391+F392))</f>
        <v>0.30001543924125673</v>
      </c>
      <c r="D400" s="139" t="str">
        <f>IF(B400="","SIN PC",IF(B400&gt;=0.3,"APROBAR",IF(B400&gt;=0.2,"REVISAR","RECHAZAR")))</f>
        <v>APROBAR</v>
      </c>
      <c r="E400" s="139"/>
      <c r="F400" s="139"/>
      <c r="AD400">
        <f>SUM(F393:F395)-21.8618</f>
        <v>7.3981999999999992</v>
      </c>
    </row>
    <row r="401" spans="1:28" x14ac:dyDescent="0.2">
      <c r="A401" s="140" t="s">
        <v>743</v>
      </c>
      <c r="B401" s="140"/>
      <c r="C401" s="140"/>
      <c r="D401" s="140"/>
      <c r="E401" s="140"/>
      <c r="F401" s="140"/>
    </row>
    <row r="402" spans="1:28" x14ac:dyDescent="0.2">
      <c r="A402" s="111" t="s">
        <v>111</v>
      </c>
      <c r="B402" s="111" t="s">
        <v>744</v>
      </c>
      <c r="D402" s="111" t="s">
        <v>745</v>
      </c>
      <c r="E402" s="111" t="s">
        <v>746</v>
      </c>
      <c r="F402" s="111" t="s">
        <v>120</v>
      </c>
    </row>
    <row r="403" spans="1:28" x14ac:dyDescent="0.2">
      <c r="A403" s="112" t="s">
        <v>747</v>
      </c>
      <c r="B403" s="113">
        <v>23</v>
      </c>
      <c r="C403" s="114"/>
      <c r="D403" s="92">
        <v>0.06</v>
      </c>
      <c r="E403" s="114"/>
      <c r="F403" s="115">
        <f>ROUND(B403*D403,2)</f>
        <v>1.38</v>
      </c>
      <c r="H403" s="122" t="s">
        <v>844</v>
      </c>
    </row>
    <row r="404" spans="1:28" x14ac:dyDescent="0.2">
      <c r="A404" s="112" t="s">
        <v>748</v>
      </c>
      <c r="B404" s="114"/>
      <c r="C404" s="114"/>
      <c r="D404" s="114"/>
      <c r="E404" s="116">
        <v>0.06</v>
      </c>
      <c r="F404" s="115">
        <v>0.31</v>
      </c>
    </row>
    <row r="405" spans="1:28" x14ac:dyDescent="0.2">
      <c r="A405" s="117" t="s">
        <v>749</v>
      </c>
      <c r="B405" s="114"/>
      <c r="C405" s="114"/>
      <c r="D405" s="114"/>
      <c r="E405" s="114"/>
      <c r="F405" s="118">
        <f>F403-F404</f>
        <v>1.0699999999999998</v>
      </c>
    </row>
    <row r="407" spans="1:28" x14ac:dyDescent="0.2">
      <c r="A407" s="137" t="s">
        <v>845</v>
      </c>
      <c r="B407" s="137"/>
      <c r="C407" s="137"/>
      <c r="D407" s="137"/>
      <c r="E407" s="137"/>
      <c r="F407" s="137"/>
      <c r="H407" s="137" t="s">
        <v>846</v>
      </c>
      <c r="I407" s="137"/>
      <c r="J407" s="137"/>
      <c r="K407" s="137"/>
      <c r="L407" s="76">
        <v>46113</v>
      </c>
      <c r="M407" s="77" t="s">
        <v>607</v>
      </c>
      <c r="N407" s="76">
        <v>46142</v>
      </c>
      <c r="R407" s="138" t="s">
        <v>110</v>
      </c>
      <c r="S407" s="138"/>
      <c r="T407" s="138"/>
      <c r="U407" s="138"/>
      <c r="V407" s="138"/>
    </row>
    <row r="408" spans="1:28" x14ac:dyDescent="0.2">
      <c r="A408" s="78" t="s">
        <v>111</v>
      </c>
      <c r="B408" s="79" t="s">
        <v>112</v>
      </c>
      <c r="C408" s="80"/>
      <c r="D408" s="80"/>
      <c r="E408" s="80"/>
      <c r="F408" s="80"/>
      <c r="H408" s="81" t="s">
        <v>847</v>
      </c>
      <c r="I408" s="82"/>
      <c r="J408" s="82"/>
      <c r="L408" s="83" t="s">
        <v>848</v>
      </c>
      <c r="M408" s="84"/>
      <c r="N408" s="84"/>
      <c r="R408" s="85" t="s">
        <v>849</v>
      </c>
    </row>
    <row r="409" spans="1:28" x14ac:dyDescent="0.2">
      <c r="B409" s="68" t="s">
        <v>116</v>
      </c>
      <c r="C409" s="68" t="s">
        <v>117</v>
      </c>
      <c r="D409" s="68" t="s">
        <v>118</v>
      </c>
      <c r="E409" s="68" t="s">
        <v>119</v>
      </c>
      <c r="F409" s="68" t="s">
        <v>120</v>
      </c>
      <c r="H409" s="86" t="s">
        <v>116</v>
      </c>
      <c r="I409" s="86" t="s">
        <v>119</v>
      </c>
      <c r="J409" s="86" t="s">
        <v>120</v>
      </c>
      <c r="L409" s="87" t="s">
        <v>116</v>
      </c>
      <c r="M409" s="87" t="s">
        <v>119</v>
      </c>
      <c r="N409" s="87" t="s">
        <v>120</v>
      </c>
      <c r="R409" s="88" t="s">
        <v>850</v>
      </c>
    </row>
    <row r="410" spans="1:28" x14ac:dyDescent="0.2">
      <c r="A410" s="89" t="s">
        <v>122</v>
      </c>
      <c r="B410" s="90">
        <v>8.3000000000000007</v>
      </c>
      <c r="C410" s="91">
        <f>$N$407-$L$407+1</f>
        <v>30</v>
      </c>
      <c r="D410" s="92">
        <v>3.3450000000000002</v>
      </c>
      <c r="E410" s="93">
        <v>3.85</v>
      </c>
      <c r="F410" s="94">
        <f t="shared" ref="F410:F417" si="75">ROUND(B410*E410,2)</f>
        <v>31.96</v>
      </c>
      <c r="H410" s="95">
        <v>8.3000000000000007</v>
      </c>
      <c r="I410" s="96">
        <v>3.85</v>
      </c>
      <c r="J410" s="97">
        <f t="shared" ref="J410:J417" si="76">ROUND(H410*I410,2)</f>
        <v>31.96</v>
      </c>
      <c r="L410" s="98">
        <v>8.3000000000000007</v>
      </c>
      <c r="M410" s="99">
        <v>3.85</v>
      </c>
      <c r="N410" s="100">
        <f t="shared" ref="N410:N417" si="77">ROUND(L410*M410,2)</f>
        <v>31.96</v>
      </c>
      <c r="R410" s="101" t="s">
        <v>851</v>
      </c>
    </row>
    <row r="411" spans="1:28" x14ac:dyDescent="0.2">
      <c r="A411" s="89" t="s">
        <v>124</v>
      </c>
      <c r="B411" s="90">
        <v>8.3000000000000007</v>
      </c>
      <c r="C411" s="91">
        <f>$N$407-$L$407+1</f>
        <v>30</v>
      </c>
      <c r="D411" s="92">
        <v>1.095</v>
      </c>
      <c r="E411" s="93">
        <v>1.33</v>
      </c>
      <c r="F411" s="94">
        <f t="shared" si="75"/>
        <v>11.04</v>
      </c>
      <c r="H411" s="95">
        <v>8.3000000000000007</v>
      </c>
      <c r="I411" s="96">
        <v>1.33</v>
      </c>
      <c r="J411" s="97">
        <f t="shared" si="76"/>
        <v>11.04</v>
      </c>
      <c r="L411" s="98">
        <v>8.3000000000000007</v>
      </c>
      <c r="M411" s="99">
        <v>1.33</v>
      </c>
      <c r="N411" s="100">
        <f t="shared" si="77"/>
        <v>11.04</v>
      </c>
      <c r="R411" s="102" t="s">
        <v>852</v>
      </c>
    </row>
    <row r="412" spans="1:28" x14ac:dyDescent="0.2">
      <c r="A412" s="89" t="s">
        <v>614</v>
      </c>
      <c r="B412" s="90">
        <f>IF($P$412&lt;&gt;"",ROUND(AA412*(($AB$412/(1-$P$412))-42.994)/74.5127,2),IF('Resumen 2.0TD'!$D$3="OPTIMIZAR",ROUND(MAX(AA412,MIN(AA412*(($AB$412/(1-'Resumen 2.0TD'!$F$3))-42.994)/74.5127,AA412*(699.0938)/74.5127)),3),AA412))</f>
        <v>131.51499999999999</v>
      </c>
      <c r="C412" s="103"/>
      <c r="D412" s="92">
        <v>0.109</v>
      </c>
      <c r="E412" s="93">
        <v>0.13788</v>
      </c>
      <c r="F412" s="94">
        <f t="shared" si="75"/>
        <v>18.13</v>
      </c>
      <c r="H412" s="95">
        <v>5.9290000000000003</v>
      </c>
      <c r="I412" s="96">
        <v>0.13788</v>
      </c>
      <c r="J412" s="97">
        <f t="shared" si="76"/>
        <v>0.82</v>
      </c>
      <c r="L412" s="98">
        <v>120.235</v>
      </c>
      <c r="M412" s="99">
        <v>0.13788</v>
      </c>
      <c r="N412" s="100">
        <f t="shared" si="77"/>
        <v>16.579999999999998</v>
      </c>
      <c r="O412" s="104" t="s">
        <v>615</v>
      </c>
      <c r="P412" s="67"/>
      <c r="R412" s="102" t="s">
        <v>853</v>
      </c>
      <c r="AA412">
        <v>104.47</v>
      </c>
      <c r="AB412">
        <f>B410*D410+B411*D411+AA412*D412+AA413*D413+AA414*D414</f>
        <v>95.757452999999998</v>
      </c>
    </row>
    <row r="413" spans="1:28" x14ac:dyDescent="0.2">
      <c r="A413" s="89" t="s">
        <v>617</v>
      </c>
      <c r="B413" s="90">
        <f>IF($P$412&lt;&gt;"",ROUND(AA413*(($AB$412/(1-$P$412))-42.994)/74.5127,2),IF('Resumen 2.0TD'!$D$3="OPTIMIZAR",ROUND(MAX(AA413,MIN(AA413*(($AB$412/(1-'Resumen 2.0TD'!$F$3))-42.994)/74.5127,AA413*(699.0938)/74.5127)),3),AA413))</f>
        <v>106.71899999999999</v>
      </c>
      <c r="C413" s="103"/>
      <c r="D413" s="92">
        <v>0.109</v>
      </c>
      <c r="E413" s="93">
        <v>0.13788</v>
      </c>
      <c r="F413" s="94">
        <f t="shared" si="75"/>
        <v>14.71</v>
      </c>
      <c r="H413" s="95">
        <v>3.883</v>
      </c>
      <c r="I413" s="96">
        <v>0.13788</v>
      </c>
      <c r="J413" s="97">
        <f t="shared" si="76"/>
        <v>0.54</v>
      </c>
      <c r="L413" s="98">
        <v>77.48</v>
      </c>
      <c r="M413" s="99">
        <v>0.13788</v>
      </c>
      <c r="N413" s="100">
        <f t="shared" si="77"/>
        <v>10.68</v>
      </c>
      <c r="O413" s="105" t="s">
        <v>618</v>
      </c>
      <c r="R413" s="102" t="s">
        <v>619</v>
      </c>
      <c r="AA413">
        <v>84.772999999999996</v>
      </c>
    </row>
    <row r="414" spans="1:28" x14ac:dyDescent="0.2">
      <c r="A414" s="89" t="s">
        <v>620</v>
      </c>
      <c r="B414" s="90">
        <f>IF($P$412&lt;&gt;"",ROUND(AA414*(($AB$412/(1-$P$412))-42.994)/74.5127,2),IF('Resumen 2.0TD'!$D$3="OPTIMIZAR",ROUND(MAX(AA414,MIN(AA414*(($AB$412/(1-'Resumen 2.0TD'!$F$3))-42.994)/74.5127,AA414*(699.0938)/74.5127)),3),AA414))</f>
        <v>442.08499999999998</v>
      </c>
      <c r="C414" s="103"/>
      <c r="D414" s="92">
        <v>0.109</v>
      </c>
      <c r="E414" s="93">
        <v>0.13788</v>
      </c>
      <c r="F414" s="94">
        <f t="shared" si="75"/>
        <v>60.95</v>
      </c>
      <c r="H414" s="95">
        <v>19.318999999999999</v>
      </c>
      <c r="I414" s="96">
        <v>0.13788</v>
      </c>
      <c r="J414" s="97">
        <f t="shared" si="76"/>
        <v>2.66</v>
      </c>
      <c r="L414" s="98">
        <v>304.41000000000003</v>
      </c>
      <c r="M414" s="99">
        <v>0.13788</v>
      </c>
      <c r="N414" s="100">
        <f t="shared" si="77"/>
        <v>41.97</v>
      </c>
      <c r="O414" s="105" t="s">
        <v>621</v>
      </c>
      <c r="AA414">
        <v>351.17399999999998</v>
      </c>
    </row>
    <row r="415" spans="1:28" x14ac:dyDescent="0.2">
      <c r="A415" s="89" t="s">
        <v>139</v>
      </c>
      <c r="B415" s="90">
        <v>1</v>
      </c>
      <c r="C415" s="91">
        <f>$N$407-$L$407+1</f>
        <v>30</v>
      </c>
      <c r="D415" s="92">
        <v>1.3413999999999999</v>
      </c>
      <c r="E415" s="93">
        <v>3</v>
      </c>
      <c r="F415" s="94">
        <f t="shared" si="75"/>
        <v>3</v>
      </c>
      <c r="H415" s="95">
        <v>1</v>
      </c>
      <c r="I415" s="96">
        <v>3</v>
      </c>
      <c r="J415" s="97">
        <f t="shared" si="76"/>
        <v>3</v>
      </c>
      <c r="L415" s="98">
        <v>1</v>
      </c>
      <c r="M415" s="99">
        <v>3</v>
      </c>
      <c r="N415" s="100">
        <f t="shared" si="77"/>
        <v>3</v>
      </c>
    </row>
    <row r="416" spans="1:28" x14ac:dyDescent="0.2">
      <c r="A416" s="89" t="s">
        <v>140</v>
      </c>
      <c r="B416" s="90">
        <v>30</v>
      </c>
      <c r="C416" s="91">
        <f>$N$407-$L$407+1</f>
        <v>30</v>
      </c>
      <c r="D416" s="92">
        <v>0.5736</v>
      </c>
      <c r="E416" s="93">
        <v>1.274E-2</v>
      </c>
      <c r="F416" s="94">
        <f t="shared" si="75"/>
        <v>0.38</v>
      </c>
      <c r="H416" s="95">
        <v>30</v>
      </c>
      <c r="I416" s="96">
        <v>1.274E-2</v>
      </c>
      <c r="J416" s="97">
        <f t="shared" si="76"/>
        <v>0.38</v>
      </c>
      <c r="L416" s="98">
        <v>30</v>
      </c>
      <c r="M416" s="99">
        <v>6.2899999999999996E-3</v>
      </c>
      <c r="N416" s="100">
        <f t="shared" si="77"/>
        <v>0.19</v>
      </c>
    </row>
    <row r="417" spans="1:30" x14ac:dyDescent="0.2">
      <c r="A417" s="89" t="s">
        <v>141</v>
      </c>
      <c r="B417" s="90">
        <v>5.25</v>
      </c>
      <c r="C417" s="103"/>
      <c r="D417" s="92">
        <v>0.24371999999999999</v>
      </c>
      <c r="E417" s="93">
        <v>1</v>
      </c>
      <c r="F417" s="94">
        <f t="shared" si="75"/>
        <v>5.25</v>
      </c>
      <c r="H417" s="95">
        <v>2.21</v>
      </c>
      <c r="I417" s="96">
        <v>1</v>
      </c>
      <c r="J417" s="97">
        <f t="shared" si="76"/>
        <v>2.21</v>
      </c>
      <c r="L417" s="98">
        <v>4.54</v>
      </c>
      <c r="M417" s="99">
        <v>1</v>
      </c>
      <c r="N417" s="100">
        <f t="shared" si="77"/>
        <v>4.54</v>
      </c>
    </row>
    <row r="418" spans="1:30" x14ac:dyDescent="0.2">
      <c r="A418" s="106" t="s">
        <v>142</v>
      </c>
      <c r="F418" s="107">
        <f>ROUND((SUM(F410:F417)-F417)*1.1+F417,2)</f>
        <v>159.44</v>
      </c>
      <c r="J418" s="108">
        <f>ROUND(SUM(J410:J417),2)</f>
        <v>52.61</v>
      </c>
      <c r="N418" s="109">
        <f>ROUND(SUM(N410:N417),2)</f>
        <v>119.96</v>
      </c>
    </row>
    <row r="419" spans="1:30" x14ac:dyDescent="0.2">
      <c r="A419" s="78" t="s">
        <v>143</v>
      </c>
      <c r="B419" s="110">
        <f>IF((F414+F413+F412+F410+F411)=0,"",((F414+F413+F412+F410+F411)-$AB$412)/(F414+F413+F412+F410+F411))</f>
        <v>0.2999674464507639</v>
      </c>
      <c r="D419" s="139" t="str">
        <f>IF(B419="","SIN PC",IF(B419&gt;=0.3,"APROBAR",IF(B419&gt;=0.2,"REVISAR","RECHAZAR")))</f>
        <v>REVISAR</v>
      </c>
      <c r="E419" s="139"/>
      <c r="F419" s="139"/>
      <c r="AD419">
        <f>SUM(F412:F414)-74.5127</f>
        <v>19.277300000000011</v>
      </c>
    </row>
    <row r="420" spans="1:30" x14ac:dyDescent="0.2">
      <c r="A420" s="140" t="s">
        <v>743</v>
      </c>
      <c r="B420" s="140"/>
      <c r="C420" s="140"/>
      <c r="D420" s="140"/>
      <c r="E420" s="140"/>
      <c r="F420" s="140"/>
    </row>
    <row r="421" spans="1:30" x14ac:dyDescent="0.2">
      <c r="A421" s="111" t="s">
        <v>111</v>
      </c>
      <c r="B421" s="111" t="s">
        <v>744</v>
      </c>
      <c r="D421" s="111" t="s">
        <v>745</v>
      </c>
      <c r="E421" s="111" t="s">
        <v>746</v>
      </c>
      <c r="F421" s="111" t="s">
        <v>120</v>
      </c>
    </row>
    <row r="422" spans="1:30" x14ac:dyDescent="0.2">
      <c r="A422" s="112" t="s">
        <v>747</v>
      </c>
      <c r="B422" s="113">
        <v>336</v>
      </c>
      <c r="C422" s="114"/>
      <c r="D422" s="92">
        <v>0.06</v>
      </c>
      <c r="E422" s="114"/>
      <c r="F422" s="115">
        <f>ROUND(B422*D422,2)</f>
        <v>20.16</v>
      </c>
    </row>
    <row r="423" spans="1:30" x14ac:dyDescent="0.2">
      <c r="A423" s="112" t="s">
        <v>748</v>
      </c>
      <c r="B423" s="114"/>
      <c r="C423" s="114"/>
      <c r="D423" s="114"/>
      <c r="E423" s="116">
        <v>0.1</v>
      </c>
      <c r="F423" s="115">
        <v>14.87</v>
      </c>
    </row>
    <row r="424" spans="1:30" x14ac:dyDescent="0.2">
      <c r="A424" s="117" t="s">
        <v>749</v>
      </c>
      <c r="B424" s="114"/>
      <c r="C424" s="114"/>
      <c r="D424" s="114"/>
      <c r="E424" s="114"/>
      <c r="F424" s="118">
        <f>F422-F423</f>
        <v>5.2900000000000009</v>
      </c>
    </row>
    <row r="426" spans="1:30" x14ac:dyDescent="0.2">
      <c r="A426" s="137" t="s">
        <v>854</v>
      </c>
      <c r="B426" s="137"/>
      <c r="C426" s="137"/>
      <c r="D426" s="137"/>
      <c r="E426" s="137"/>
      <c r="F426" s="137"/>
      <c r="H426" s="137" t="s">
        <v>818</v>
      </c>
      <c r="I426" s="137"/>
      <c r="J426" s="137"/>
      <c r="K426" s="137"/>
      <c r="L426" s="76">
        <v>46113</v>
      </c>
      <c r="M426" s="77" t="s">
        <v>607</v>
      </c>
      <c r="N426" s="76">
        <v>46142</v>
      </c>
      <c r="R426" s="138" t="s">
        <v>110</v>
      </c>
      <c r="S426" s="138"/>
      <c r="T426" s="138"/>
      <c r="U426" s="138"/>
      <c r="V426" s="138"/>
    </row>
    <row r="427" spans="1:30" x14ac:dyDescent="0.2">
      <c r="A427" s="78" t="s">
        <v>111</v>
      </c>
      <c r="B427" s="79" t="s">
        <v>112</v>
      </c>
      <c r="C427" s="80"/>
      <c r="D427" s="80"/>
      <c r="E427" s="80"/>
      <c r="F427" s="80"/>
      <c r="H427" s="81" t="s">
        <v>819</v>
      </c>
      <c r="I427" s="82"/>
      <c r="J427" s="82"/>
      <c r="L427" s="83" t="s">
        <v>820</v>
      </c>
      <c r="M427" s="84"/>
      <c r="N427" s="84"/>
      <c r="R427" s="85" t="s">
        <v>821</v>
      </c>
    </row>
    <row r="428" spans="1:30" x14ac:dyDescent="0.2">
      <c r="B428" s="68" t="s">
        <v>116</v>
      </c>
      <c r="C428" s="68" t="s">
        <v>117</v>
      </c>
      <c r="D428" s="68" t="s">
        <v>118</v>
      </c>
      <c r="E428" s="68" t="s">
        <v>119</v>
      </c>
      <c r="F428" s="68" t="s">
        <v>120</v>
      </c>
      <c r="H428" s="86" t="s">
        <v>116</v>
      </c>
      <c r="I428" s="86" t="s">
        <v>119</v>
      </c>
      <c r="J428" s="86" t="s">
        <v>120</v>
      </c>
      <c r="L428" s="87" t="s">
        <v>116</v>
      </c>
      <c r="M428" s="87" t="s">
        <v>119</v>
      </c>
      <c r="N428" s="87" t="s">
        <v>120</v>
      </c>
      <c r="R428" s="88" t="s">
        <v>822</v>
      </c>
    </row>
    <row r="429" spans="1:30" x14ac:dyDescent="0.2">
      <c r="A429" s="89" t="s">
        <v>122</v>
      </c>
      <c r="B429" s="90">
        <v>6.93</v>
      </c>
      <c r="C429" s="91">
        <f>$N$426-$L$426+1</f>
        <v>30</v>
      </c>
      <c r="D429" s="92">
        <v>3.4085999999999999</v>
      </c>
      <c r="E429" s="93">
        <v>4.17</v>
      </c>
      <c r="F429" s="94">
        <f t="shared" ref="F429:F436" si="78">ROUND(B429*E429,2)</f>
        <v>28.9</v>
      </c>
      <c r="H429" s="95">
        <v>6.93</v>
      </c>
      <c r="I429" s="96">
        <v>4.17</v>
      </c>
      <c r="J429" s="97">
        <f t="shared" ref="J429:J436" si="79">ROUND(H429*I429,2)</f>
        <v>28.9</v>
      </c>
      <c r="L429" s="98">
        <v>6.93</v>
      </c>
      <c r="M429" s="99">
        <v>4.17</v>
      </c>
      <c r="N429" s="100">
        <f t="shared" ref="N429:N436" si="80">ROUND(L429*M429,2)</f>
        <v>28.9</v>
      </c>
      <c r="R429" s="101" t="s">
        <v>823</v>
      </c>
    </row>
    <row r="430" spans="1:30" x14ac:dyDescent="0.2">
      <c r="A430" s="89" t="s">
        <v>124</v>
      </c>
      <c r="B430" s="90">
        <v>6.93</v>
      </c>
      <c r="C430" s="91">
        <f>$N$426-$L$426+1</f>
        <v>30</v>
      </c>
      <c r="D430" s="92">
        <v>1.09728</v>
      </c>
      <c r="E430" s="93">
        <v>1.37</v>
      </c>
      <c r="F430" s="94">
        <f t="shared" si="78"/>
        <v>9.49</v>
      </c>
      <c r="H430" s="95">
        <v>6.93</v>
      </c>
      <c r="I430" s="96">
        <v>1.37</v>
      </c>
      <c r="J430" s="97">
        <f t="shared" si="79"/>
        <v>9.49</v>
      </c>
      <c r="L430" s="98">
        <v>6.93</v>
      </c>
      <c r="M430" s="99">
        <v>1.37</v>
      </c>
      <c r="N430" s="100">
        <f t="shared" si="80"/>
        <v>9.49</v>
      </c>
      <c r="R430" s="102" t="s">
        <v>824</v>
      </c>
    </row>
    <row r="431" spans="1:30" x14ac:dyDescent="0.2">
      <c r="A431" s="89" t="s">
        <v>614</v>
      </c>
      <c r="B431" s="90">
        <f>IF($P$431&lt;&gt;"",ROUND(AA431*(($AB$431/(1-$P$431))-38.3922)/46.6496,2),IF('Resumen 2.0TD'!$D$3="OPTIMIZAR",ROUND(MAX(AA431,MIN(AA431*(($AB$431/(1-'Resumen 2.0TD'!$F$3))-38.3922)/46.6496,AA431*(155.7556)/46.6496)),3),AA431))</f>
        <v>77.304000000000002</v>
      </c>
      <c r="C431" s="103"/>
      <c r="D431" s="92">
        <v>0.110306</v>
      </c>
      <c r="E431" s="93">
        <v>0.14937</v>
      </c>
      <c r="F431" s="94">
        <f t="shared" si="78"/>
        <v>11.55</v>
      </c>
      <c r="H431" s="95">
        <v>151.137</v>
      </c>
      <c r="I431" s="96">
        <v>0.14937</v>
      </c>
      <c r="J431" s="97">
        <f t="shared" si="79"/>
        <v>22.58</v>
      </c>
      <c r="L431" s="98">
        <v>27.198</v>
      </c>
      <c r="M431" s="99">
        <v>0.14937</v>
      </c>
      <c r="N431" s="100">
        <f t="shared" si="80"/>
        <v>4.0599999999999996</v>
      </c>
      <c r="O431" s="104" t="s">
        <v>615</v>
      </c>
      <c r="P431" s="67"/>
      <c r="R431" s="102" t="s">
        <v>825</v>
      </c>
      <c r="AA431">
        <v>65.058999999999997</v>
      </c>
      <c r="AB431">
        <f>B429*D429+B430*D430+AA431*D431+AA432*D432+AA433*D433</f>
        <v>65.675304954000012</v>
      </c>
    </row>
    <row r="432" spans="1:30" x14ac:dyDescent="0.2">
      <c r="A432" s="89" t="s">
        <v>617</v>
      </c>
      <c r="B432" s="90">
        <f>IF($P$431&lt;&gt;"",ROUND(AA432*(($AB$431/(1-$P$431))-38.3922)/46.6496,2),IF('Resumen 2.0TD'!$D$3="OPTIMIZAR",ROUND(MAX(AA432,MIN(AA432*(($AB$431/(1-'Resumen 2.0TD'!$F$3))-38.3922)/46.6496,AA432*(155.7556)/46.6496)),3),AA432))</f>
        <v>49.866999999999997</v>
      </c>
      <c r="C432" s="103"/>
      <c r="D432" s="92">
        <v>0.110306</v>
      </c>
      <c r="E432" s="93">
        <v>0.14937</v>
      </c>
      <c r="F432" s="94">
        <f t="shared" si="78"/>
        <v>7.45</v>
      </c>
      <c r="H432" s="95">
        <v>123.193</v>
      </c>
      <c r="I432" s="96">
        <v>0.14937</v>
      </c>
      <c r="J432" s="97">
        <f t="shared" si="79"/>
        <v>18.399999999999999</v>
      </c>
      <c r="L432" s="98">
        <v>22.981000000000002</v>
      </c>
      <c r="M432" s="99">
        <v>0.14937</v>
      </c>
      <c r="N432" s="100">
        <f t="shared" si="80"/>
        <v>3.43</v>
      </c>
      <c r="O432" s="105" t="s">
        <v>618</v>
      </c>
      <c r="R432" s="102" t="s">
        <v>619</v>
      </c>
      <c r="AA432">
        <v>41.968000000000004</v>
      </c>
    </row>
    <row r="433" spans="1:30" x14ac:dyDescent="0.2">
      <c r="A433" s="89" t="s">
        <v>620</v>
      </c>
      <c r="B433" s="90">
        <f>IF($P$431&lt;&gt;"",ROUND(AA433*(($AB$431/(1-$P$431))-38.3922)/46.6496,2),IF('Resumen 2.0TD'!$D$3="OPTIMIZAR",ROUND(MAX(AA433,MIN(AA433*(($AB$431/(1-'Resumen 2.0TD'!$F$3))-38.3922)/46.6496,AA433*(155.7556)/46.6496)),3),AA433))</f>
        <v>243.91900000000001</v>
      </c>
      <c r="C433" s="103"/>
      <c r="D433" s="92">
        <v>0.110306</v>
      </c>
      <c r="E433" s="93">
        <v>0.14937</v>
      </c>
      <c r="F433" s="94">
        <f t="shared" si="78"/>
        <v>36.43</v>
      </c>
      <c r="H433" s="95">
        <v>361.74200000000002</v>
      </c>
      <c r="I433" s="96">
        <v>0.14937</v>
      </c>
      <c r="J433" s="97">
        <f t="shared" si="79"/>
        <v>54.03</v>
      </c>
      <c r="L433" s="98">
        <v>44.96</v>
      </c>
      <c r="M433" s="99">
        <v>0.14937</v>
      </c>
      <c r="N433" s="100">
        <f t="shared" si="80"/>
        <v>6.72</v>
      </c>
      <c r="O433" s="105" t="s">
        <v>621</v>
      </c>
      <c r="AA433">
        <v>205.28200000000001</v>
      </c>
    </row>
    <row r="434" spans="1:30" x14ac:dyDescent="0.2">
      <c r="A434" s="89" t="s">
        <v>139</v>
      </c>
      <c r="B434" s="90">
        <v>1</v>
      </c>
      <c r="C434" s="91">
        <f>$N$426-$L$426+1</f>
        <v>30</v>
      </c>
      <c r="D434" s="92">
        <v>1.3413999999999999</v>
      </c>
      <c r="E434" s="93">
        <v>4</v>
      </c>
      <c r="F434" s="94">
        <f t="shared" si="78"/>
        <v>4</v>
      </c>
      <c r="H434" s="95">
        <v>1</v>
      </c>
      <c r="I434" s="96">
        <v>4</v>
      </c>
      <c r="J434" s="97">
        <f t="shared" si="79"/>
        <v>4</v>
      </c>
      <c r="L434" s="98">
        <v>1</v>
      </c>
      <c r="M434" s="99">
        <v>4</v>
      </c>
      <c r="N434" s="100">
        <f t="shared" si="80"/>
        <v>4</v>
      </c>
    </row>
    <row r="435" spans="1:30" x14ac:dyDescent="0.2">
      <c r="A435" s="89" t="s">
        <v>140</v>
      </c>
      <c r="B435" s="90">
        <v>30</v>
      </c>
      <c r="C435" s="91">
        <f>$N$426-$L$426+1</f>
        <v>30</v>
      </c>
      <c r="D435" s="92">
        <v>0.5736</v>
      </c>
      <c r="E435" s="93">
        <v>1.274E-2</v>
      </c>
      <c r="F435" s="94">
        <f t="shared" si="78"/>
        <v>0.38</v>
      </c>
      <c r="H435" s="95">
        <v>30</v>
      </c>
      <c r="I435" s="96">
        <v>1.274E-2</v>
      </c>
      <c r="J435" s="97">
        <f t="shared" si="79"/>
        <v>0.38</v>
      </c>
      <c r="L435" s="98">
        <v>30</v>
      </c>
      <c r="M435" s="99">
        <v>6.2899999999999996E-3</v>
      </c>
      <c r="N435" s="100">
        <f t="shared" si="80"/>
        <v>0.19</v>
      </c>
    </row>
    <row r="436" spans="1:30" x14ac:dyDescent="0.2">
      <c r="A436" s="89" t="s">
        <v>141</v>
      </c>
      <c r="B436" s="90">
        <v>3.12</v>
      </c>
      <c r="C436" s="103"/>
      <c r="D436" s="92">
        <v>0.24729000000000001</v>
      </c>
      <c r="E436" s="93">
        <v>1</v>
      </c>
      <c r="F436" s="94">
        <f t="shared" si="78"/>
        <v>3.12</v>
      </c>
      <c r="H436" s="95">
        <v>6.09</v>
      </c>
      <c r="I436" s="96">
        <v>1</v>
      </c>
      <c r="J436" s="97">
        <f t="shared" si="79"/>
        <v>6.09</v>
      </c>
      <c r="L436" s="98">
        <v>1.97</v>
      </c>
      <c r="M436" s="99">
        <v>1</v>
      </c>
      <c r="N436" s="100">
        <f t="shared" si="80"/>
        <v>1.97</v>
      </c>
    </row>
    <row r="437" spans="1:30" x14ac:dyDescent="0.2">
      <c r="A437" s="106" t="s">
        <v>142</v>
      </c>
      <c r="F437" s="107">
        <f>ROUND((SUM(F429:F436)-F436)*1.1+F436,2)</f>
        <v>111.14</v>
      </c>
      <c r="J437" s="108">
        <f>ROUND(SUM(J429:J436),2)</f>
        <v>143.87</v>
      </c>
      <c r="N437" s="109">
        <f>ROUND(SUM(N429:N436),2)</f>
        <v>58.76</v>
      </c>
    </row>
    <row r="438" spans="1:30" x14ac:dyDescent="0.2">
      <c r="A438" s="78" t="s">
        <v>143</v>
      </c>
      <c r="B438" s="110">
        <f>IF((F433+F432+F431+F429+F430)=0,"",((F433+F432+F431+F429+F430)-$AB$431)/(F433+F432+F431+F429+F430))</f>
        <v>0.29998609087614575</v>
      </c>
      <c r="D438" s="139" t="str">
        <f>IF(B438="","SIN PC",IF(B438&gt;=0.3,"APROBAR",IF(B438&gt;=0.2,"REVISAR","RECHAZAR")))</f>
        <v>REVISAR</v>
      </c>
      <c r="E438" s="139"/>
      <c r="F438" s="139"/>
      <c r="AD438">
        <f>SUM(F431:F433)-46.6496</f>
        <v>8.7804000000000002</v>
      </c>
    </row>
    <row r="439" spans="1:30" x14ac:dyDescent="0.2">
      <c r="A439" s="140" t="s">
        <v>743</v>
      </c>
      <c r="B439" s="140"/>
      <c r="C439" s="140"/>
      <c r="D439" s="140"/>
      <c r="E439" s="140"/>
      <c r="F439" s="140"/>
    </row>
    <row r="440" spans="1:30" x14ac:dyDescent="0.2">
      <c r="A440" s="111" t="s">
        <v>111</v>
      </c>
      <c r="B440" s="111" t="s">
        <v>744</v>
      </c>
      <c r="D440" s="111" t="s">
        <v>745</v>
      </c>
      <c r="E440" s="111" t="s">
        <v>746</v>
      </c>
      <c r="F440" s="111" t="s">
        <v>120</v>
      </c>
    </row>
    <row r="441" spans="1:30" x14ac:dyDescent="0.2">
      <c r="A441" s="112" t="s">
        <v>747</v>
      </c>
      <c r="B441" s="113">
        <v>482</v>
      </c>
      <c r="C441" s="114"/>
      <c r="D441" s="92">
        <v>0.06</v>
      </c>
      <c r="E441" s="114"/>
      <c r="F441" s="115">
        <f>ROUND(B441*D441,2)</f>
        <v>28.92</v>
      </c>
    </row>
    <row r="442" spans="1:30" x14ac:dyDescent="0.2">
      <c r="A442" s="112" t="s">
        <v>748</v>
      </c>
      <c r="B442" s="114"/>
      <c r="C442" s="114"/>
      <c r="D442" s="114"/>
      <c r="E442" s="116">
        <v>0.06</v>
      </c>
      <c r="F442" s="115">
        <v>24.22</v>
      </c>
    </row>
    <row r="443" spans="1:30" x14ac:dyDescent="0.2">
      <c r="A443" s="117" t="s">
        <v>749</v>
      </c>
      <c r="B443" s="114"/>
      <c r="C443" s="114"/>
      <c r="D443" s="114"/>
      <c r="E443" s="114"/>
      <c r="F443" s="118">
        <f>F441-F442</f>
        <v>4.7000000000000028</v>
      </c>
    </row>
    <row r="445" spans="1:30" x14ac:dyDescent="0.2">
      <c r="A445" s="137" t="s">
        <v>855</v>
      </c>
      <c r="B445" s="137"/>
      <c r="C445" s="137"/>
      <c r="D445" s="137"/>
      <c r="E445" s="137"/>
      <c r="F445" s="137"/>
      <c r="H445" s="137" t="s">
        <v>856</v>
      </c>
      <c r="I445" s="137"/>
      <c r="J445" s="137"/>
      <c r="K445" s="137"/>
      <c r="L445" s="76">
        <v>46113</v>
      </c>
      <c r="M445" s="77" t="s">
        <v>607</v>
      </c>
      <c r="N445" s="76">
        <v>46142</v>
      </c>
      <c r="R445" s="138" t="s">
        <v>110</v>
      </c>
      <c r="S445" s="138"/>
      <c r="T445" s="138"/>
      <c r="U445" s="138"/>
      <c r="V445" s="138"/>
    </row>
    <row r="446" spans="1:30" x14ac:dyDescent="0.2">
      <c r="A446" s="78" t="s">
        <v>111</v>
      </c>
      <c r="B446" s="79" t="s">
        <v>112</v>
      </c>
      <c r="C446" s="80"/>
      <c r="D446" s="80"/>
      <c r="E446" s="80"/>
      <c r="F446" s="80"/>
      <c r="H446" s="81" t="s">
        <v>857</v>
      </c>
      <c r="I446" s="82"/>
      <c r="J446" s="82"/>
      <c r="L446" s="83" t="s">
        <v>858</v>
      </c>
      <c r="M446" s="84"/>
      <c r="N446" s="84"/>
      <c r="R446" s="85" t="s">
        <v>859</v>
      </c>
    </row>
    <row r="447" spans="1:30" x14ac:dyDescent="0.2">
      <c r="B447" s="68" t="s">
        <v>116</v>
      </c>
      <c r="C447" s="68" t="s">
        <v>117</v>
      </c>
      <c r="D447" s="68" t="s">
        <v>118</v>
      </c>
      <c r="E447" s="68" t="s">
        <v>119</v>
      </c>
      <c r="F447" s="68" t="s">
        <v>120</v>
      </c>
      <c r="H447" s="86" t="s">
        <v>116</v>
      </c>
      <c r="I447" s="86" t="s">
        <v>119</v>
      </c>
      <c r="J447" s="86" t="s">
        <v>120</v>
      </c>
      <c r="L447" s="87" t="s">
        <v>116</v>
      </c>
      <c r="M447" s="87" t="s">
        <v>119</v>
      </c>
      <c r="N447" s="87" t="s">
        <v>120</v>
      </c>
      <c r="R447" s="88" t="s">
        <v>860</v>
      </c>
    </row>
    <row r="448" spans="1:30" x14ac:dyDescent="0.2">
      <c r="A448" s="89" t="s">
        <v>122</v>
      </c>
      <c r="B448" s="90">
        <v>4.5999999999999996</v>
      </c>
      <c r="C448" s="91">
        <f>$N$445-$L$445+1</f>
        <v>30</v>
      </c>
      <c r="D448" s="92">
        <v>3.4085999999999999</v>
      </c>
      <c r="E448" s="93">
        <v>4.82</v>
      </c>
      <c r="F448" s="94">
        <f t="shared" ref="F448:F455" si="81">ROUND(B448*E448,2)</f>
        <v>22.17</v>
      </c>
      <c r="H448" s="95">
        <v>4.5999999999999996</v>
      </c>
      <c r="I448" s="96">
        <v>4.82</v>
      </c>
      <c r="J448" s="97">
        <f t="shared" ref="J448:J455" si="82">ROUND(H448*I448,2)</f>
        <v>22.17</v>
      </c>
      <c r="L448" s="98">
        <v>4.5999999999999996</v>
      </c>
      <c r="M448" s="99">
        <v>4.82</v>
      </c>
      <c r="N448" s="100">
        <f t="shared" ref="N448:N455" si="83">ROUND(L448*M448,2)</f>
        <v>22.17</v>
      </c>
      <c r="R448" s="101" t="s">
        <v>861</v>
      </c>
    </row>
    <row r="449" spans="1:30" x14ac:dyDescent="0.2">
      <c r="A449" s="89" t="s">
        <v>124</v>
      </c>
      <c r="B449" s="90">
        <v>4.5999999999999996</v>
      </c>
      <c r="C449" s="91">
        <f>$N$445-$L$445+1</f>
        <v>30</v>
      </c>
      <c r="D449" s="92">
        <v>1.09728</v>
      </c>
      <c r="E449" s="93">
        <v>2.3744000000000001</v>
      </c>
      <c r="F449" s="94">
        <f t="shared" si="81"/>
        <v>10.92</v>
      </c>
      <c r="H449" s="95">
        <v>4.5999999999999996</v>
      </c>
      <c r="I449" s="96">
        <v>2.3744000000000001</v>
      </c>
      <c r="J449" s="97">
        <f t="shared" si="82"/>
        <v>10.92</v>
      </c>
      <c r="L449" s="98">
        <v>4.5999999999999996</v>
      </c>
      <c r="M449" s="99">
        <v>2.3744000000000001</v>
      </c>
      <c r="N449" s="100">
        <f t="shared" si="83"/>
        <v>10.92</v>
      </c>
      <c r="R449" s="102" t="s">
        <v>862</v>
      </c>
    </row>
    <row r="450" spans="1:30" x14ac:dyDescent="0.2">
      <c r="A450" s="89" t="s">
        <v>614</v>
      </c>
      <c r="B450" s="90">
        <f>IF($P$450&lt;&gt;"",ROUND(AA450*(($AB$450/(1-$P$450))-33.0942)/6.3331,2),IF('Resumen 2.0TD'!$D$3="OPTIMIZAR",ROUND(MAX(AA450,MIN(AA450*(($AB$450/(1-'Resumen 2.0TD'!$F$3))-33.0942)/6.3331,AA450*(90.8436)/6.3331)),3),AA450))</f>
        <v>7.8719999999999999</v>
      </c>
      <c r="C450" s="103"/>
      <c r="D450" s="92">
        <v>0.110306</v>
      </c>
      <c r="E450" s="93">
        <v>0.1724</v>
      </c>
      <c r="F450" s="94">
        <f t="shared" si="81"/>
        <v>1.36</v>
      </c>
      <c r="H450" s="95">
        <v>7.5140000000000002</v>
      </c>
      <c r="I450" s="96">
        <v>0.1724</v>
      </c>
      <c r="J450" s="97">
        <f t="shared" si="82"/>
        <v>1.3</v>
      </c>
      <c r="L450" s="98">
        <v>58.012999999999998</v>
      </c>
      <c r="M450" s="99">
        <v>0.1724</v>
      </c>
      <c r="N450" s="100">
        <f t="shared" si="83"/>
        <v>10</v>
      </c>
      <c r="O450" s="104" t="s">
        <v>615</v>
      </c>
      <c r="P450" s="67"/>
      <c r="R450" s="102" t="s">
        <v>863</v>
      </c>
      <c r="AA450">
        <v>7.8719999999999999</v>
      </c>
      <c r="AB450">
        <f>B448*D448+B449*D449+AA450*D450+AA451*D451+AA452*D452</f>
        <v>24.779138909999997</v>
      </c>
    </row>
    <row r="451" spans="1:30" x14ac:dyDescent="0.2">
      <c r="A451" s="89" t="s">
        <v>617</v>
      </c>
      <c r="B451" s="90">
        <f>IF($P$450&lt;&gt;"",ROUND(AA451*(($AB$450/(1-$P$450))-33.0942)/6.3331,2),IF('Resumen 2.0TD'!$D$3="OPTIMIZAR",ROUND(MAX(AA451,MIN(AA451*(($AB$450/(1-'Resumen 2.0TD'!$F$3))-33.0942)/6.3331,AA451*(90.8436)/6.3331)),3),AA451))</f>
        <v>4.5190000000000001</v>
      </c>
      <c r="C451" s="103"/>
      <c r="D451" s="92">
        <v>0.110306</v>
      </c>
      <c r="E451" s="93">
        <v>0.1724</v>
      </c>
      <c r="F451" s="94">
        <f t="shared" si="81"/>
        <v>0.78</v>
      </c>
      <c r="H451" s="95">
        <v>6.1580000000000004</v>
      </c>
      <c r="I451" s="96">
        <v>0.1724</v>
      </c>
      <c r="J451" s="97">
        <f t="shared" si="82"/>
        <v>1.06</v>
      </c>
      <c r="L451" s="98">
        <v>30.79</v>
      </c>
      <c r="M451" s="99">
        <v>0.1724</v>
      </c>
      <c r="N451" s="100">
        <f t="shared" si="83"/>
        <v>5.31</v>
      </c>
      <c r="O451" s="105" t="s">
        <v>618</v>
      </c>
      <c r="R451" s="102" t="s">
        <v>619</v>
      </c>
      <c r="AA451">
        <v>4.5190000000000001</v>
      </c>
    </row>
    <row r="452" spans="1:30" x14ac:dyDescent="0.2">
      <c r="A452" s="89" t="s">
        <v>620</v>
      </c>
      <c r="B452" s="90">
        <f>IF($P$450&lt;&gt;"",ROUND(AA452*(($AB$450/(1-$P$450))-33.0942)/6.3331,2),IF('Resumen 2.0TD'!$D$3="OPTIMIZAR",ROUND(MAX(AA452,MIN(AA452*(($AB$450/(1-'Resumen 2.0TD'!$F$3))-33.0942)/6.3331,AA452*(90.8436)/6.3331)),3),AA452))</f>
        <v>24.344000000000001</v>
      </c>
      <c r="C452" s="103"/>
      <c r="D452" s="92">
        <v>0.110306</v>
      </c>
      <c r="E452" s="93">
        <v>0.1724</v>
      </c>
      <c r="F452" s="94">
        <f t="shared" si="81"/>
        <v>4.2</v>
      </c>
      <c r="H452" s="95">
        <v>29.271000000000001</v>
      </c>
      <c r="I452" s="96">
        <v>0.1724</v>
      </c>
      <c r="J452" s="97">
        <f t="shared" si="82"/>
        <v>5.05</v>
      </c>
      <c r="L452" s="98">
        <v>101.688</v>
      </c>
      <c r="M452" s="99">
        <v>0.1724</v>
      </c>
      <c r="N452" s="100">
        <f t="shared" si="83"/>
        <v>17.53</v>
      </c>
      <c r="O452" s="105" t="s">
        <v>621</v>
      </c>
      <c r="AA452">
        <v>24.344000000000001</v>
      </c>
    </row>
    <row r="453" spans="1:30" x14ac:dyDescent="0.2">
      <c r="A453" s="89" t="s">
        <v>139</v>
      </c>
      <c r="B453" s="90">
        <v>1</v>
      </c>
      <c r="C453" s="91">
        <f>$N$445-$L$445+1</f>
        <v>30</v>
      </c>
      <c r="D453" s="92">
        <v>0.79890000000000005</v>
      </c>
      <c r="E453" s="93">
        <v>6</v>
      </c>
      <c r="F453" s="94">
        <f t="shared" si="81"/>
        <v>6</v>
      </c>
      <c r="H453" s="95">
        <v>1</v>
      </c>
      <c r="I453" s="96">
        <v>6</v>
      </c>
      <c r="J453" s="97">
        <f t="shared" si="82"/>
        <v>6</v>
      </c>
      <c r="L453" s="98">
        <v>1</v>
      </c>
      <c r="M453" s="99">
        <v>6</v>
      </c>
      <c r="N453" s="100">
        <f t="shared" si="83"/>
        <v>6</v>
      </c>
    </row>
    <row r="454" spans="1:30" x14ac:dyDescent="0.2">
      <c r="A454" s="89" t="s">
        <v>140</v>
      </c>
      <c r="B454" s="90">
        <v>30</v>
      </c>
      <c r="C454" s="91">
        <f>$N$445-$L$445+1</f>
        <v>30</v>
      </c>
      <c r="D454" s="92">
        <v>0.5736</v>
      </c>
      <c r="E454" s="93">
        <v>1.274E-2</v>
      </c>
      <c r="F454" s="94">
        <f t="shared" si="81"/>
        <v>0.38</v>
      </c>
      <c r="H454" s="95">
        <v>30</v>
      </c>
      <c r="I454" s="96">
        <v>1.274E-2</v>
      </c>
      <c r="J454" s="97">
        <f t="shared" si="82"/>
        <v>0.38</v>
      </c>
      <c r="L454" s="98">
        <v>30</v>
      </c>
      <c r="M454" s="99">
        <v>6.2899999999999996E-3</v>
      </c>
      <c r="N454" s="100">
        <f t="shared" si="83"/>
        <v>0.19</v>
      </c>
    </row>
    <row r="455" spans="1:30" x14ac:dyDescent="0.2">
      <c r="A455" s="89" t="s">
        <v>141</v>
      </c>
      <c r="B455" s="90">
        <v>1.7</v>
      </c>
      <c r="C455" s="103"/>
      <c r="D455" s="92">
        <v>0.24729000000000001</v>
      </c>
      <c r="E455" s="93">
        <v>1</v>
      </c>
      <c r="F455" s="94">
        <f t="shared" si="81"/>
        <v>1.7</v>
      </c>
      <c r="H455" s="95">
        <v>1.85</v>
      </c>
      <c r="I455" s="96">
        <v>1</v>
      </c>
      <c r="J455" s="97">
        <f t="shared" si="82"/>
        <v>1.85</v>
      </c>
      <c r="L455" s="98">
        <v>3.15</v>
      </c>
      <c r="M455" s="99">
        <v>1</v>
      </c>
      <c r="N455" s="100">
        <f t="shared" si="83"/>
        <v>3.15</v>
      </c>
    </row>
    <row r="456" spans="1:30" x14ac:dyDescent="0.2">
      <c r="A456" s="106" t="s">
        <v>142</v>
      </c>
      <c r="F456" s="107">
        <f>ROUND((SUM(F448:F455)-F455)*1.1+F455,2)</f>
        <v>52.09</v>
      </c>
      <c r="J456" s="108">
        <f>ROUND(SUM(J448:J455),2)</f>
        <v>48.73</v>
      </c>
      <c r="N456" s="109">
        <f>ROUND(SUM(N448:N455),2)</f>
        <v>75.27</v>
      </c>
    </row>
    <row r="457" spans="1:30" x14ac:dyDescent="0.2">
      <c r="A457" s="78" t="s">
        <v>143</v>
      </c>
      <c r="B457" s="110">
        <f>IF((F452+F451+F450+F448+F449)=0,"",((F452+F451+F450+F448+F449)-$AB$450)/(F452+F451+F450+F448+F449))</f>
        <v>0.37156634770479335</v>
      </c>
      <c r="D457" s="139" t="str">
        <f>IF(B457="","SIN PC",IF(B457&gt;=0.3,"APROBAR",IF(B457&gt;=0.2,"REVISAR","RECHAZAR")))</f>
        <v>APROBAR</v>
      </c>
      <c r="E457" s="139"/>
      <c r="F457" s="139"/>
      <c r="AD457">
        <f>SUM(F450:F452)-6.3331</f>
        <v>6.8999999999999062E-3</v>
      </c>
    </row>
    <row r="458" spans="1:30" x14ac:dyDescent="0.2">
      <c r="A458" s="140" t="s">
        <v>743</v>
      </c>
      <c r="B458" s="140"/>
      <c r="C458" s="140"/>
      <c r="D458" s="140"/>
      <c r="E458" s="140"/>
      <c r="F458" s="140"/>
    </row>
    <row r="459" spans="1:30" x14ac:dyDescent="0.2">
      <c r="A459" s="111" t="s">
        <v>111</v>
      </c>
      <c r="B459" s="111" t="s">
        <v>744</v>
      </c>
      <c r="D459" s="111" t="s">
        <v>745</v>
      </c>
      <c r="E459" s="111" t="s">
        <v>746</v>
      </c>
      <c r="F459" s="111" t="s">
        <v>120</v>
      </c>
    </row>
    <row r="460" spans="1:30" x14ac:dyDescent="0.2">
      <c r="A460" s="112" t="s">
        <v>747</v>
      </c>
      <c r="B460" s="113">
        <v>182</v>
      </c>
      <c r="C460" s="114"/>
      <c r="D460" s="92">
        <v>0.06</v>
      </c>
      <c r="E460" s="114"/>
      <c r="F460" s="115">
        <f>ROUND(B460*D460,2)</f>
        <v>10.92</v>
      </c>
    </row>
    <row r="461" spans="1:30" x14ac:dyDescent="0.2">
      <c r="A461" s="112" t="s">
        <v>748</v>
      </c>
      <c r="B461" s="114"/>
      <c r="C461" s="114"/>
      <c r="D461" s="114"/>
      <c r="E461" s="116">
        <v>0.06</v>
      </c>
      <c r="F461" s="115">
        <v>6.34</v>
      </c>
    </row>
    <row r="462" spans="1:30" x14ac:dyDescent="0.2">
      <c r="A462" s="117" t="s">
        <v>749</v>
      </c>
      <c r="B462" s="114"/>
      <c r="C462" s="114"/>
      <c r="D462" s="114"/>
      <c r="E462" s="114"/>
      <c r="F462" s="118">
        <f>F460-F461</f>
        <v>4.58</v>
      </c>
    </row>
    <row r="464" spans="1:30" x14ac:dyDescent="0.2">
      <c r="A464" s="137" t="s">
        <v>864</v>
      </c>
      <c r="B464" s="137"/>
      <c r="C464" s="137"/>
      <c r="D464" s="137"/>
      <c r="E464" s="137"/>
      <c r="F464" s="137"/>
      <c r="H464" s="137" t="s">
        <v>865</v>
      </c>
      <c r="I464" s="137"/>
      <c r="J464" s="137"/>
      <c r="K464" s="137"/>
      <c r="L464" s="76">
        <v>46113</v>
      </c>
      <c r="M464" s="77" t="s">
        <v>607</v>
      </c>
      <c r="N464" s="76">
        <v>46142</v>
      </c>
      <c r="R464" s="138" t="s">
        <v>110</v>
      </c>
      <c r="S464" s="138"/>
      <c r="T464" s="138"/>
      <c r="U464" s="138"/>
      <c r="V464" s="138"/>
    </row>
    <row r="465" spans="1:30" x14ac:dyDescent="0.2">
      <c r="A465" s="78" t="s">
        <v>111</v>
      </c>
      <c r="B465" s="79" t="s">
        <v>112</v>
      </c>
      <c r="C465" s="80"/>
      <c r="D465" s="80"/>
      <c r="E465" s="80"/>
      <c r="F465" s="80"/>
      <c r="H465" s="81" t="s">
        <v>866</v>
      </c>
      <c r="I465" s="82"/>
      <c r="J465" s="82"/>
      <c r="L465" s="83" t="s">
        <v>867</v>
      </c>
      <c r="M465" s="84"/>
      <c r="N465" s="84"/>
      <c r="R465" s="85" t="s">
        <v>868</v>
      </c>
    </row>
    <row r="466" spans="1:30" x14ac:dyDescent="0.2">
      <c r="B466" s="68" t="s">
        <v>116</v>
      </c>
      <c r="C466" s="68" t="s">
        <v>117</v>
      </c>
      <c r="D466" s="68" t="s">
        <v>118</v>
      </c>
      <c r="E466" s="68" t="s">
        <v>119</v>
      </c>
      <c r="F466" s="68" t="s">
        <v>120</v>
      </c>
      <c r="H466" s="86" t="s">
        <v>116</v>
      </c>
      <c r="I466" s="86" t="s">
        <v>119</v>
      </c>
      <c r="J466" s="86" t="s">
        <v>120</v>
      </c>
      <c r="L466" s="87" t="s">
        <v>116</v>
      </c>
      <c r="M466" s="87" t="s">
        <v>119</v>
      </c>
      <c r="N466" s="87" t="s">
        <v>120</v>
      </c>
      <c r="R466" s="88" t="s">
        <v>869</v>
      </c>
    </row>
    <row r="467" spans="1:30" x14ac:dyDescent="0.2">
      <c r="A467" s="89" t="s">
        <v>122</v>
      </c>
      <c r="B467" s="90">
        <v>10</v>
      </c>
      <c r="C467" s="91">
        <f>$N$464-$L$464+1</f>
        <v>30</v>
      </c>
      <c r="D467" s="92">
        <v>3.68919</v>
      </c>
      <c r="E467" s="93">
        <v>4.82</v>
      </c>
      <c r="F467" s="94">
        <f t="shared" ref="F467:F474" si="84">ROUND(B467*E467,2)</f>
        <v>48.2</v>
      </c>
      <c r="H467" s="95">
        <v>10</v>
      </c>
      <c r="I467" s="96">
        <v>4.82</v>
      </c>
      <c r="J467" s="97">
        <f t="shared" ref="J467:J474" si="85">ROUND(H467*I467,2)</f>
        <v>48.2</v>
      </c>
      <c r="L467" s="98">
        <v>10</v>
      </c>
      <c r="M467" s="99">
        <v>4.82</v>
      </c>
      <c r="N467" s="100">
        <f t="shared" ref="N467:N474" si="86">ROUND(L467*M467,2)</f>
        <v>48.2</v>
      </c>
      <c r="R467" s="101" t="s">
        <v>870</v>
      </c>
    </row>
    <row r="468" spans="1:30" x14ac:dyDescent="0.2">
      <c r="A468" s="89" t="s">
        <v>124</v>
      </c>
      <c r="B468" s="90">
        <v>10</v>
      </c>
      <c r="C468" s="91">
        <f>$N$464-$L$464+1</f>
        <v>30</v>
      </c>
      <c r="D468" s="92">
        <v>1.31928</v>
      </c>
      <c r="E468" s="93">
        <v>2.3744000000000001</v>
      </c>
      <c r="F468" s="94">
        <f t="shared" si="84"/>
        <v>23.74</v>
      </c>
      <c r="H468" s="95">
        <v>10</v>
      </c>
      <c r="I468" s="96">
        <v>2.3744000000000001</v>
      </c>
      <c r="J468" s="97">
        <f t="shared" si="85"/>
        <v>23.74</v>
      </c>
      <c r="L468" s="98">
        <v>10</v>
      </c>
      <c r="M468" s="99">
        <v>2.3744000000000001</v>
      </c>
      <c r="N468" s="100">
        <f t="shared" si="86"/>
        <v>23.74</v>
      </c>
      <c r="R468" s="102" t="s">
        <v>871</v>
      </c>
    </row>
    <row r="469" spans="1:30" x14ac:dyDescent="0.2">
      <c r="A469" s="89" t="s">
        <v>614</v>
      </c>
      <c r="B469" s="90">
        <f>IF($P$469&lt;&gt;"",ROUND(AA469*(($AB$469/(1-$P$469))-71.944)/36.4005,2),IF('Resumen 2.0TD'!$D$3="OPTIMIZAR",ROUND(MAX(AA469,MIN(AA469*(($AB$469/(1-'Resumen 2.0TD'!$F$3))-71.944)/36.4005,AA469*(193.3838)/36.4005)),3),AA469))</f>
        <v>40.796999999999997</v>
      </c>
      <c r="C469" s="103"/>
      <c r="D469" s="92">
        <v>0.11117100000000001</v>
      </c>
      <c r="E469" s="93">
        <v>0.1724</v>
      </c>
      <c r="F469" s="94">
        <f t="shared" si="84"/>
        <v>7.03</v>
      </c>
      <c r="H469" s="95">
        <v>43.749000000000002</v>
      </c>
      <c r="I469" s="96">
        <v>0.1724</v>
      </c>
      <c r="J469" s="97">
        <f t="shared" si="85"/>
        <v>7.54</v>
      </c>
      <c r="L469" s="98">
        <v>79.149000000000001</v>
      </c>
      <c r="M469" s="99">
        <v>0.1724</v>
      </c>
      <c r="N469" s="100">
        <f t="shared" si="86"/>
        <v>13.65</v>
      </c>
      <c r="O469" s="104" t="s">
        <v>615</v>
      </c>
      <c r="P469" s="67"/>
      <c r="R469" s="102" t="s">
        <v>872</v>
      </c>
      <c r="AA469">
        <v>40.796999999999997</v>
      </c>
      <c r="AB469">
        <f>B467*D467+B468*D468+AA469*D469+AA470*D470+AA471*D471</f>
        <v>73.557344939999993</v>
      </c>
    </row>
    <row r="470" spans="1:30" x14ac:dyDescent="0.2">
      <c r="A470" s="89" t="s">
        <v>617</v>
      </c>
      <c r="B470" s="90">
        <f>IF($P$469&lt;&gt;"",ROUND(AA470*(($AB$469/(1-$P$469))-71.944)/36.4005,2),IF('Resumen 2.0TD'!$D$3="OPTIMIZAR",ROUND(MAX(AA470,MIN(AA470*(($AB$469/(1-'Resumen 2.0TD'!$F$3))-71.944)/36.4005,AA470*(193.3838)/36.4005)),3),AA470))</f>
        <v>32.287999999999997</v>
      </c>
      <c r="C470" s="103"/>
      <c r="D470" s="92">
        <v>0.11117100000000001</v>
      </c>
      <c r="E470" s="93">
        <v>0.1724</v>
      </c>
      <c r="F470" s="94">
        <f t="shared" si="84"/>
        <v>5.57</v>
      </c>
      <c r="H470" s="95">
        <v>39.941000000000003</v>
      </c>
      <c r="I470" s="96">
        <v>0.1724</v>
      </c>
      <c r="J470" s="97">
        <f t="shared" si="85"/>
        <v>6.89</v>
      </c>
      <c r="L470" s="98">
        <v>132.18</v>
      </c>
      <c r="M470" s="99">
        <v>0.1724</v>
      </c>
      <c r="N470" s="100">
        <f t="shared" si="86"/>
        <v>22.79</v>
      </c>
      <c r="O470" s="105" t="s">
        <v>618</v>
      </c>
      <c r="R470" s="102" t="s">
        <v>619</v>
      </c>
      <c r="AA470">
        <v>32.287999999999997</v>
      </c>
    </row>
    <row r="471" spans="1:30" x14ac:dyDescent="0.2">
      <c r="A471" s="89" t="s">
        <v>620</v>
      </c>
      <c r="B471" s="90">
        <f>IF($P$469&lt;&gt;"",ROUND(AA471*(($AB$469/(1-$P$469))-71.944)/36.4005,2),IF('Resumen 2.0TD'!$D$3="OPTIMIZAR",ROUND(MAX(AA471,MIN(AA471*(($AB$469/(1-'Resumen 2.0TD'!$F$3))-71.944)/36.4005,AA471*(193.3838)/36.4005)),3),AA471))</f>
        <v>138.05500000000001</v>
      </c>
      <c r="C471" s="103"/>
      <c r="D471" s="92">
        <v>0.11117100000000001</v>
      </c>
      <c r="E471" s="93">
        <v>0.1724</v>
      </c>
      <c r="F471" s="94">
        <f t="shared" si="84"/>
        <v>23.8</v>
      </c>
      <c r="H471" s="95">
        <v>165.94499999999999</v>
      </c>
      <c r="I471" s="96">
        <v>0.1724</v>
      </c>
      <c r="J471" s="97">
        <f t="shared" si="85"/>
        <v>28.61</v>
      </c>
      <c r="L471" s="98">
        <v>266.83199999999999</v>
      </c>
      <c r="M471" s="99">
        <v>0.1724</v>
      </c>
      <c r="N471" s="100">
        <f t="shared" si="86"/>
        <v>46</v>
      </c>
      <c r="O471" s="105" t="s">
        <v>621</v>
      </c>
      <c r="AA471">
        <v>138.05500000000001</v>
      </c>
    </row>
    <row r="472" spans="1:30" x14ac:dyDescent="0.2">
      <c r="A472" s="89" t="s">
        <v>139</v>
      </c>
      <c r="B472" s="90">
        <v>1</v>
      </c>
      <c r="C472" s="91">
        <f>$N$464-$L$464+1</f>
        <v>30</v>
      </c>
      <c r="D472" s="92">
        <v>1.3413999999999999</v>
      </c>
      <c r="E472" s="93">
        <v>6</v>
      </c>
      <c r="F472" s="94">
        <f t="shared" si="84"/>
        <v>6</v>
      </c>
      <c r="H472" s="95">
        <v>1</v>
      </c>
      <c r="I472" s="96">
        <v>6</v>
      </c>
      <c r="J472" s="97">
        <f t="shared" si="85"/>
        <v>6</v>
      </c>
      <c r="L472" s="98">
        <v>1</v>
      </c>
      <c r="M472" s="99">
        <v>6</v>
      </c>
      <c r="N472" s="100">
        <f t="shared" si="86"/>
        <v>6</v>
      </c>
    </row>
    <row r="473" spans="1:30" x14ac:dyDescent="0.2">
      <c r="A473" s="89" t="s">
        <v>140</v>
      </c>
      <c r="B473" s="90">
        <v>30</v>
      </c>
      <c r="C473" s="91">
        <f>$N$464-$L$464+1</f>
        <v>30</v>
      </c>
      <c r="D473" s="92">
        <v>0.5736</v>
      </c>
      <c r="E473" s="93">
        <v>1.274E-2</v>
      </c>
      <c r="F473" s="94">
        <f t="shared" si="84"/>
        <v>0.38</v>
      </c>
      <c r="H473" s="95">
        <v>30</v>
      </c>
      <c r="I473" s="96">
        <v>1.274E-2</v>
      </c>
      <c r="J473" s="97">
        <f t="shared" si="85"/>
        <v>0.38</v>
      </c>
      <c r="L473" s="98">
        <v>30</v>
      </c>
      <c r="M473" s="99">
        <v>6.2899999999999996E-3</v>
      </c>
      <c r="N473" s="100">
        <f t="shared" si="86"/>
        <v>0.19</v>
      </c>
    </row>
    <row r="474" spans="1:30" x14ac:dyDescent="0.2">
      <c r="A474" s="89" t="s">
        <v>141</v>
      </c>
      <c r="B474" s="90">
        <v>4.6399999999999997</v>
      </c>
      <c r="C474" s="103"/>
      <c r="D474" s="92">
        <v>0.27311999999999997</v>
      </c>
      <c r="E474" s="93">
        <v>1</v>
      </c>
      <c r="F474" s="94">
        <f t="shared" si="84"/>
        <v>4.6399999999999997</v>
      </c>
      <c r="H474" s="95">
        <v>5.22</v>
      </c>
      <c r="I474" s="96">
        <v>1</v>
      </c>
      <c r="J474" s="97">
        <f t="shared" si="85"/>
        <v>5.22</v>
      </c>
      <c r="L474" s="98">
        <v>7.31</v>
      </c>
      <c r="M474" s="99">
        <v>1</v>
      </c>
      <c r="N474" s="100">
        <f t="shared" si="86"/>
        <v>7.31</v>
      </c>
    </row>
    <row r="475" spans="1:30" x14ac:dyDescent="0.2">
      <c r="A475" s="106" t="s">
        <v>142</v>
      </c>
      <c r="F475" s="107">
        <f>ROUND((SUM(F467:F474)-F474)*1.1+F474,2)</f>
        <v>130.83000000000001</v>
      </c>
      <c r="J475" s="108">
        <f>ROUND(SUM(J467:J474),2)</f>
        <v>126.58</v>
      </c>
      <c r="N475" s="109">
        <f>ROUND(SUM(N467:N474),2)</f>
        <v>167.88</v>
      </c>
    </row>
    <row r="476" spans="1:30" x14ac:dyDescent="0.2">
      <c r="A476" s="78" t="s">
        <v>143</v>
      </c>
      <c r="B476" s="110">
        <f>IF((F471+F470+F469+F467+F468)=0,"",((F471+F470+F469+F467+F468)-$AB$469)/(F471+F470+F469+F467+F468))</f>
        <v>0.32105090511353146</v>
      </c>
      <c r="D476" s="139" t="str">
        <f>IF(B476="","SIN PC",IF(B476&gt;=0.3,"APROBAR",IF(B476&gt;=0.2,"REVISAR","RECHAZAR")))</f>
        <v>APROBAR</v>
      </c>
      <c r="E476" s="139"/>
      <c r="F476" s="139"/>
      <c r="AD476">
        <f>SUM(F469:F471)-36.4005</f>
        <v>-4.99999999995282E-4</v>
      </c>
    </row>
    <row r="477" spans="1:30" x14ac:dyDescent="0.2">
      <c r="A477" s="140" t="s">
        <v>743</v>
      </c>
      <c r="B477" s="140"/>
      <c r="C477" s="140"/>
      <c r="D477" s="140"/>
      <c r="E477" s="140"/>
      <c r="F477" s="140"/>
    </row>
    <row r="478" spans="1:30" x14ac:dyDescent="0.2">
      <c r="A478" s="111" t="s">
        <v>111</v>
      </c>
      <c r="B478" s="111" t="s">
        <v>744</v>
      </c>
      <c r="D478" s="111" t="s">
        <v>745</v>
      </c>
      <c r="E478" s="111" t="s">
        <v>746</v>
      </c>
      <c r="F478" s="111" t="s">
        <v>120</v>
      </c>
    </row>
    <row r="479" spans="1:30" x14ac:dyDescent="0.2">
      <c r="A479" s="112" t="s">
        <v>747</v>
      </c>
      <c r="B479" s="113">
        <v>486</v>
      </c>
      <c r="C479" s="114"/>
      <c r="D479" s="92">
        <v>0.06</v>
      </c>
      <c r="E479" s="114"/>
      <c r="F479" s="115">
        <f>ROUND(B479*D479,2)</f>
        <v>29.16</v>
      </c>
    </row>
    <row r="480" spans="1:30" x14ac:dyDescent="0.2">
      <c r="A480" s="112" t="s">
        <v>748</v>
      </c>
      <c r="B480" s="114"/>
      <c r="C480" s="114"/>
      <c r="D480" s="114"/>
      <c r="E480" s="116">
        <v>0.06</v>
      </c>
      <c r="F480" s="115">
        <v>17.760000000000002</v>
      </c>
    </row>
    <row r="481" spans="1:30" x14ac:dyDescent="0.2">
      <c r="A481" s="117" t="s">
        <v>749</v>
      </c>
      <c r="B481" s="114"/>
      <c r="C481" s="114"/>
      <c r="D481" s="114"/>
      <c r="E481" s="114"/>
      <c r="F481" s="118">
        <f>F479-F480</f>
        <v>11.399999999999999</v>
      </c>
    </row>
    <row r="483" spans="1:30" x14ac:dyDescent="0.2">
      <c r="A483" s="137" t="s">
        <v>873</v>
      </c>
      <c r="B483" s="137"/>
      <c r="C483" s="137"/>
      <c r="D483" s="137"/>
      <c r="E483" s="137"/>
      <c r="F483" s="137"/>
      <c r="H483" s="137" t="s">
        <v>874</v>
      </c>
      <c r="I483" s="137"/>
      <c r="J483" s="137"/>
      <c r="K483" s="137"/>
      <c r="L483" s="76">
        <v>46113</v>
      </c>
      <c r="M483" s="77" t="s">
        <v>607</v>
      </c>
      <c r="N483" s="76">
        <v>46142</v>
      </c>
      <c r="R483" s="138" t="s">
        <v>110</v>
      </c>
      <c r="S483" s="138"/>
      <c r="T483" s="138"/>
      <c r="U483" s="138"/>
      <c r="V483" s="138"/>
    </row>
    <row r="484" spans="1:30" x14ac:dyDescent="0.2">
      <c r="A484" s="78" t="s">
        <v>111</v>
      </c>
      <c r="B484" s="79" t="s">
        <v>112</v>
      </c>
      <c r="C484" s="80"/>
      <c r="D484" s="80"/>
      <c r="E484" s="80"/>
      <c r="F484" s="80"/>
      <c r="H484" s="81" t="s">
        <v>875</v>
      </c>
      <c r="I484" s="82"/>
      <c r="J484" s="82"/>
      <c r="L484" s="83" t="s">
        <v>876</v>
      </c>
      <c r="M484" s="84"/>
      <c r="N484" s="84"/>
      <c r="R484" s="85" t="s">
        <v>877</v>
      </c>
    </row>
    <row r="485" spans="1:30" x14ac:dyDescent="0.2">
      <c r="B485" s="68" t="s">
        <v>116</v>
      </c>
      <c r="C485" s="68" t="s">
        <v>117</v>
      </c>
      <c r="D485" s="68" t="s">
        <v>118</v>
      </c>
      <c r="E485" s="68" t="s">
        <v>119</v>
      </c>
      <c r="F485" s="68" t="s">
        <v>120</v>
      </c>
      <c r="H485" s="86" t="s">
        <v>116</v>
      </c>
      <c r="I485" s="86" t="s">
        <v>119</v>
      </c>
      <c r="J485" s="86" t="s">
        <v>120</v>
      </c>
      <c r="L485" s="87" t="s">
        <v>116</v>
      </c>
      <c r="M485" s="87" t="s">
        <v>119</v>
      </c>
      <c r="N485" s="87" t="s">
        <v>120</v>
      </c>
      <c r="R485" s="88" t="s">
        <v>878</v>
      </c>
    </row>
    <row r="486" spans="1:30" x14ac:dyDescent="0.2">
      <c r="A486" s="89" t="s">
        <v>122</v>
      </c>
      <c r="B486" s="90">
        <v>5.75</v>
      </c>
      <c r="C486" s="91">
        <f>$N$483-$L$483+1</f>
        <v>30</v>
      </c>
      <c r="D486" s="92">
        <v>3.4085999999999999</v>
      </c>
      <c r="E486" s="93">
        <v>4.17</v>
      </c>
      <c r="F486" s="94">
        <f t="shared" ref="F486:F493" si="87">ROUND(B486*E486,2)</f>
        <v>23.98</v>
      </c>
      <c r="H486" s="95">
        <v>5.75</v>
      </c>
      <c r="I486" s="96">
        <v>4.17</v>
      </c>
      <c r="J486" s="97">
        <f t="shared" ref="J486:J493" si="88">ROUND(H486*I486,2)</f>
        <v>23.98</v>
      </c>
      <c r="L486" s="98">
        <v>5.75</v>
      </c>
      <c r="M486" s="99">
        <v>4.17</v>
      </c>
      <c r="N486" s="100">
        <f t="shared" ref="N486:N493" si="89">ROUND(L486*M486,2)</f>
        <v>23.98</v>
      </c>
      <c r="R486" s="101" t="s">
        <v>879</v>
      </c>
    </row>
    <row r="487" spans="1:30" x14ac:dyDescent="0.2">
      <c r="A487" s="89" t="s">
        <v>124</v>
      </c>
      <c r="B487" s="90">
        <v>5.75</v>
      </c>
      <c r="C487" s="91">
        <f>$N$483-$L$483+1</f>
        <v>30</v>
      </c>
      <c r="D487" s="92">
        <v>1.09728</v>
      </c>
      <c r="E487" s="93">
        <v>1.37</v>
      </c>
      <c r="F487" s="94">
        <f t="shared" si="87"/>
        <v>7.88</v>
      </c>
      <c r="H487" s="95">
        <v>5.75</v>
      </c>
      <c r="I487" s="96">
        <v>1.37</v>
      </c>
      <c r="J487" s="97">
        <f t="shared" si="88"/>
        <v>7.88</v>
      </c>
      <c r="L487" s="98">
        <v>5.75</v>
      </c>
      <c r="M487" s="99">
        <v>1.37</v>
      </c>
      <c r="N487" s="100">
        <f t="shared" si="89"/>
        <v>7.88</v>
      </c>
      <c r="R487" s="102" t="s">
        <v>880</v>
      </c>
    </row>
    <row r="488" spans="1:30" x14ac:dyDescent="0.2">
      <c r="A488" s="89" t="s">
        <v>614</v>
      </c>
      <c r="B488" s="90">
        <f>IF($P$488&lt;&gt;"",ROUND(AA488*(($AB$488/(1-$P$488))-31.855)/48.7521,2),IF('Resumen 2.0TD'!$D$3="OPTIMIZAR",ROUND(MAX(AA488,MIN(AA488*(($AB$488/(1-'Resumen 2.0TD'!$F$3))-31.855)/48.7521,AA488*(170.1928)/48.7521)),3),AA488))</f>
        <v>59.585000000000001</v>
      </c>
      <c r="C488" s="103"/>
      <c r="D488" s="92">
        <v>0.110306</v>
      </c>
      <c r="E488" s="93">
        <v>0.14937</v>
      </c>
      <c r="F488" s="94">
        <f t="shared" si="87"/>
        <v>8.9</v>
      </c>
      <c r="H488" s="95">
        <v>102.117</v>
      </c>
      <c r="I488" s="96">
        <v>0.14937</v>
      </c>
      <c r="J488" s="97">
        <f t="shared" si="88"/>
        <v>15.25</v>
      </c>
      <c r="L488" s="98">
        <v>84.566000000000003</v>
      </c>
      <c r="M488" s="99">
        <v>0.14937</v>
      </c>
      <c r="N488" s="100">
        <f t="shared" si="89"/>
        <v>12.63</v>
      </c>
      <c r="O488" s="104" t="s">
        <v>615</v>
      </c>
      <c r="P488" s="67"/>
      <c r="R488" s="102" t="s">
        <v>881</v>
      </c>
      <c r="AA488">
        <v>51.332999999999998</v>
      </c>
      <c r="AB488">
        <f>B486*D486+B487*D487+AA488*D488+AA489*D489+AA490*D490</f>
        <v>61.911033810000006</v>
      </c>
    </row>
    <row r="489" spans="1:30" x14ac:dyDescent="0.2">
      <c r="A489" s="89" t="s">
        <v>617</v>
      </c>
      <c r="B489" s="90">
        <f>IF($P$488&lt;&gt;"",ROUND(AA489*(($AB$488/(1-$P$488))-31.855)/48.7521,2),IF('Resumen 2.0TD'!$D$3="OPTIMIZAR",ROUND(MAX(AA489,MIN(AA489*(($AB$488/(1-'Resumen 2.0TD'!$F$3))-31.855)/48.7521,AA489*(170.1928)/48.7521)),3),AA489))</f>
        <v>77.695999999999998</v>
      </c>
      <c r="C489" s="103"/>
      <c r="D489" s="92">
        <v>0.110306</v>
      </c>
      <c r="E489" s="93">
        <v>0.14937</v>
      </c>
      <c r="F489" s="94">
        <f t="shared" si="87"/>
        <v>11.61</v>
      </c>
      <c r="H489" s="95">
        <v>116.38</v>
      </c>
      <c r="I489" s="96">
        <v>0.14937</v>
      </c>
      <c r="J489" s="97">
        <f t="shared" si="88"/>
        <v>17.38</v>
      </c>
      <c r="L489" s="98">
        <v>99.926000000000002</v>
      </c>
      <c r="M489" s="99">
        <v>0.14937</v>
      </c>
      <c r="N489" s="100">
        <f t="shared" si="89"/>
        <v>14.93</v>
      </c>
      <c r="O489" s="105" t="s">
        <v>618</v>
      </c>
      <c r="R489" s="102" t="s">
        <v>619</v>
      </c>
      <c r="AA489">
        <v>66.936000000000007</v>
      </c>
    </row>
    <row r="490" spans="1:30" x14ac:dyDescent="0.2">
      <c r="A490" s="89" t="s">
        <v>620</v>
      </c>
      <c r="B490" s="90">
        <f>IF($P$488&lt;&gt;"",ROUND(AA490*(($AB$488/(1-$P$488))-31.855)/48.7521,2),IF('Resumen 2.0TD'!$D$3="OPTIMIZAR",ROUND(MAX(AA490,MIN(AA490*(($AB$488/(1-'Resumen 2.0TD'!$F$3))-31.855)/48.7521,AA490*(170.1928)/48.7521)),3),AA490))</f>
        <v>241.572</v>
      </c>
      <c r="C490" s="103"/>
      <c r="D490" s="92">
        <v>0.110306</v>
      </c>
      <c r="E490" s="93">
        <v>0.14937</v>
      </c>
      <c r="F490" s="94">
        <f t="shared" si="87"/>
        <v>36.08</v>
      </c>
      <c r="H490" s="95">
        <v>242.63300000000001</v>
      </c>
      <c r="I490" s="96">
        <v>0.14937</v>
      </c>
      <c r="J490" s="97">
        <f t="shared" si="88"/>
        <v>36.24</v>
      </c>
      <c r="L490" s="98">
        <v>282.17500000000001</v>
      </c>
      <c r="M490" s="99">
        <v>0.14937</v>
      </c>
      <c r="N490" s="100">
        <f t="shared" si="89"/>
        <v>42.15</v>
      </c>
      <c r="O490" s="105" t="s">
        <v>621</v>
      </c>
      <c r="AA490">
        <v>208.11600000000001</v>
      </c>
    </row>
    <row r="491" spans="1:30" x14ac:dyDescent="0.2">
      <c r="A491" s="89" t="s">
        <v>139</v>
      </c>
      <c r="B491" s="90">
        <v>1</v>
      </c>
      <c r="C491" s="91">
        <f>$N$483-$L$483+1</f>
        <v>30</v>
      </c>
      <c r="D491" s="92">
        <v>0.79890000000000005</v>
      </c>
      <c r="E491" s="93">
        <v>4</v>
      </c>
      <c r="F491" s="94">
        <f t="shared" si="87"/>
        <v>4</v>
      </c>
      <c r="H491" s="95">
        <v>1</v>
      </c>
      <c r="I491" s="96">
        <v>4</v>
      </c>
      <c r="J491" s="97">
        <f t="shared" si="88"/>
        <v>4</v>
      </c>
      <c r="L491" s="98">
        <v>1</v>
      </c>
      <c r="M491" s="99">
        <v>4</v>
      </c>
      <c r="N491" s="100">
        <f t="shared" si="89"/>
        <v>4</v>
      </c>
    </row>
    <row r="492" spans="1:30" x14ac:dyDescent="0.2">
      <c r="A492" s="89" t="s">
        <v>140</v>
      </c>
      <c r="B492" s="90">
        <v>30</v>
      </c>
      <c r="C492" s="91">
        <f>$N$483-$L$483+1</f>
        <v>30</v>
      </c>
      <c r="D492" s="92">
        <v>0.5736</v>
      </c>
      <c r="E492" s="93">
        <v>1.274E-2</v>
      </c>
      <c r="F492" s="94">
        <f t="shared" si="87"/>
        <v>0.38</v>
      </c>
      <c r="H492" s="95">
        <v>30</v>
      </c>
      <c r="I492" s="96">
        <v>1.274E-2</v>
      </c>
      <c r="J492" s="97">
        <f t="shared" si="88"/>
        <v>0.38</v>
      </c>
      <c r="L492" s="98">
        <v>30</v>
      </c>
      <c r="M492" s="99">
        <v>6.2899999999999996E-3</v>
      </c>
      <c r="N492" s="100">
        <f t="shared" si="89"/>
        <v>0.19</v>
      </c>
    </row>
    <row r="493" spans="1:30" x14ac:dyDescent="0.2">
      <c r="A493" s="89" t="s">
        <v>141</v>
      </c>
      <c r="B493" s="90">
        <v>3.6</v>
      </c>
      <c r="C493" s="103"/>
      <c r="D493" s="92">
        <v>0.24729000000000001</v>
      </c>
      <c r="E493" s="93">
        <v>1</v>
      </c>
      <c r="F493" s="94">
        <f t="shared" si="87"/>
        <v>3.6</v>
      </c>
      <c r="H493" s="95">
        <v>4.83</v>
      </c>
      <c r="I493" s="96">
        <v>1</v>
      </c>
      <c r="J493" s="97">
        <f t="shared" si="88"/>
        <v>4.83</v>
      </c>
      <c r="L493" s="98">
        <v>4.8600000000000003</v>
      </c>
      <c r="M493" s="99">
        <v>1</v>
      </c>
      <c r="N493" s="100">
        <f t="shared" si="89"/>
        <v>4.8600000000000003</v>
      </c>
    </row>
    <row r="494" spans="1:30" x14ac:dyDescent="0.2">
      <c r="A494" s="106" t="s">
        <v>142</v>
      </c>
      <c r="F494" s="107">
        <f>ROUND((SUM(F486:F493)-F493)*1.1+F493,2)</f>
        <v>105.71</v>
      </c>
      <c r="J494" s="108">
        <f>ROUND(SUM(J486:J493),2)</f>
        <v>109.94</v>
      </c>
      <c r="N494" s="109">
        <f>ROUND(SUM(N486:N493),2)</f>
        <v>110.62</v>
      </c>
    </row>
    <row r="495" spans="1:30" x14ac:dyDescent="0.2">
      <c r="A495" s="78" t="s">
        <v>143</v>
      </c>
      <c r="B495" s="110">
        <f>IF((F490+F489+F488+F486+F487)=0,"",((F490+F489+F488+F486+F487)-$AB$488)/(F490+F489+F488+F486+F487))</f>
        <v>0.30004484104013551</v>
      </c>
      <c r="D495" s="139" t="str">
        <f>IF(B495="","SIN PC",IF(B495&gt;=0.3,"APROBAR",IF(B495&gt;=0.2,"REVISAR","RECHAZAR")))</f>
        <v>APROBAR</v>
      </c>
      <c r="E495" s="139"/>
      <c r="F495" s="139"/>
      <c r="AD495">
        <f>SUM(F488:F490)-48.7521</f>
        <v>7.8378999999999976</v>
      </c>
    </row>
    <row r="496" spans="1:30" x14ac:dyDescent="0.2">
      <c r="A496" s="140" t="s">
        <v>743</v>
      </c>
      <c r="B496" s="140"/>
      <c r="C496" s="140"/>
      <c r="D496" s="140"/>
      <c r="E496" s="140"/>
      <c r="F496" s="140"/>
    </row>
    <row r="497" spans="1:28" x14ac:dyDescent="0.2">
      <c r="A497" s="111" t="s">
        <v>111</v>
      </c>
      <c r="B497" s="111" t="s">
        <v>744</v>
      </c>
      <c r="D497" s="111" t="s">
        <v>745</v>
      </c>
      <c r="E497" s="111" t="s">
        <v>746</v>
      </c>
      <c r="F497" s="111" t="s">
        <v>120</v>
      </c>
    </row>
    <row r="498" spans="1:28" x14ac:dyDescent="0.2">
      <c r="A498" s="112" t="s">
        <v>747</v>
      </c>
      <c r="B498" s="113">
        <v>206</v>
      </c>
      <c r="C498" s="114"/>
      <c r="D498" s="92">
        <v>0.06</v>
      </c>
      <c r="E498" s="114"/>
      <c r="F498" s="115">
        <f>ROUND(B498*D498,2)</f>
        <v>12.36</v>
      </c>
    </row>
    <row r="499" spans="1:28" x14ac:dyDescent="0.2">
      <c r="A499" s="112" t="s">
        <v>748</v>
      </c>
      <c r="B499" s="114"/>
      <c r="C499" s="114"/>
      <c r="D499" s="114"/>
      <c r="E499" s="116">
        <v>0.06</v>
      </c>
      <c r="F499" s="115">
        <v>10.4</v>
      </c>
    </row>
    <row r="500" spans="1:28" x14ac:dyDescent="0.2">
      <c r="A500" s="117" t="s">
        <v>749</v>
      </c>
      <c r="B500" s="114"/>
      <c r="C500" s="114"/>
      <c r="D500" s="114"/>
      <c r="E500" s="114"/>
      <c r="F500" s="118">
        <f>F498-F499</f>
        <v>1.9599999999999991</v>
      </c>
    </row>
    <row r="502" spans="1:28" x14ac:dyDescent="0.2">
      <c r="A502" s="137" t="s">
        <v>882</v>
      </c>
      <c r="B502" s="137"/>
      <c r="C502" s="137"/>
      <c r="D502" s="137"/>
      <c r="E502" s="137"/>
      <c r="F502" s="137"/>
      <c r="H502" s="137" t="s">
        <v>883</v>
      </c>
      <c r="I502" s="137"/>
      <c r="J502" s="137"/>
      <c r="K502" s="137"/>
      <c r="L502" s="76">
        <v>46113</v>
      </c>
      <c r="M502" s="77" t="s">
        <v>607</v>
      </c>
      <c r="N502" s="76">
        <v>46142</v>
      </c>
      <c r="R502" s="138" t="s">
        <v>110</v>
      </c>
      <c r="S502" s="138"/>
      <c r="T502" s="138"/>
      <c r="U502" s="138"/>
      <c r="V502" s="138"/>
    </row>
    <row r="503" spans="1:28" x14ac:dyDescent="0.2">
      <c r="A503" s="78" t="s">
        <v>111</v>
      </c>
      <c r="B503" s="79" t="s">
        <v>112</v>
      </c>
      <c r="C503" s="80"/>
      <c r="D503" s="80"/>
      <c r="E503" s="80"/>
      <c r="F503" s="80"/>
      <c r="H503" s="81" t="s">
        <v>884</v>
      </c>
      <c r="I503" s="82"/>
      <c r="J503" s="82"/>
      <c r="L503" s="83" t="s">
        <v>885</v>
      </c>
      <c r="M503" s="84"/>
      <c r="N503" s="84"/>
      <c r="R503" s="85" t="s">
        <v>886</v>
      </c>
    </row>
    <row r="504" spans="1:28" x14ac:dyDescent="0.2">
      <c r="B504" s="68" t="s">
        <v>116</v>
      </c>
      <c r="C504" s="68" t="s">
        <v>117</v>
      </c>
      <c r="D504" s="68" t="s">
        <v>118</v>
      </c>
      <c r="E504" s="68" t="s">
        <v>119</v>
      </c>
      <c r="F504" s="68" t="s">
        <v>120</v>
      </c>
      <c r="H504" s="86" t="s">
        <v>116</v>
      </c>
      <c r="I504" s="86" t="s">
        <v>119</v>
      </c>
      <c r="J504" s="86" t="s">
        <v>120</v>
      </c>
      <c r="L504" s="87" t="s">
        <v>116</v>
      </c>
      <c r="M504" s="87" t="s">
        <v>119</v>
      </c>
      <c r="N504" s="87" t="s">
        <v>120</v>
      </c>
      <c r="R504" s="88" t="s">
        <v>887</v>
      </c>
    </row>
    <row r="505" spans="1:28" x14ac:dyDescent="0.2">
      <c r="A505" s="89" t="s">
        <v>122</v>
      </c>
      <c r="B505" s="90">
        <v>8</v>
      </c>
      <c r="C505" s="91">
        <f>$N$502-$L$502+1</f>
        <v>30</v>
      </c>
      <c r="D505" s="92">
        <v>3.4085999999999999</v>
      </c>
      <c r="E505" s="93">
        <v>3.85</v>
      </c>
      <c r="F505" s="94">
        <f t="shared" ref="F505:F512" si="90">ROUND(B505*E505,2)</f>
        <v>30.8</v>
      </c>
      <c r="H505" s="95">
        <v>8</v>
      </c>
      <c r="I505" s="96">
        <v>3.85</v>
      </c>
      <c r="J505" s="97">
        <f t="shared" ref="J505:J512" si="91">ROUND(H505*I505,2)</f>
        <v>30.8</v>
      </c>
      <c r="L505" s="98">
        <v>8</v>
      </c>
      <c r="M505" s="99">
        <v>3.85</v>
      </c>
      <c r="N505" s="100">
        <f t="shared" ref="N505:N512" si="92">ROUND(L505*M505,2)</f>
        <v>30.8</v>
      </c>
      <c r="R505" s="101" t="s">
        <v>888</v>
      </c>
    </row>
    <row r="506" spans="1:28" x14ac:dyDescent="0.2">
      <c r="A506" s="89" t="s">
        <v>124</v>
      </c>
      <c r="B506" s="90">
        <v>8</v>
      </c>
      <c r="C506" s="91">
        <f>$N$502-$L$502+1</f>
        <v>30</v>
      </c>
      <c r="D506" s="92">
        <v>1.09728</v>
      </c>
      <c r="E506" s="93">
        <v>1.33</v>
      </c>
      <c r="F506" s="94">
        <f t="shared" si="90"/>
        <v>10.64</v>
      </c>
      <c r="H506" s="95">
        <v>8</v>
      </c>
      <c r="I506" s="96">
        <v>1.33</v>
      </c>
      <c r="J506" s="97">
        <f t="shared" si="91"/>
        <v>10.64</v>
      </c>
      <c r="L506" s="98">
        <v>8</v>
      </c>
      <c r="M506" s="99">
        <v>1.33</v>
      </c>
      <c r="N506" s="100">
        <f t="shared" si="92"/>
        <v>10.64</v>
      </c>
      <c r="R506" s="102" t="s">
        <v>889</v>
      </c>
    </row>
    <row r="507" spans="1:28" x14ac:dyDescent="0.2">
      <c r="A507" s="89" t="s">
        <v>614</v>
      </c>
      <c r="B507" s="90">
        <f>IF($P$507&lt;&gt;"",ROUND(AA507*(($AB$507/(1-$P$507))-41.44)/48.0259,2),IF('Resumen 2.0TD'!$D$3="OPTIMIZAR",ROUND(MAX(AA507,MIN(AA507*(($AB$507/(1-'Resumen 2.0TD'!$F$3))-41.44)/48.0259,AA507*(322.4778)/48.0259)),3),AA507))</f>
        <v>34.46</v>
      </c>
      <c r="C507" s="103"/>
      <c r="D507" s="92">
        <v>0.110306</v>
      </c>
      <c r="E507" s="93">
        <v>0.13788</v>
      </c>
      <c r="F507" s="94">
        <f t="shared" si="90"/>
        <v>4.75</v>
      </c>
      <c r="H507" s="95">
        <v>217.137</v>
      </c>
      <c r="I507" s="96">
        <v>0.13788</v>
      </c>
      <c r="J507" s="97">
        <f t="shared" si="91"/>
        <v>29.94</v>
      </c>
      <c r="L507" s="98">
        <v>2.8079999999999998</v>
      </c>
      <c r="M507" s="99">
        <v>0.13788</v>
      </c>
      <c r="N507" s="100">
        <f t="shared" si="92"/>
        <v>0.39</v>
      </c>
      <c r="O507" s="104" t="s">
        <v>615</v>
      </c>
      <c r="P507" s="67"/>
      <c r="R507" s="102" t="s">
        <v>890</v>
      </c>
      <c r="AA507">
        <v>25.483000000000001</v>
      </c>
      <c r="AB507">
        <f>B505*D505+B506*D506+AA507*D507+AA508*D508+AA509*D509</f>
        <v>74.468495001999997</v>
      </c>
    </row>
    <row r="508" spans="1:28" x14ac:dyDescent="0.2">
      <c r="A508" s="89" t="s">
        <v>617</v>
      </c>
      <c r="B508" s="90">
        <f>IF($P$507&lt;&gt;"",ROUND(AA508*(($AB$507/(1-$P$507))-41.44)/48.0259,2),IF('Resumen 2.0TD'!$D$3="OPTIMIZAR",ROUND(MAX(AA508,MIN(AA508*(($AB$507/(1-'Resumen 2.0TD'!$F$3))-41.44)/48.0259,AA508*(322.4778)/48.0259)),3),AA508))</f>
        <v>84.783000000000001</v>
      </c>
      <c r="C508" s="103"/>
      <c r="D508" s="92">
        <v>0.110306</v>
      </c>
      <c r="E508" s="93">
        <v>0.13788</v>
      </c>
      <c r="F508" s="94">
        <f t="shared" si="90"/>
        <v>11.69</v>
      </c>
      <c r="H508" s="95">
        <v>163.934</v>
      </c>
      <c r="I508" s="96">
        <v>0.13788</v>
      </c>
      <c r="J508" s="97">
        <f t="shared" si="91"/>
        <v>22.6</v>
      </c>
      <c r="L508" s="98">
        <v>25.709</v>
      </c>
      <c r="M508" s="99">
        <v>0.13788</v>
      </c>
      <c r="N508" s="100">
        <f t="shared" si="92"/>
        <v>3.54</v>
      </c>
      <c r="O508" s="105" t="s">
        <v>618</v>
      </c>
      <c r="R508" s="102" t="s">
        <v>619</v>
      </c>
      <c r="AA508">
        <v>62.697000000000003</v>
      </c>
    </row>
    <row r="509" spans="1:28" x14ac:dyDescent="0.2">
      <c r="A509" s="89" t="s">
        <v>620</v>
      </c>
      <c r="B509" s="90">
        <f>IF($P$507&lt;&gt;"",ROUND(AA509*(($AB$507/(1-$P$507))-41.44)/48.0259,2),IF('Resumen 2.0TD'!$D$3="OPTIMIZAR",ROUND(MAX(AA509,MIN(AA509*(($AB$507/(1-'Resumen 2.0TD'!$F$3))-41.44)/48.0259,AA509*(322.4778)/48.0259)),3),AA509))</f>
        <v>351.77300000000002</v>
      </c>
      <c r="C509" s="103"/>
      <c r="D509" s="92">
        <v>0.110306</v>
      </c>
      <c r="E509" s="93">
        <v>0.13788</v>
      </c>
      <c r="F509" s="94">
        <f t="shared" si="90"/>
        <v>48.5</v>
      </c>
      <c r="H509" s="95">
        <v>380.58199999999999</v>
      </c>
      <c r="I509" s="96">
        <v>0.13788</v>
      </c>
      <c r="J509" s="97">
        <f t="shared" si="91"/>
        <v>52.47</v>
      </c>
      <c r="L509" s="98">
        <v>137.74799999999999</v>
      </c>
      <c r="M509" s="99">
        <v>0.13788</v>
      </c>
      <c r="N509" s="100">
        <f t="shared" si="92"/>
        <v>18.989999999999998</v>
      </c>
      <c r="O509" s="105" t="s">
        <v>621</v>
      </c>
      <c r="AA509">
        <v>260.137</v>
      </c>
    </row>
    <row r="510" spans="1:28" x14ac:dyDescent="0.2">
      <c r="A510" s="89" t="s">
        <v>139</v>
      </c>
      <c r="B510" s="90">
        <v>1</v>
      </c>
      <c r="C510" s="91">
        <f>$N$502-$L$502+1</f>
        <v>30</v>
      </c>
      <c r="D510" s="92">
        <v>1.3413999999999999</v>
      </c>
      <c r="E510" s="93">
        <v>3</v>
      </c>
      <c r="F510" s="94">
        <f t="shared" si="90"/>
        <v>3</v>
      </c>
      <c r="H510" s="95">
        <v>1</v>
      </c>
      <c r="I510" s="96">
        <v>3</v>
      </c>
      <c r="J510" s="97">
        <f t="shared" si="91"/>
        <v>3</v>
      </c>
      <c r="L510" s="98">
        <v>1</v>
      </c>
      <c r="M510" s="99">
        <v>3</v>
      </c>
      <c r="N510" s="100">
        <f t="shared" si="92"/>
        <v>3</v>
      </c>
    </row>
    <row r="511" spans="1:28" x14ac:dyDescent="0.2">
      <c r="A511" s="89" t="s">
        <v>140</v>
      </c>
      <c r="B511" s="90">
        <v>30</v>
      </c>
      <c r="C511" s="91">
        <f>$N$502-$L$502+1</f>
        <v>30</v>
      </c>
      <c r="D511" s="92">
        <v>0.5736</v>
      </c>
      <c r="E511" s="93">
        <v>1.274E-2</v>
      </c>
      <c r="F511" s="94">
        <f t="shared" si="90"/>
        <v>0.38</v>
      </c>
      <c r="H511" s="95">
        <v>30</v>
      </c>
      <c r="I511" s="96">
        <v>1.274E-2</v>
      </c>
      <c r="J511" s="97">
        <f t="shared" si="91"/>
        <v>0.38</v>
      </c>
      <c r="L511" s="98">
        <v>30</v>
      </c>
      <c r="M511" s="99">
        <v>6.2899999999999996E-3</v>
      </c>
      <c r="N511" s="100">
        <f t="shared" si="92"/>
        <v>0.19</v>
      </c>
    </row>
    <row r="512" spans="1:28" x14ac:dyDescent="0.2">
      <c r="A512" s="89" t="s">
        <v>141</v>
      </c>
      <c r="B512" s="90">
        <v>3.26</v>
      </c>
      <c r="C512" s="103"/>
      <c r="D512" s="92">
        <v>0.24729000000000001</v>
      </c>
      <c r="E512" s="93">
        <v>1</v>
      </c>
      <c r="F512" s="94">
        <f t="shared" si="90"/>
        <v>3.26</v>
      </c>
      <c r="H512" s="95">
        <v>6.54</v>
      </c>
      <c r="I512" s="96">
        <v>1</v>
      </c>
      <c r="J512" s="97">
        <f t="shared" si="91"/>
        <v>6.54</v>
      </c>
      <c r="L512" s="98">
        <v>2.13</v>
      </c>
      <c r="M512" s="99">
        <v>1</v>
      </c>
      <c r="N512" s="100">
        <f t="shared" si="92"/>
        <v>2.13</v>
      </c>
    </row>
    <row r="513" spans="1:30" x14ac:dyDescent="0.2">
      <c r="A513" s="106" t="s">
        <v>142</v>
      </c>
      <c r="F513" s="107">
        <f>ROUND((SUM(F505:F512)-F512)*1.1+F512,2)</f>
        <v>124</v>
      </c>
      <c r="J513" s="108">
        <f>ROUND(SUM(J505:J512),2)</f>
        <v>156.37</v>
      </c>
      <c r="N513" s="109">
        <f>ROUND(SUM(N505:N512),2)</f>
        <v>69.680000000000007</v>
      </c>
    </row>
    <row r="514" spans="1:30" x14ac:dyDescent="0.2">
      <c r="A514" s="78" t="s">
        <v>143</v>
      </c>
      <c r="B514" s="110">
        <f>IF((F509+F508+F507+F505+F506)=0,"",((F509+F508+F507+F505+F506)-$AB$507)/(F509+F508+F507+F505+F506))</f>
        <v>0.29997654632449711</v>
      </c>
      <c r="D514" s="139" t="str">
        <f>IF(B514="","SIN PC",IF(B514&gt;=0.3,"APROBAR",IF(B514&gt;=0.2,"REVISAR","RECHAZAR")))</f>
        <v>REVISAR</v>
      </c>
      <c r="E514" s="139"/>
      <c r="F514" s="139"/>
      <c r="AD514">
        <f>SUM(F507:F509)-48.0259</f>
        <v>16.914099999999998</v>
      </c>
    </row>
    <row r="515" spans="1:30" x14ac:dyDescent="0.2">
      <c r="A515" s="140" t="s">
        <v>743</v>
      </c>
      <c r="B515" s="140"/>
      <c r="C515" s="140"/>
      <c r="D515" s="140"/>
      <c r="E515" s="140"/>
      <c r="F515" s="140"/>
    </row>
    <row r="516" spans="1:30" x14ac:dyDescent="0.2">
      <c r="A516" s="111" t="s">
        <v>111</v>
      </c>
      <c r="B516" s="111" t="s">
        <v>744</v>
      </c>
      <c r="D516" s="111" t="s">
        <v>745</v>
      </c>
      <c r="E516" s="111" t="s">
        <v>746</v>
      </c>
      <c r="F516" s="111" t="s">
        <v>120</v>
      </c>
    </row>
    <row r="517" spans="1:30" x14ac:dyDescent="0.2">
      <c r="A517" s="112" t="s">
        <v>747</v>
      </c>
      <c r="B517" s="113">
        <v>471</v>
      </c>
      <c r="C517" s="114"/>
      <c r="D517" s="92">
        <v>0.06</v>
      </c>
      <c r="E517" s="114"/>
      <c r="F517" s="115">
        <f>ROUND(B517*D517,2)</f>
        <v>28.26</v>
      </c>
    </row>
    <row r="518" spans="1:30" x14ac:dyDescent="0.2">
      <c r="A518" s="112" t="s">
        <v>748</v>
      </c>
      <c r="B518" s="114"/>
      <c r="C518" s="114"/>
      <c r="D518" s="114"/>
      <c r="E518" s="116">
        <v>0.06</v>
      </c>
      <c r="F518" s="115">
        <v>25.84</v>
      </c>
    </row>
    <row r="519" spans="1:30" x14ac:dyDescent="0.2">
      <c r="A519" s="117" t="s">
        <v>749</v>
      </c>
      <c r="B519" s="114"/>
      <c r="C519" s="114"/>
      <c r="D519" s="114"/>
      <c r="E519" s="114"/>
      <c r="F519" s="118">
        <f>F517-F518</f>
        <v>2.4200000000000017</v>
      </c>
    </row>
    <row r="521" spans="1:30" x14ac:dyDescent="0.2">
      <c r="A521" s="137" t="s">
        <v>891</v>
      </c>
      <c r="B521" s="137"/>
      <c r="C521" s="137"/>
      <c r="D521" s="137"/>
      <c r="E521" s="137"/>
      <c r="F521" s="137"/>
      <c r="H521" s="137" t="s">
        <v>892</v>
      </c>
      <c r="I521" s="137"/>
      <c r="J521" s="137"/>
      <c r="K521" s="137"/>
      <c r="L521" s="76">
        <v>46113</v>
      </c>
      <c r="M521" s="77" t="s">
        <v>607</v>
      </c>
      <c r="N521" s="76">
        <v>46142</v>
      </c>
      <c r="R521" s="138" t="s">
        <v>110</v>
      </c>
      <c r="S521" s="138"/>
      <c r="T521" s="138"/>
      <c r="U521" s="138"/>
      <c r="V521" s="138"/>
    </row>
    <row r="522" spans="1:30" x14ac:dyDescent="0.2">
      <c r="A522" s="78" t="s">
        <v>111</v>
      </c>
      <c r="B522" s="79" t="s">
        <v>112</v>
      </c>
      <c r="C522" s="80"/>
      <c r="D522" s="80"/>
      <c r="E522" s="80"/>
      <c r="F522" s="80"/>
      <c r="H522" s="81" t="s">
        <v>893</v>
      </c>
      <c r="I522" s="82"/>
      <c r="J522" s="82"/>
      <c r="L522" s="83" t="s">
        <v>796</v>
      </c>
      <c r="M522" s="84"/>
      <c r="N522" s="84"/>
      <c r="R522" s="85" t="s">
        <v>894</v>
      </c>
    </row>
    <row r="523" spans="1:30" x14ac:dyDescent="0.2">
      <c r="B523" s="68" t="s">
        <v>116</v>
      </c>
      <c r="C523" s="68" t="s">
        <v>117</v>
      </c>
      <c r="D523" s="68" t="s">
        <v>118</v>
      </c>
      <c r="E523" s="68" t="s">
        <v>119</v>
      </c>
      <c r="F523" s="68" t="s">
        <v>120</v>
      </c>
      <c r="H523" s="86" t="s">
        <v>116</v>
      </c>
      <c r="I523" s="86" t="s">
        <v>119</v>
      </c>
      <c r="J523" s="86" t="s">
        <v>120</v>
      </c>
      <c r="L523" s="87" t="s">
        <v>116</v>
      </c>
      <c r="M523" s="87" t="s">
        <v>119</v>
      </c>
      <c r="N523" s="87" t="s">
        <v>120</v>
      </c>
      <c r="R523" s="88" t="s">
        <v>895</v>
      </c>
    </row>
    <row r="524" spans="1:30" x14ac:dyDescent="0.2">
      <c r="A524" s="89" t="s">
        <v>122</v>
      </c>
      <c r="B524" s="90">
        <v>5.75</v>
      </c>
      <c r="C524" s="91">
        <f>$N$521-$L$521+1</f>
        <v>30</v>
      </c>
      <c r="D524" s="92">
        <v>3.68919</v>
      </c>
      <c r="E524" s="93">
        <v>3.85</v>
      </c>
      <c r="F524" s="94">
        <f t="shared" ref="F524:F531" si="93">ROUND(B524*E524,2)</f>
        <v>22.14</v>
      </c>
      <c r="H524" s="95">
        <v>5.75</v>
      </c>
      <c r="I524" s="96">
        <v>3.85</v>
      </c>
      <c r="J524" s="97">
        <f t="shared" ref="J524:J531" si="94">ROUND(H524*I524,2)</f>
        <v>22.14</v>
      </c>
      <c r="L524" s="119"/>
      <c r="M524" s="119"/>
      <c r="N524" s="119"/>
      <c r="R524" s="101" t="s">
        <v>896</v>
      </c>
    </row>
    <row r="525" spans="1:30" x14ac:dyDescent="0.2">
      <c r="A525" s="89" t="s">
        <v>124</v>
      </c>
      <c r="B525" s="90">
        <v>5.75</v>
      </c>
      <c r="C525" s="91">
        <f>$N$521-$L$521+1</f>
        <v>30</v>
      </c>
      <c r="D525" s="92">
        <v>1.31928</v>
      </c>
      <c r="E525" s="93">
        <v>1.33</v>
      </c>
      <c r="F525" s="94">
        <f t="shared" si="93"/>
        <v>7.65</v>
      </c>
      <c r="H525" s="95">
        <v>5.75</v>
      </c>
      <c r="I525" s="96">
        <v>1.33</v>
      </c>
      <c r="J525" s="97">
        <f t="shared" si="94"/>
        <v>7.65</v>
      </c>
      <c r="L525" s="119"/>
      <c r="M525" s="119"/>
      <c r="N525" s="119"/>
      <c r="R525" s="102" t="s">
        <v>897</v>
      </c>
    </row>
    <row r="526" spans="1:30" x14ac:dyDescent="0.2">
      <c r="A526" s="89" t="s">
        <v>614</v>
      </c>
      <c r="B526" s="90">
        <f>IF($P$526&lt;&gt;"",ROUND(AA526*(($AB$526/(1-$P$526))-29.785)/37.5122,2),IF('Resumen 2.0TD'!$D$3="OPTIMIZAR",ROUND(MAX(AA526,MIN(AA526*(($AB$526/(1-'Resumen 2.0TD'!$F$3))-29.785)/37.5122,AA526*(170.7728)/37.5122)),3),AA526))</f>
        <v>125.874</v>
      </c>
      <c r="C526" s="103"/>
      <c r="D526" s="92">
        <v>0.11117100000000001</v>
      </c>
      <c r="E526" s="93">
        <v>0.13788</v>
      </c>
      <c r="F526" s="94">
        <f t="shared" si="93"/>
        <v>17.36</v>
      </c>
      <c r="H526" s="95">
        <v>142.934</v>
      </c>
      <c r="I526" s="96">
        <v>0.13788</v>
      </c>
      <c r="J526" s="97">
        <f t="shared" si="94"/>
        <v>19.71</v>
      </c>
      <c r="L526" s="119"/>
      <c r="M526" s="119"/>
      <c r="N526" s="119"/>
      <c r="O526" s="104" t="s">
        <v>615</v>
      </c>
      <c r="P526" s="67"/>
      <c r="R526" s="102" t="s">
        <v>898</v>
      </c>
      <c r="AA526">
        <v>86.537000000000006</v>
      </c>
      <c r="AB526">
        <f>B524*D524+B525*D525+AA526*D526+AA527*D527+AA528*D528</f>
        <v>59.044329444000013</v>
      </c>
    </row>
    <row r="527" spans="1:30" x14ac:dyDescent="0.2">
      <c r="A527" s="89" t="s">
        <v>617</v>
      </c>
      <c r="B527" s="90">
        <f>IF($P$526&lt;&gt;"",ROUND(AA527*(($AB$526/(1-$P$526))-29.785)/37.5122,2),IF('Resumen 2.0TD'!$D$3="OPTIMIZAR",ROUND(MAX(AA527,MIN(AA527*(($AB$526/(1-'Resumen 2.0TD'!$F$3))-29.785)/37.5122,AA527*(170.7728)/37.5122)),3),AA527))</f>
        <v>78.176000000000002</v>
      </c>
      <c r="C527" s="103"/>
      <c r="D527" s="92">
        <v>0.11117100000000001</v>
      </c>
      <c r="E527" s="93">
        <v>0.13788</v>
      </c>
      <c r="F527" s="94">
        <f t="shared" si="93"/>
        <v>10.78</v>
      </c>
      <c r="H527" s="95">
        <v>139.25899999999999</v>
      </c>
      <c r="I527" s="96">
        <v>0.13788</v>
      </c>
      <c r="J527" s="97">
        <f t="shared" si="94"/>
        <v>19.2</v>
      </c>
      <c r="L527" s="119"/>
      <c r="M527" s="119"/>
      <c r="N527" s="119"/>
      <c r="O527" s="105" t="s">
        <v>618</v>
      </c>
      <c r="R527" s="102" t="s">
        <v>619</v>
      </c>
      <c r="AA527">
        <v>53.744999999999997</v>
      </c>
    </row>
    <row r="528" spans="1:30" x14ac:dyDescent="0.2">
      <c r="A528" s="89" t="s">
        <v>620</v>
      </c>
      <c r="B528" s="90">
        <f>IF($P$526&lt;&gt;"",ROUND(AA528*(($AB$526/(1-$P$526))-29.785)/37.5122,2),IF('Resumen 2.0TD'!$D$3="OPTIMIZAR",ROUND(MAX(AA528,MIN(AA528*(($AB$526/(1-'Resumen 2.0TD'!$F$3))-29.785)/37.5122,AA528*(170.7728)/37.5122)),3),AA528))</f>
        <v>191.68600000000001</v>
      </c>
      <c r="C528" s="103"/>
      <c r="D528" s="92">
        <v>0.11117100000000001</v>
      </c>
      <c r="E528" s="93">
        <v>0.13788</v>
      </c>
      <c r="F528" s="94">
        <f t="shared" si="93"/>
        <v>26.43</v>
      </c>
      <c r="H528" s="95">
        <v>285.91699999999997</v>
      </c>
      <c r="I528" s="96">
        <v>0.13788</v>
      </c>
      <c r="J528" s="97">
        <f t="shared" si="94"/>
        <v>39.42</v>
      </c>
      <c r="L528" s="119"/>
      <c r="M528" s="119"/>
      <c r="N528" s="119"/>
      <c r="O528" s="105" t="s">
        <v>621</v>
      </c>
      <c r="AA528">
        <v>131.78200000000001</v>
      </c>
    </row>
    <row r="529" spans="1:30" x14ac:dyDescent="0.2">
      <c r="A529" s="89" t="s">
        <v>139</v>
      </c>
      <c r="B529" s="90">
        <v>1</v>
      </c>
      <c r="C529" s="91">
        <f>$N$521-$L$521+1</f>
        <v>30</v>
      </c>
      <c r="D529" s="92">
        <v>0.79890000000000005</v>
      </c>
      <c r="E529" s="93">
        <v>3</v>
      </c>
      <c r="F529" s="94">
        <f t="shared" si="93"/>
        <v>3</v>
      </c>
      <c r="H529" s="95">
        <v>1</v>
      </c>
      <c r="I529" s="96">
        <v>3</v>
      </c>
      <c r="J529" s="97">
        <f t="shared" si="94"/>
        <v>3</v>
      </c>
      <c r="L529" s="119"/>
      <c r="M529" s="119"/>
      <c r="N529" s="119"/>
    </row>
    <row r="530" spans="1:30" x14ac:dyDescent="0.2">
      <c r="A530" s="89" t="s">
        <v>140</v>
      </c>
      <c r="B530" s="90">
        <v>30</v>
      </c>
      <c r="C530" s="91">
        <f>$N$521-$L$521+1</f>
        <v>30</v>
      </c>
      <c r="D530" s="92">
        <v>0.5736</v>
      </c>
      <c r="E530" s="93">
        <v>1.274E-2</v>
      </c>
      <c r="F530" s="94">
        <f t="shared" si="93"/>
        <v>0.38</v>
      </c>
      <c r="H530" s="95">
        <v>30</v>
      </c>
      <c r="I530" s="96">
        <v>1.274E-2</v>
      </c>
      <c r="J530" s="97">
        <f t="shared" si="94"/>
        <v>0.38</v>
      </c>
      <c r="L530" s="119"/>
      <c r="M530" s="119"/>
      <c r="N530" s="119"/>
    </row>
    <row r="531" spans="1:30" x14ac:dyDescent="0.2">
      <c r="A531" s="89" t="s">
        <v>141</v>
      </c>
      <c r="B531" s="90">
        <v>1.9</v>
      </c>
      <c r="C531" s="103"/>
      <c r="D531" s="92">
        <v>0.27311999999999997</v>
      </c>
      <c r="E531" s="93">
        <v>1</v>
      </c>
      <c r="F531" s="94">
        <f t="shared" si="93"/>
        <v>1.9</v>
      </c>
      <c r="H531" s="95">
        <v>4.5999999999999996</v>
      </c>
      <c r="I531" s="96">
        <v>1</v>
      </c>
      <c r="J531" s="97">
        <f t="shared" si="94"/>
        <v>4.5999999999999996</v>
      </c>
      <c r="L531" s="119"/>
      <c r="M531" s="119"/>
      <c r="N531" s="119"/>
    </row>
    <row r="532" spans="1:30" x14ac:dyDescent="0.2">
      <c r="A532" s="106" t="s">
        <v>142</v>
      </c>
      <c r="F532" s="107">
        <f>ROUND((SUM(F524:F531)-F531)*1.1+F531,2)</f>
        <v>98.41</v>
      </c>
      <c r="J532" s="108">
        <f>ROUND(SUM(J524:J531),2)</f>
        <v>116.1</v>
      </c>
      <c r="N532" s="120"/>
    </row>
    <row r="533" spans="1:30" x14ac:dyDescent="0.2">
      <c r="A533" s="78" t="s">
        <v>143</v>
      </c>
      <c r="B533" s="110">
        <f>IF((F528+F527+F526+F524+F525)=0,"",((F528+F527+F526+F524+F525)-$AB$526)/(F528+F527+F526+F524+F525))</f>
        <v>0.30009092645803692</v>
      </c>
      <c r="D533" s="139" t="str">
        <f>IF(B533="","SIN PC",IF(B533&gt;=0.3,"APROBAR",IF(B533&gt;=0.2,"REVISAR","RECHAZAR")))</f>
        <v>APROBAR</v>
      </c>
      <c r="E533" s="139"/>
      <c r="F533" s="139"/>
      <c r="AD533">
        <f>SUM(F526:F528)-37.5122</f>
        <v>17.0578</v>
      </c>
    </row>
    <row r="534" spans="1:30" x14ac:dyDescent="0.2">
      <c r="A534" s="140" t="s">
        <v>743</v>
      </c>
      <c r="B534" s="140"/>
      <c r="C534" s="140"/>
      <c r="D534" s="140"/>
      <c r="E534" s="140"/>
      <c r="F534" s="140"/>
    </row>
    <row r="535" spans="1:30" x14ac:dyDescent="0.2">
      <c r="A535" s="111" t="s">
        <v>111</v>
      </c>
      <c r="B535" s="111" t="s">
        <v>744</v>
      </c>
      <c r="D535" s="111" t="s">
        <v>745</v>
      </c>
      <c r="E535" s="111" t="s">
        <v>746</v>
      </c>
      <c r="F535" s="111" t="s">
        <v>120</v>
      </c>
    </row>
    <row r="536" spans="1:30" x14ac:dyDescent="0.2">
      <c r="A536" s="112" t="s">
        <v>747</v>
      </c>
      <c r="B536" s="113">
        <v>528</v>
      </c>
      <c r="C536" s="114"/>
      <c r="D536" s="92">
        <v>0.06</v>
      </c>
      <c r="E536" s="114"/>
      <c r="F536" s="115">
        <f>ROUND(B536*D536,2)</f>
        <v>31.68</v>
      </c>
    </row>
    <row r="537" spans="1:30" x14ac:dyDescent="0.2">
      <c r="A537" s="112" t="s">
        <v>748</v>
      </c>
      <c r="B537" s="114"/>
      <c r="C537" s="114"/>
      <c r="D537" s="114"/>
      <c r="E537" s="116">
        <v>7.0000000000000007E-2</v>
      </c>
      <c r="F537" s="115">
        <v>30.38</v>
      </c>
    </row>
    <row r="538" spans="1:30" x14ac:dyDescent="0.2">
      <c r="A538" s="117" t="s">
        <v>749</v>
      </c>
      <c r="B538" s="114"/>
      <c r="C538" s="114"/>
      <c r="D538" s="114"/>
      <c r="E538" s="114"/>
      <c r="F538" s="118">
        <f>F536-F537</f>
        <v>1.3000000000000007</v>
      </c>
    </row>
    <row r="540" spans="1:30" x14ac:dyDescent="0.2">
      <c r="A540" s="137" t="s">
        <v>899</v>
      </c>
      <c r="B540" s="137"/>
      <c r="C540" s="137"/>
      <c r="D540" s="137"/>
      <c r="E540" s="137"/>
      <c r="F540" s="137"/>
      <c r="H540" s="137" t="s">
        <v>900</v>
      </c>
      <c r="I540" s="137"/>
      <c r="J540" s="137"/>
      <c r="K540" s="137"/>
      <c r="L540" s="76">
        <v>46113</v>
      </c>
      <c r="M540" s="77" t="s">
        <v>607</v>
      </c>
      <c r="N540" s="76">
        <v>46142</v>
      </c>
      <c r="R540" s="138" t="s">
        <v>110</v>
      </c>
      <c r="S540" s="138"/>
      <c r="T540" s="138"/>
      <c r="U540" s="138"/>
      <c r="V540" s="138"/>
    </row>
    <row r="541" spans="1:30" x14ac:dyDescent="0.2">
      <c r="A541" s="78" t="s">
        <v>111</v>
      </c>
      <c r="B541" s="79" t="s">
        <v>112</v>
      </c>
      <c r="C541" s="80"/>
      <c r="D541" s="80"/>
      <c r="E541" s="80"/>
      <c r="F541" s="80"/>
      <c r="H541" s="81" t="s">
        <v>901</v>
      </c>
      <c r="I541" s="82"/>
      <c r="J541" s="82"/>
      <c r="L541" s="83" t="s">
        <v>902</v>
      </c>
      <c r="M541" s="84"/>
      <c r="N541" s="84"/>
      <c r="R541" s="85" t="s">
        <v>903</v>
      </c>
    </row>
    <row r="542" spans="1:30" x14ac:dyDescent="0.2">
      <c r="B542" s="68" t="s">
        <v>116</v>
      </c>
      <c r="C542" s="68" t="s">
        <v>117</v>
      </c>
      <c r="D542" s="68" t="s">
        <v>118</v>
      </c>
      <c r="E542" s="68" t="s">
        <v>119</v>
      </c>
      <c r="F542" s="68" t="s">
        <v>120</v>
      </c>
      <c r="H542" s="86" t="s">
        <v>116</v>
      </c>
      <c r="I542" s="86" t="s">
        <v>119</v>
      </c>
      <c r="J542" s="86" t="s">
        <v>120</v>
      </c>
      <c r="L542" s="87" t="s">
        <v>116</v>
      </c>
      <c r="M542" s="87" t="s">
        <v>119</v>
      </c>
      <c r="N542" s="87" t="s">
        <v>120</v>
      </c>
      <c r="R542" s="88" t="s">
        <v>904</v>
      </c>
    </row>
    <row r="543" spans="1:30" x14ac:dyDescent="0.2">
      <c r="A543" s="89" t="s">
        <v>122</v>
      </c>
      <c r="B543" s="90">
        <v>9.9</v>
      </c>
      <c r="C543" s="91">
        <f>$N$540-$L$540+1</f>
        <v>30</v>
      </c>
      <c r="D543" s="92">
        <v>3.4085999999999999</v>
      </c>
      <c r="E543" s="93">
        <v>3.85</v>
      </c>
      <c r="F543" s="94">
        <f t="shared" ref="F543:F550" si="95">ROUND(B543*E543,2)</f>
        <v>38.119999999999997</v>
      </c>
      <c r="H543" s="95">
        <v>9.9</v>
      </c>
      <c r="I543" s="96">
        <v>3.85</v>
      </c>
      <c r="J543" s="97">
        <f t="shared" ref="J543:J550" si="96">ROUND(H543*I543,2)</f>
        <v>38.119999999999997</v>
      </c>
      <c r="L543" s="98">
        <v>9.9</v>
      </c>
      <c r="M543" s="99">
        <v>3.85</v>
      </c>
      <c r="N543" s="100">
        <f t="shared" ref="N543:N550" si="97">ROUND(L543*M543,2)</f>
        <v>38.119999999999997</v>
      </c>
      <c r="R543" s="101" t="s">
        <v>905</v>
      </c>
    </row>
    <row r="544" spans="1:30" x14ac:dyDescent="0.2">
      <c r="A544" s="89" t="s">
        <v>124</v>
      </c>
      <c r="B544" s="90">
        <v>9.9</v>
      </c>
      <c r="C544" s="91">
        <f>$N$540-$L$540+1</f>
        <v>30</v>
      </c>
      <c r="D544" s="92">
        <v>1.09728</v>
      </c>
      <c r="E544" s="93">
        <v>1.33</v>
      </c>
      <c r="F544" s="94">
        <f t="shared" si="95"/>
        <v>13.17</v>
      </c>
      <c r="H544" s="95">
        <v>9.9</v>
      </c>
      <c r="I544" s="96">
        <v>1.33</v>
      </c>
      <c r="J544" s="97">
        <f t="shared" si="96"/>
        <v>13.17</v>
      </c>
      <c r="L544" s="98">
        <v>9.9</v>
      </c>
      <c r="M544" s="99">
        <v>1.33</v>
      </c>
      <c r="N544" s="100">
        <f t="shared" si="97"/>
        <v>13.17</v>
      </c>
      <c r="R544" s="102" t="s">
        <v>906</v>
      </c>
    </row>
    <row r="545" spans="1:30" x14ac:dyDescent="0.2">
      <c r="A545" s="89" t="s">
        <v>614</v>
      </c>
      <c r="B545" s="90">
        <f>IF($P$545&lt;&gt;"",ROUND(AA545*(($AB$545/(1-$P$545))-51.282)/75.8381,2),IF('Resumen 2.0TD'!$D$3="OPTIMIZAR",ROUND(MAX(AA545,MIN(AA545*(($AB$545/(1-'Resumen 2.0TD'!$F$3))-51.282)/75.8381,AA545*(186.3058)/75.8381)),3),AA545))</f>
        <v>137.042</v>
      </c>
      <c r="C545" s="103"/>
      <c r="D545" s="92">
        <v>0.110306</v>
      </c>
      <c r="E545" s="93">
        <v>0.13788</v>
      </c>
      <c r="F545" s="94">
        <f t="shared" si="95"/>
        <v>18.899999999999999</v>
      </c>
      <c r="H545" s="95">
        <v>163.12899999999999</v>
      </c>
      <c r="I545" s="96">
        <v>0.129</v>
      </c>
      <c r="J545" s="97">
        <f t="shared" si="96"/>
        <v>21.04</v>
      </c>
      <c r="L545" s="98">
        <v>110.834</v>
      </c>
      <c r="M545" s="99">
        <v>0.13788</v>
      </c>
      <c r="N545" s="100">
        <f t="shared" si="97"/>
        <v>15.28</v>
      </c>
      <c r="O545" s="104" t="s">
        <v>615</v>
      </c>
      <c r="P545" s="67"/>
      <c r="R545" s="102" t="s">
        <v>907</v>
      </c>
      <c r="AA545">
        <v>104.855</v>
      </c>
      <c r="AB545">
        <f>B543*D543+B544*D544+AA545*D545+AA546*D546+AA547*D547</f>
        <v>105.27982118</v>
      </c>
    </row>
    <row r="546" spans="1:30" x14ac:dyDescent="0.2">
      <c r="A546" s="89" t="s">
        <v>617</v>
      </c>
      <c r="B546" s="90">
        <f>IF($P$545&lt;&gt;"",ROUND(AA546*(($AB$545/(1-$P$545))-51.282)/75.8381,2),IF('Resumen 2.0TD'!$D$3="OPTIMIZAR",ROUND(MAX(AA546,MIN(AA546*(($AB$545/(1-'Resumen 2.0TD'!$F$3))-51.282)/75.8381,AA546*(186.3058)/75.8381)),3),AA546))</f>
        <v>114.303</v>
      </c>
      <c r="C546" s="103"/>
      <c r="D546" s="92">
        <v>0.110306</v>
      </c>
      <c r="E546" s="93">
        <v>0.13788</v>
      </c>
      <c r="F546" s="94">
        <f t="shared" si="95"/>
        <v>15.76</v>
      </c>
      <c r="H546" s="95">
        <v>178.75200000000001</v>
      </c>
      <c r="I546" s="96">
        <v>0.129</v>
      </c>
      <c r="J546" s="97">
        <f t="shared" si="96"/>
        <v>23.06</v>
      </c>
      <c r="L546" s="98">
        <v>92.373000000000005</v>
      </c>
      <c r="M546" s="99">
        <v>0.13788</v>
      </c>
      <c r="N546" s="100">
        <f t="shared" si="97"/>
        <v>12.74</v>
      </c>
      <c r="O546" s="105" t="s">
        <v>618</v>
      </c>
      <c r="R546" s="102" t="s">
        <v>619</v>
      </c>
      <c r="AA546">
        <v>87.456999999999994</v>
      </c>
    </row>
    <row r="547" spans="1:30" x14ac:dyDescent="0.2">
      <c r="A547" s="89" t="s">
        <v>620</v>
      </c>
      <c r="B547" s="90">
        <f>IF($P$545&lt;&gt;"",ROUND(AA547*(($AB$545/(1-$P$545))-51.282)/75.8381,2),IF('Resumen 2.0TD'!$D$3="OPTIMIZAR",ROUND(MAX(AA547,MIN(AA547*(($AB$545/(1-'Resumen 2.0TD'!$F$3))-51.282)/75.8381,AA547*(186.3058)/75.8381)),3),AA547))</f>
        <v>467.52499999999998</v>
      </c>
      <c r="C547" s="103"/>
      <c r="D547" s="92">
        <v>0.110306</v>
      </c>
      <c r="E547" s="93">
        <v>0.13788</v>
      </c>
      <c r="F547" s="94">
        <f t="shared" si="95"/>
        <v>64.459999999999994</v>
      </c>
      <c r="H547" s="95">
        <v>515.79999999999995</v>
      </c>
      <c r="I547" s="96">
        <v>0.129</v>
      </c>
      <c r="J547" s="97">
        <f t="shared" si="96"/>
        <v>66.540000000000006</v>
      </c>
      <c r="L547" s="98">
        <v>242.71600000000001</v>
      </c>
      <c r="M547" s="99">
        <v>0.13788</v>
      </c>
      <c r="N547" s="100">
        <f t="shared" si="97"/>
        <v>33.47</v>
      </c>
      <c r="O547" s="105" t="s">
        <v>621</v>
      </c>
      <c r="AA547">
        <v>357.71800000000002</v>
      </c>
    </row>
    <row r="548" spans="1:30" x14ac:dyDescent="0.2">
      <c r="A548" s="89" t="s">
        <v>139</v>
      </c>
      <c r="B548" s="90">
        <v>1</v>
      </c>
      <c r="C548" s="91">
        <f>$N$540-$L$540+1</f>
        <v>30</v>
      </c>
      <c r="D548" s="92">
        <v>1.3413999999999999</v>
      </c>
      <c r="E548" s="93">
        <v>3</v>
      </c>
      <c r="F548" s="94">
        <f t="shared" si="95"/>
        <v>3</v>
      </c>
      <c r="H548" s="95">
        <v>1</v>
      </c>
      <c r="I548" s="96">
        <v>3</v>
      </c>
      <c r="J548" s="97">
        <f t="shared" si="96"/>
        <v>3</v>
      </c>
      <c r="L548" s="98">
        <v>1</v>
      </c>
      <c r="M548" s="99">
        <v>3</v>
      </c>
      <c r="N548" s="100">
        <f t="shared" si="97"/>
        <v>3</v>
      </c>
    </row>
    <row r="549" spans="1:30" x14ac:dyDescent="0.2">
      <c r="A549" s="89" t="s">
        <v>140</v>
      </c>
      <c r="B549" s="90">
        <v>30</v>
      </c>
      <c r="C549" s="91">
        <f>$N$540-$L$540+1</f>
        <v>30</v>
      </c>
      <c r="D549" s="92">
        <v>0.5736</v>
      </c>
      <c r="E549" s="93">
        <v>1.274E-2</v>
      </c>
      <c r="F549" s="94">
        <f t="shared" si="95"/>
        <v>0.38</v>
      </c>
      <c r="H549" s="95">
        <v>30</v>
      </c>
      <c r="I549" s="96">
        <v>1.274E-2</v>
      </c>
      <c r="J549" s="97">
        <f t="shared" si="96"/>
        <v>0.38</v>
      </c>
      <c r="L549" s="98">
        <v>30</v>
      </c>
      <c r="M549" s="99">
        <v>6.2899999999999996E-3</v>
      </c>
      <c r="N549" s="100">
        <f t="shared" si="97"/>
        <v>0.19</v>
      </c>
    </row>
    <row r="550" spans="1:30" x14ac:dyDescent="0.2">
      <c r="A550" s="89" t="s">
        <v>141</v>
      </c>
      <c r="B550" s="90">
        <v>5.49</v>
      </c>
      <c r="C550" s="103"/>
      <c r="D550" s="92">
        <v>0.24729000000000001</v>
      </c>
      <c r="E550" s="93">
        <v>1</v>
      </c>
      <c r="F550" s="94">
        <f t="shared" si="95"/>
        <v>5.49</v>
      </c>
      <c r="H550" s="95">
        <v>8.2799999999999994</v>
      </c>
      <c r="I550" s="96">
        <v>1</v>
      </c>
      <c r="J550" s="97">
        <f t="shared" si="96"/>
        <v>8.2799999999999994</v>
      </c>
      <c r="L550" s="98">
        <v>4.9800000000000004</v>
      </c>
      <c r="M550" s="99">
        <v>1</v>
      </c>
      <c r="N550" s="100">
        <f t="shared" si="97"/>
        <v>4.9800000000000004</v>
      </c>
    </row>
    <row r="551" spans="1:30" x14ac:dyDescent="0.2">
      <c r="A551" s="106" t="s">
        <v>142</v>
      </c>
      <c r="F551" s="107">
        <f>ROUND((SUM(F543:F550)-F550)*1.1+F550,2)</f>
        <v>174.66</v>
      </c>
      <c r="J551" s="108">
        <f>ROUND(SUM(J543:J550),2)</f>
        <v>173.59</v>
      </c>
      <c r="N551" s="109">
        <f>ROUND(SUM(N543:N550),2)</f>
        <v>120.95</v>
      </c>
    </row>
    <row r="552" spans="1:30" x14ac:dyDescent="0.2">
      <c r="A552" s="78" t="s">
        <v>143</v>
      </c>
      <c r="B552" s="110">
        <f>IF((F547+F546+F545+F543+F544)=0,"",((F547+F546+F545+F543+F544)-$AB$545)/(F547+F546+F545+F543+F544))</f>
        <v>0.30004772834253041</v>
      </c>
      <c r="D552" s="139" t="str">
        <f>IF(B552="","SIN PC",IF(B552&gt;=0.3,"APROBAR",IF(B552&gt;=0.2,"REVISAR","RECHAZAR")))</f>
        <v>APROBAR</v>
      </c>
      <c r="E552" s="139"/>
      <c r="F552" s="139"/>
      <c r="AD552">
        <f>SUM(F545:F547)-75.8381</f>
        <v>23.281899999999993</v>
      </c>
    </row>
    <row r="553" spans="1:30" x14ac:dyDescent="0.2">
      <c r="A553" s="140" t="s">
        <v>743</v>
      </c>
      <c r="B553" s="140"/>
      <c r="C553" s="140"/>
      <c r="D553" s="140"/>
      <c r="E553" s="140"/>
      <c r="F553" s="140"/>
    </row>
    <row r="554" spans="1:30" x14ac:dyDescent="0.2">
      <c r="A554" s="111" t="s">
        <v>111</v>
      </c>
      <c r="B554" s="111" t="s">
        <v>744</v>
      </c>
      <c r="D554" s="111" t="s">
        <v>745</v>
      </c>
      <c r="E554" s="111" t="s">
        <v>746</v>
      </c>
      <c r="F554" s="111" t="s">
        <v>120</v>
      </c>
    </row>
    <row r="555" spans="1:30" x14ac:dyDescent="0.2">
      <c r="A555" s="112" t="s">
        <v>747</v>
      </c>
      <c r="B555" s="113">
        <v>324</v>
      </c>
      <c r="C555" s="114"/>
      <c r="D555" s="92">
        <v>0.06</v>
      </c>
      <c r="E555" s="114"/>
      <c r="F555" s="115">
        <f>ROUND(B555*D555,2)</f>
        <v>19.440000000000001</v>
      </c>
    </row>
    <row r="556" spans="1:30" x14ac:dyDescent="0.2">
      <c r="A556" s="112" t="s">
        <v>748</v>
      </c>
      <c r="B556" s="114"/>
      <c r="C556" s="114"/>
      <c r="D556" s="114"/>
      <c r="E556" s="116">
        <v>0.06</v>
      </c>
      <c r="F556" s="115">
        <v>19.87</v>
      </c>
    </row>
    <row r="557" spans="1:30" x14ac:dyDescent="0.2">
      <c r="A557" s="117" t="s">
        <v>749</v>
      </c>
      <c r="B557" s="114"/>
      <c r="C557" s="114"/>
      <c r="D557" s="114"/>
      <c r="E557" s="114"/>
      <c r="F557" s="118">
        <f>F555-F556</f>
        <v>-0.42999999999999972</v>
      </c>
    </row>
    <row r="559" spans="1:30" x14ac:dyDescent="0.2">
      <c r="A559" s="137" t="s">
        <v>908</v>
      </c>
      <c r="B559" s="137"/>
      <c r="C559" s="137"/>
      <c r="D559" s="137"/>
      <c r="E559" s="137"/>
      <c r="F559" s="137"/>
      <c r="H559" s="137" t="s">
        <v>909</v>
      </c>
      <c r="I559" s="137"/>
      <c r="J559" s="137"/>
      <c r="K559" s="137"/>
      <c r="L559" s="76">
        <v>46113</v>
      </c>
      <c r="M559" s="77" t="s">
        <v>607</v>
      </c>
      <c r="N559" s="76">
        <v>46142</v>
      </c>
      <c r="R559" s="138" t="s">
        <v>110</v>
      </c>
      <c r="S559" s="138"/>
      <c r="T559" s="138"/>
      <c r="U559" s="138"/>
      <c r="V559" s="138"/>
    </row>
    <row r="560" spans="1:30" x14ac:dyDescent="0.2">
      <c r="A560" s="78" t="s">
        <v>111</v>
      </c>
      <c r="B560" s="79" t="s">
        <v>112</v>
      </c>
      <c r="C560" s="80"/>
      <c r="D560" s="80"/>
      <c r="E560" s="80"/>
      <c r="F560" s="80"/>
      <c r="H560" s="81" t="s">
        <v>910</v>
      </c>
      <c r="I560" s="82"/>
      <c r="J560" s="82"/>
      <c r="L560" s="83" t="s">
        <v>911</v>
      </c>
      <c r="M560" s="84"/>
      <c r="N560" s="84"/>
      <c r="R560" s="85" t="s">
        <v>912</v>
      </c>
    </row>
    <row r="561" spans="1:30" x14ac:dyDescent="0.2">
      <c r="B561" s="68" t="s">
        <v>116</v>
      </c>
      <c r="C561" s="68" t="s">
        <v>117</v>
      </c>
      <c r="D561" s="68" t="s">
        <v>118</v>
      </c>
      <c r="E561" s="68" t="s">
        <v>119</v>
      </c>
      <c r="F561" s="68" t="s">
        <v>120</v>
      </c>
      <c r="H561" s="86" t="s">
        <v>116</v>
      </c>
      <c r="I561" s="86" t="s">
        <v>119</v>
      </c>
      <c r="J561" s="86" t="s">
        <v>120</v>
      </c>
      <c r="L561" s="87" t="s">
        <v>116</v>
      </c>
      <c r="M561" s="87" t="s">
        <v>119</v>
      </c>
      <c r="N561" s="87" t="s">
        <v>120</v>
      </c>
      <c r="R561" s="88" t="s">
        <v>913</v>
      </c>
    </row>
    <row r="562" spans="1:30" x14ac:dyDescent="0.2">
      <c r="A562" s="89" t="s">
        <v>122</v>
      </c>
      <c r="B562" s="90">
        <v>3.45</v>
      </c>
      <c r="C562" s="91">
        <f>$N$559-$L$559+1</f>
        <v>30</v>
      </c>
      <c r="D562" s="92">
        <v>3.68919</v>
      </c>
      <c r="E562" s="93">
        <v>4.17</v>
      </c>
      <c r="F562" s="94">
        <f t="shared" ref="F562:F569" si="98">ROUND(B562*E562,2)</f>
        <v>14.39</v>
      </c>
      <c r="H562" s="95">
        <v>3.45</v>
      </c>
      <c r="I562" s="96">
        <v>4.17</v>
      </c>
      <c r="J562" s="97">
        <f t="shared" ref="J562:J569" si="99">ROUND(H562*I562,2)</f>
        <v>14.39</v>
      </c>
      <c r="L562" s="98">
        <v>3.45</v>
      </c>
      <c r="M562" s="99">
        <v>4.17</v>
      </c>
      <c r="N562" s="100">
        <f t="shared" ref="N562:N569" si="100">ROUND(L562*M562,2)</f>
        <v>14.39</v>
      </c>
      <c r="R562" s="101" t="s">
        <v>914</v>
      </c>
    </row>
    <row r="563" spans="1:30" x14ac:dyDescent="0.2">
      <c r="A563" s="89" t="s">
        <v>124</v>
      </c>
      <c r="B563" s="90">
        <v>3.45</v>
      </c>
      <c r="C563" s="91">
        <f>$N$559-$L$559+1</f>
        <v>30</v>
      </c>
      <c r="D563" s="92">
        <v>1.31928</v>
      </c>
      <c r="E563" s="93">
        <v>1.37</v>
      </c>
      <c r="F563" s="94">
        <f t="shared" si="98"/>
        <v>4.7300000000000004</v>
      </c>
      <c r="H563" s="95">
        <v>3.45</v>
      </c>
      <c r="I563" s="96">
        <v>1.37</v>
      </c>
      <c r="J563" s="97">
        <f t="shared" si="99"/>
        <v>4.7300000000000004</v>
      </c>
      <c r="L563" s="98">
        <v>3.45</v>
      </c>
      <c r="M563" s="99">
        <v>1.37</v>
      </c>
      <c r="N563" s="100">
        <f t="shared" si="100"/>
        <v>4.7300000000000004</v>
      </c>
      <c r="R563" s="102" t="s">
        <v>915</v>
      </c>
    </row>
    <row r="564" spans="1:30" x14ac:dyDescent="0.2">
      <c r="A564" s="89" t="s">
        <v>614</v>
      </c>
      <c r="B564" s="90">
        <f>IF($P$564&lt;&gt;"",ROUND(AA564*(($AB$564/(1-$P$564))-19.113)/12.3961,2),IF('Resumen 2.0TD'!$D$3="OPTIMIZAR",ROUND(MAX(AA564,MIN(AA564*(($AB$564/(1-'Resumen 2.0TD'!$F$3))-19.113)/12.3961,AA564*(22.9048)/12.3961)),3),AA564))</f>
        <v>34.008000000000003</v>
      </c>
      <c r="C564" s="103"/>
      <c r="D564" s="92">
        <v>0.11117100000000001</v>
      </c>
      <c r="E564" s="93">
        <v>0.14937</v>
      </c>
      <c r="F564" s="94">
        <f t="shared" si="98"/>
        <v>5.08</v>
      </c>
      <c r="H564" s="95">
        <v>28.042000000000002</v>
      </c>
      <c r="I564" s="96">
        <v>0.14937</v>
      </c>
      <c r="J564" s="97">
        <f t="shared" si="99"/>
        <v>4.1900000000000004</v>
      </c>
      <c r="L564" s="98">
        <v>28.486999999999998</v>
      </c>
      <c r="M564" s="99">
        <v>0.14937</v>
      </c>
      <c r="N564" s="100">
        <f t="shared" si="100"/>
        <v>4.26</v>
      </c>
      <c r="O564" s="104" t="s">
        <v>615</v>
      </c>
      <c r="P564" s="67"/>
      <c r="R564" s="102" t="s">
        <v>916</v>
      </c>
      <c r="AA564">
        <v>22.481999999999999</v>
      </c>
      <c r="AB564">
        <f>B562*D562+B563*D563+AA564*D564+AA565*D565+AA566*D566</f>
        <v>26.505191619000001</v>
      </c>
    </row>
    <row r="565" spans="1:30" x14ac:dyDescent="0.2">
      <c r="A565" s="89" t="s">
        <v>617</v>
      </c>
      <c r="B565" s="90">
        <f>IF($P$564&lt;&gt;"",ROUND(AA565*(($AB$564/(1-$P$564))-19.113)/12.3961,2),IF('Resumen 2.0TD'!$D$3="OPTIMIZAR",ROUND(MAX(AA565,MIN(AA565*(($AB$564/(1-'Resumen 2.0TD'!$F$3))-19.113)/12.3961,AA565*(22.9048)/12.3961)),3),AA565))</f>
        <v>31.166</v>
      </c>
      <c r="C565" s="103"/>
      <c r="D565" s="92">
        <v>0.11117100000000001</v>
      </c>
      <c r="E565" s="93">
        <v>0.14937</v>
      </c>
      <c r="F565" s="94">
        <f t="shared" si="98"/>
        <v>4.66</v>
      </c>
      <c r="H565" s="95">
        <v>23.22</v>
      </c>
      <c r="I565" s="96">
        <v>0.14937</v>
      </c>
      <c r="J565" s="97">
        <f t="shared" si="99"/>
        <v>3.47</v>
      </c>
      <c r="L565" s="98">
        <v>18.742000000000001</v>
      </c>
      <c r="M565" s="99">
        <v>0.14937</v>
      </c>
      <c r="N565" s="100">
        <f t="shared" si="100"/>
        <v>2.8</v>
      </c>
      <c r="O565" s="105" t="s">
        <v>618</v>
      </c>
      <c r="R565" s="102" t="s">
        <v>619</v>
      </c>
      <c r="AA565">
        <v>20.603000000000002</v>
      </c>
    </row>
    <row r="566" spans="1:30" x14ac:dyDescent="0.2">
      <c r="A566" s="89" t="s">
        <v>620</v>
      </c>
      <c r="B566" s="90">
        <f>IF($P$564&lt;&gt;"",ROUND(AA566*(($AB$564/(1-$P$564))-19.113)/12.3961,2),IF('Resumen 2.0TD'!$D$3="OPTIMIZAR",ROUND(MAX(AA566,MIN(AA566*(($AB$564/(1-'Resumen 2.0TD'!$F$3))-19.113)/12.3961,AA566*(22.9048)/12.3961)),3),AA566))</f>
        <v>60.363</v>
      </c>
      <c r="C566" s="103"/>
      <c r="D566" s="92">
        <v>0.11117100000000001</v>
      </c>
      <c r="E566" s="93">
        <v>0.14937</v>
      </c>
      <c r="F566" s="94">
        <f t="shared" si="98"/>
        <v>9.02</v>
      </c>
      <c r="H566" s="95">
        <v>49.374000000000002</v>
      </c>
      <c r="I566" s="96">
        <v>0.14937</v>
      </c>
      <c r="J566" s="97">
        <f t="shared" si="99"/>
        <v>7.37</v>
      </c>
      <c r="L566" s="98">
        <v>35.280999999999999</v>
      </c>
      <c r="M566" s="99">
        <v>0.14937</v>
      </c>
      <c r="N566" s="100">
        <f t="shared" si="100"/>
        <v>5.27</v>
      </c>
      <c r="O566" s="105" t="s">
        <v>621</v>
      </c>
      <c r="AA566">
        <v>39.904000000000003</v>
      </c>
    </row>
    <row r="567" spans="1:30" x14ac:dyDescent="0.2">
      <c r="A567" s="89" t="s">
        <v>139</v>
      </c>
      <c r="B567" s="90">
        <v>1</v>
      </c>
      <c r="C567" s="91">
        <f>$N$559-$L$559+1</f>
        <v>30</v>
      </c>
      <c r="D567" s="92">
        <v>0.79890000000000005</v>
      </c>
      <c r="E567" s="93">
        <v>4</v>
      </c>
      <c r="F567" s="94">
        <f t="shared" si="98"/>
        <v>4</v>
      </c>
      <c r="H567" s="95">
        <v>1</v>
      </c>
      <c r="I567" s="96">
        <v>4</v>
      </c>
      <c r="J567" s="97">
        <f t="shared" si="99"/>
        <v>4</v>
      </c>
      <c r="L567" s="98">
        <v>1</v>
      </c>
      <c r="M567" s="99">
        <v>4</v>
      </c>
      <c r="N567" s="100">
        <f t="shared" si="100"/>
        <v>4</v>
      </c>
    </row>
    <row r="568" spans="1:30" x14ac:dyDescent="0.2">
      <c r="A568" s="89" t="s">
        <v>140</v>
      </c>
      <c r="B568" s="90">
        <v>30</v>
      </c>
      <c r="C568" s="91">
        <f>$N$559-$L$559+1</f>
        <v>30</v>
      </c>
      <c r="D568" s="92">
        <v>0.5736</v>
      </c>
      <c r="E568" s="93">
        <v>1.274E-2</v>
      </c>
      <c r="F568" s="94">
        <f t="shared" si="98"/>
        <v>0.38</v>
      </c>
      <c r="H568" s="95">
        <v>30</v>
      </c>
      <c r="I568" s="96">
        <v>1.274E-2</v>
      </c>
      <c r="J568" s="97">
        <f t="shared" si="99"/>
        <v>0.38</v>
      </c>
      <c r="L568" s="98">
        <v>30</v>
      </c>
      <c r="M568" s="99">
        <v>6.2899999999999996E-3</v>
      </c>
      <c r="N568" s="100">
        <f t="shared" si="100"/>
        <v>0.19</v>
      </c>
    </row>
    <row r="569" spans="1:30" x14ac:dyDescent="0.2">
      <c r="A569" s="89" t="s">
        <v>141</v>
      </c>
      <c r="B569" s="90">
        <v>1.19</v>
      </c>
      <c r="C569" s="103"/>
      <c r="D569" s="92">
        <v>0.27311999999999997</v>
      </c>
      <c r="E569" s="93">
        <v>1</v>
      </c>
      <c r="F569" s="94">
        <f t="shared" si="98"/>
        <v>1.19</v>
      </c>
      <c r="H569" s="95">
        <v>1.39</v>
      </c>
      <c r="I569" s="96">
        <v>1</v>
      </c>
      <c r="J569" s="97">
        <f t="shared" si="99"/>
        <v>1.39</v>
      </c>
      <c r="L569" s="98">
        <v>1.18</v>
      </c>
      <c r="M569" s="99">
        <v>1</v>
      </c>
      <c r="N569" s="100">
        <f t="shared" si="100"/>
        <v>1.18</v>
      </c>
    </row>
    <row r="570" spans="1:30" x14ac:dyDescent="0.2">
      <c r="A570" s="106" t="s">
        <v>142</v>
      </c>
      <c r="F570" s="107">
        <f>ROUND((SUM(F562:F569)-F569)*1.1+F569,2)</f>
        <v>47.68</v>
      </c>
      <c r="J570" s="108">
        <f>ROUND(SUM(J562:J569),2)</f>
        <v>39.92</v>
      </c>
      <c r="N570" s="109">
        <f>ROUND(SUM(N562:N569),2)</f>
        <v>36.82</v>
      </c>
    </row>
    <row r="571" spans="1:30" x14ac:dyDescent="0.2">
      <c r="A571" s="78" t="s">
        <v>143</v>
      </c>
      <c r="B571" s="110">
        <f>IF((F566+F565+F564+F562+F563)=0,"",((F566+F565+F564+F562+F563)-$AB$564)/(F566+F565+F564+F562+F563))</f>
        <v>0.30028533212777181</v>
      </c>
      <c r="D571" s="139" t="str">
        <f>IF(B571="","SIN PC",IF(B571&gt;=0.3,"APROBAR",IF(B571&gt;=0.2,"REVISAR","RECHAZAR")))</f>
        <v>APROBAR</v>
      </c>
      <c r="E571" s="139"/>
      <c r="F571" s="139"/>
      <c r="AD571">
        <f>SUM(F564:F566)-12.3961</f>
        <v>6.3638999999999974</v>
      </c>
    </row>
    <row r="572" spans="1:30" x14ac:dyDescent="0.2">
      <c r="A572" s="140" t="s">
        <v>743</v>
      </c>
      <c r="B572" s="140"/>
      <c r="C572" s="140"/>
      <c r="D572" s="140"/>
      <c r="E572" s="140"/>
      <c r="F572" s="140"/>
    </row>
    <row r="573" spans="1:30" x14ac:dyDescent="0.2">
      <c r="A573" s="111" t="s">
        <v>111</v>
      </c>
      <c r="B573" s="111" t="s">
        <v>744</v>
      </c>
      <c r="D573" s="111" t="s">
        <v>745</v>
      </c>
      <c r="E573" s="111" t="s">
        <v>746</v>
      </c>
      <c r="F573" s="111" t="s">
        <v>120</v>
      </c>
    </row>
    <row r="574" spans="1:30" x14ac:dyDescent="0.2">
      <c r="A574" s="112" t="s">
        <v>747</v>
      </c>
      <c r="B574" s="113">
        <v>166</v>
      </c>
      <c r="C574" s="114"/>
      <c r="D574" s="92">
        <v>0.06</v>
      </c>
      <c r="E574" s="114"/>
      <c r="F574" s="115">
        <f>ROUND(B574*D574,2)</f>
        <v>9.9600000000000009</v>
      </c>
    </row>
    <row r="575" spans="1:30" x14ac:dyDescent="0.2">
      <c r="A575" s="112" t="s">
        <v>748</v>
      </c>
      <c r="B575" s="114"/>
      <c r="C575" s="114"/>
      <c r="D575" s="114"/>
      <c r="E575" s="116">
        <v>0.06</v>
      </c>
      <c r="F575" s="115">
        <v>8.41</v>
      </c>
    </row>
    <row r="576" spans="1:30" x14ac:dyDescent="0.2">
      <c r="A576" s="117" t="s">
        <v>749</v>
      </c>
      <c r="B576" s="114"/>
      <c r="C576" s="114"/>
      <c r="D576" s="114"/>
      <c r="E576" s="114"/>
      <c r="F576" s="118">
        <f>F574-F575</f>
        <v>1.5500000000000007</v>
      </c>
    </row>
    <row r="578" spans="1:30" x14ac:dyDescent="0.2">
      <c r="A578" s="137" t="s">
        <v>917</v>
      </c>
      <c r="B578" s="137"/>
      <c r="C578" s="137"/>
      <c r="D578" s="137"/>
      <c r="E578" s="137"/>
      <c r="F578" s="137"/>
      <c r="H578" s="137" t="s">
        <v>918</v>
      </c>
      <c r="I578" s="137"/>
      <c r="J578" s="137"/>
      <c r="K578" s="137"/>
      <c r="L578" s="76">
        <v>46113</v>
      </c>
      <c r="M578" s="77" t="s">
        <v>607</v>
      </c>
      <c r="N578" s="76">
        <v>46142</v>
      </c>
      <c r="R578" s="138" t="s">
        <v>110</v>
      </c>
      <c r="S578" s="138"/>
      <c r="T578" s="138"/>
      <c r="U578" s="138"/>
      <c r="V578" s="138"/>
    </row>
    <row r="579" spans="1:30" x14ac:dyDescent="0.2">
      <c r="A579" s="78" t="s">
        <v>111</v>
      </c>
      <c r="B579" s="79" t="s">
        <v>112</v>
      </c>
      <c r="C579" s="80"/>
      <c r="D579" s="80"/>
      <c r="E579" s="80"/>
      <c r="F579" s="80"/>
      <c r="H579" s="81" t="s">
        <v>919</v>
      </c>
      <c r="I579" s="82"/>
      <c r="J579" s="82"/>
      <c r="L579" s="83" t="s">
        <v>920</v>
      </c>
      <c r="M579" s="84"/>
      <c r="N579" s="84"/>
      <c r="R579" s="85" t="s">
        <v>921</v>
      </c>
    </row>
    <row r="580" spans="1:30" x14ac:dyDescent="0.2">
      <c r="B580" s="68" t="s">
        <v>116</v>
      </c>
      <c r="C580" s="68" t="s">
        <v>117</v>
      </c>
      <c r="D580" s="68" t="s">
        <v>118</v>
      </c>
      <c r="E580" s="68" t="s">
        <v>119</v>
      </c>
      <c r="F580" s="68" t="s">
        <v>120</v>
      </c>
      <c r="H580" s="86" t="s">
        <v>116</v>
      </c>
      <c r="I580" s="86" t="s">
        <v>119</v>
      </c>
      <c r="J580" s="86" t="s">
        <v>120</v>
      </c>
      <c r="L580" s="87" t="s">
        <v>116</v>
      </c>
      <c r="M580" s="87" t="s">
        <v>119</v>
      </c>
      <c r="N580" s="87" t="s">
        <v>120</v>
      </c>
      <c r="R580" s="88" t="s">
        <v>922</v>
      </c>
    </row>
    <row r="581" spans="1:30" x14ac:dyDescent="0.2">
      <c r="A581" s="89" t="s">
        <v>122</v>
      </c>
      <c r="B581" s="90">
        <v>3.5</v>
      </c>
      <c r="C581" s="91">
        <f>$N$578-$L$578+1</f>
        <v>30</v>
      </c>
      <c r="D581" s="92">
        <v>3.68919</v>
      </c>
      <c r="E581" s="93">
        <v>4.17</v>
      </c>
      <c r="F581" s="94">
        <f t="shared" ref="F581:F588" si="101">ROUND(B581*E581,2)</f>
        <v>14.6</v>
      </c>
      <c r="H581" s="95">
        <v>3.5</v>
      </c>
      <c r="I581" s="96">
        <v>4.17</v>
      </c>
      <c r="J581" s="97">
        <f t="shared" ref="J581:J588" si="102">ROUND(H581*I581,2)</f>
        <v>14.6</v>
      </c>
      <c r="L581" s="98">
        <v>3.5</v>
      </c>
      <c r="M581" s="99">
        <v>4.17</v>
      </c>
      <c r="N581" s="100">
        <f>ROUND(L581*M581,2)</f>
        <v>14.6</v>
      </c>
      <c r="R581" s="101" t="s">
        <v>923</v>
      </c>
    </row>
    <row r="582" spans="1:30" x14ac:dyDescent="0.2">
      <c r="A582" s="89" t="s">
        <v>124</v>
      </c>
      <c r="B582" s="90">
        <v>3.5</v>
      </c>
      <c r="C582" s="91">
        <f>$N$578-$L$578+1</f>
        <v>30</v>
      </c>
      <c r="D582" s="92">
        <v>1.31928</v>
      </c>
      <c r="E582" s="93">
        <v>1.37</v>
      </c>
      <c r="F582" s="94">
        <f t="shared" si="101"/>
        <v>4.8</v>
      </c>
      <c r="H582" s="95">
        <v>3.5</v>
      </c>
      <c r="I582" s="96">
        <v>1.37</v>
      </c>
      <c r="J582" s="97">
        <f t="shared" si="102"/>
        <v>4.8</v>
      </c>
      <c r="L582" s="98">
        <v>3.5</v>
      </c>
      <c r="M582" s="99">
        <v>1.37</v>
      </c>
      <c r="N582" s="100">
        <f>ROUND(L582*M582,2)</f>
        <v>4.8</v>
      </c>
      <c r="R582" s="102" t="s">
        <v>924</v>
      </c>
    </row>
    <row r="583" spans="1:30" x14ac:dyDescent="0.2">
      <c r="A583" s="89" t="s">
        <v>614</v>
      </c>
      <c r="B583" s="90">
        <f>IF($P$583&lt;&gt;"",ROUND(AA583*(($AB$583/(1-$P$583))-19.39)/170.1966,2),IF('Resumen 2.0TD'!$D$3="OPTIMIZAR",ROUND(MAX(AA583,MIN(AA583*(($AB$583/(1-'Resumen 2.0TD'!$F$3))-19.39)/170.1966,AA583*(229.1478)/170.1966)),3),AA583))</f>
        <v>378.48700000000002</v>
      </c>
      <c r="C583" s="103"/>
      <c r="D583" s="92">
        <v>0.11117100000000001</v>
      </c>
      <c r="E583" s="93">
        <v>0.13900000000000001</v>
      </c>
      <c r="F583" s="94">
        <f t="shared" si="101"/>
        <v>52.61</v>
      </c>
      <c r="H583" s="95">
        <v>344.26600000000002</v>
      </c>
      <c r="I583" s="96">
        <v>0.14937</v>
      </c>
      <c r="J583" s="97">
        <f t="shared" si="102"/>
        <v>51.42</v>
      </c>
      <c r="L583" s="98">
        <v>1200</v>
      </c>
      <c r="M583" s="99">
        <v>0.13500000000000001</v>
      </c>
      <c r="N583" s="100">
        <f>ROUND(L583*M583,2)</f>
        <v>162</v>
      </c>
      <c r="O583" s="104" t="s">
        <v>615</v>
      </c>
      <c r="P583" s="67"/>
      <c r="R583" s="102" t="s">
        <v>925</v>
      </c>
      <c r="AA583">
        <v>321.90600000000001</v>
      </c>
      <c r="AB583">
        <f>B581*D581+B582*D582+AA583*D583+AA584*D584+AA585*D585</f>
        <v>153.65141955600001</v>
      </c>
    </row>
    <row r="584" spans="1:30" x14ac:dyDescent="0.2">
      <c r="A584" s="89" t="s">
        <v>617</v>
      </c>
      <c r="B584" s="90">
        <f>IF($P$583&lt;&gt;"",ROUND(AA584*(($AB$583/(1-$P$583))-19.39)/170.1966,2),IF('Resumen 2.0TD'!$D$3="OPTIMIZAR",ROUND(MAX(AA584,MIN(AA584*(($AB$583/(1-'Resumen 2.0TD'!$F$3))-19.39)/170.1966,AA584*(229.1478)/170.1966)),3),AA584))</f>
        <v>344.339</v>
      </c>
      <c r="C584" s="103"/>
      <c r="D584" s="92">
        <v>0.11117100000000001</v>
      </c>
      <c r="E584" s="93">
        <v>0.13900000000000001</v>
      </c>
      <c r="F584" s="94">
        <f t="shared" si="101"/>
        <v>47.86</v>
      </c>
      <c r="H584" s="95">
        <v>296.26400000000001</v>
      </c>
      <c r="I584" s="96">
        <v>0.14937</v>
      </c>
      <c r="J584" s="97">
        <f t="shared" si="102"/>
        <v>44.25</v>
      </c>
      <c r="L584" s="119"/>
      <c r="M584" s="119"/>
      <c r="N584" s="119"/>
      <c r="O584" s="105" t="s">
        <v>618</v>
      </c>
      <c r="R584" s="102" t="s">
        <v>619</v>
      </c>
      <c r="AA584">
        <v>292.863</v>
      </c>
    </row>
    <row r="585" spans="1:30" x14ac:dyDescent="0.2">
      <c r="A585" s="89" t="s">
        <v>620</v>
      </c>
      <c r="B585" s="90">
        <f>IF($P$583&lt;&gt;"",ROUND(AA585*(($AB$583/(1-$P$583))-19.39)/170.1966,2),IF('Resumen 2.0TD'!$D$3="OPTIMIZAR",ROUND(MAX(AA585,MIN(AA585*(($AB$583/(1-'Resumen 2.0TD'!$F$3))-19.39)/170.1966,AA585*(229.1478)/170.1966)),3),AA585))</f>
        <v>716.82799999999997</v>
      </c>
      <c r="C585" s="103"/>
      <c r="D585" s="92">
        <v>0.11117100000000001</v>
      </c>
      <c r="E585" s="93">
        <v>0.13900000000000001</v>
      </c>
      <c r="F585" s="94">
        <f t="shared" si="101"/>
        <v>99.64</v>
      </c>
      <c r="H585" s="95">
        <v>437.899</v>
      </c>
      <c r="I585" s="96">
        <v>0.14937</v>
      </c>
      <c r="J585" s="97">
        <f t="shared" si="102"/>
        <v>65.41</v>
      </c>
      <c r="L585" s="119"/>
      <c r="M585" s="119"/>
      <c r="N585" s="119"/>
      <c r="O585" s="105" t="s">
        <v>621</v>
      </c>
      <c r="AA585">
        <v>609.66700000000003</v>
      </c>
    </row>
    <row r="586" spans="1:30" x14ac:dyDescent="0.2">
      <c r="A586" s="89" t="s">
        <v>139</v>
      </c>
      <c r="B586" s="90">
        <v>1</v>
      </c>
      <c r="C586" s="91">
        <f>$N$578-$L$578+1</f>
        <v>30</v>
      </c>
      <c r="D586" s="92">
        <v>1.3413999999999999</v>
      </c>
      <c r="E586" s="93">
        <v>4</v>
      </c>
      <c r="F586" s="94">
        <f t="shared" si="101"/>
        <v>4</v>
      </c>
      <c r="H586" s="95">
        <v>1</v>
      </c>
      <c r="I586" s="96">
        <v>4</v>
      </c>
      <c r="J586" s="97">
        <f t="shared" si="102"/>
        <v>4</v>
      </c>
      <c r="L586" s="98">
        <v>1</v>
      </c>
      <c r="M586" s="99">
        <v>4</v>
      </c>
      <c r="N586" s="100">
        <f>ROUND(L586*M586,2)</f>
        <v>4</v>
      </c>
    </row>
    <row r="587" spans="1:30" x14ac:dyDescent="0.2">
      <c r="A587" s="89" t="s">
        <v>140</v>
      </c>
      <c r="B587" s="90">
        <v>30</v>
      </c>
      <c r="C587" s="91">
        <f>$N$578-$L$578+1</f>
        <v>30</v>
      </c>
      <c r="D587" s="92">
        <v>0.5736</v>
      </c>
      <c r="E587" s="93">
        <v>1.274E-2</v>
      </c>
      <c r="F587" s="94">
        <f t="shared" si="101"/>
        <v>0.38</v>
      </c>
      <c r="H587" s="95">
        <v>30</v>
      </c>
      <c r="I587" s="96">
        <v>1.274E-2</v>
      </c>
      <c r="J587" s="97">
        <f t="shared" si="102"/>
        <v>0.38</v>
      </c>
      <c r="L587" s="98">
        <v>29</v>
      </c>
      <c r="M587" s="99">
        <v>1.274E-2</v>
      </c>
      <c r="N587" s="100">
        <f>ROUND(L587*M587,2)</f>
        <v>0.37</v>
      </c>
    </row>
    <row r="588" spans="1:30" x14ac:dyDescent="0.2">
      <c r="A588" s="89" t="s">
        <v>141</v>
      </c>
      <c r="B588" s="90">
        <v>10.4</v>
      </c>
      <c r="C588" s="103"/>
      <c r="D588" s="92">
        <v>0.27311999999999997</v>
      </c>
      <c r="E588" s="93">
        <v>1</v>
      </c>
      <c r="F588" s="94">
        <f t="shared" si="101"/>
        <v>10.4</v>
      </c>
      <c r="H588" s="95">
        <v>9.23</v>
      </c>
      <c r="I588" s="96">
        <v>1</v>
      </c>
      <c r="J588" s="97">
        <f t="shared" si="102"/>
        <v>9.23</v>
      </c>
      <c r="L588" s="98">
        <v>1</v>
      </c>
      <c r="M588" s="99">
        <v>1</v>
      </c>
      <c r="N588" s="100">
        <f>ROUND(L588*M588,2)</f>
        <v>1</v>
      </c>
    </row>
    <row r="589" spans="1:30" x14ac:dyDescent="0.2">
      <c r="A589" s="106" t="s">
        <v>142</v>
      </c>
      <c r="F589" s="107">
        <f>ROUND((SUM(F581:F588)-F588)*1.1+F588,2)</f>
        <v>256.68</v>
      </c>
      <c r="J589" s="108">
        <f>ROUND(SUM(J581:J588),2)</f>
        <v>194.09</v>
      </c>
      <c r="N589" s="109">
        <f>ROUND(SUM(N581:N588),2)</f>
        <v>186.77</v>
      </c>
    </row>
    <row r="590" spans="1:30" x14ac:dyDescent="0.2">
      <c r="A590" s="78" t="s">
        <v>143</v>
      </c>
      <c r="B590" s="110">
        <f>IF((F585+F584+F583+F581+F582)=0,"",((F585+F584+F583+F581+F582)-$AB$583)/(F585+F584+F583+F581+F582))</f>
        <v>0.30002542227688944</v>
      </c>
      <c r="D590" s="139" t="str">
        <f>IF(B590="","SIN PC",IF(B590&gt;=0.3,"APROBAR",IF(B590&gt;=0.2,"REVISAR","RECHAZAR")))</f>
        <v>APROBAR</v>
      </c>
      <c r="E590" s="139"/>
      <c r="F590" s="139"/>
      <c r="AD590">
        <f>SUM(F583:F585)-170.1966</f>
        <v>29.913400000000024</v>
      </c>
    </row>
    <row r="592" spans="1:30" x14ac:dyDescent="0.2">
      <c r="A592" s="137" t="s">
        <v>926</v>
      </c>
      <c r="B592" s="137"/>
      <c r="C592" s="137"/>
      <c r="D592" s="137"/>
      <c r="E592" s="137"/>
      <c r="F592" s="137"/>
      <c r="H592" s="137" t="s">
        <v>767</v>
      </c>
      <c r="I592" s="137"/>
      <c r="J592" s="137"/>
      <c r="K592" s="137"/>
      <c r="L592" s="76">
        <v>46113</v>
      </c>
      <c r="M592" s="77" t="s">
        <v>607</v>
      </c>
      <c r="N592" s="76">
        <v>46142</v>
      </c>
      <c r="R592" s="138" t="s">
        <v>110</v>
      </c>
      <c r="S592" s="138"/>
      <c r="T592" s="138"/>
      <c r="U592" s="138"/>
      <c r="V592" s="138"/>
    </row>
    <row r="593" spans="1:30" x14ac:dyDescent="0.2">
      <c r="A593" s="78" t="s">
        <v>111</v>
      </c>
      <c r="B593" s="79" t="s">
        <v>112</v>
      </c>
      <c r="C593" s="80"/>
      <c r="D593" s="80"/>
      <c r="E593" s="80"/>
      <c r="F593" s="80"/>
      <c r="H593" s="81" t="s">
        <v>768</v>
      </c>
      <c r="I593" s="82"/>
      <c r="J593" s="82"/>
      <c r="L593" s="83" t="s">
        <v>769</v>
      </c>
      <c r="M593" s="84"/>
      <c r="N593" s="84"/>
      <c r="R593" s="85" t="s">
        <v>770</v>
      </c>
    </row>
    <row r="594" spans="1:30" x14ac:dyDescent="0.2">
      <c r="B594" s="68" t="s">
        <v>116</v>
      </c>
      <c r="C594" s="68" t="s">
        <v>117</v>
      </c>
      <c r="D594" s="68" t="s">
        <v>118</v>
      </c>
      <c r="E594" s="68" t="s">
        <v>119</v>
      </c>
      <c r="F594" s="68" t="s">
        <v>120</v>
      </c>
      <c r="H594" s="86" t="s">
        <v>116</v>
      </c>
      <c r="I594" s="86" t="s">
        <v>119</v>
      </c>
      <c r="J594" s="86" t="s">
        <v>120</v>
      </c>
      <c r="L594" s="87" t="s">
        <v>116</v>
      </c>
      <c r="M594" s="87" t="s">
        <v>119</v>
      </c>
      <c r="N594" s="87" t="s">
        <v>120</v>
      </c>
      <c r="R594" s="88" t="s">
        <v>771</v>
      </c>
    </row>
    <row r="595" spans="1:30" x14ac:dyDescent="0.2">
      <c r="A595" s="89" t="s">
        <v>122</v>
      </c>
      <c r="B595" s="90">
        <v>5.75</v>
      </c>
      <c r="C595" s="91">
        <f>$N$592-$L$592+1</f>
        <v>30</v>
      </c>
      <c r="D595" s="92">
        <v>3.4085999999999999</v>
      </c>
      <c r="E595" s="93">
        <v>4.17</v>
      </c>
      <c r="F595" s="94">
        <f t="shared" ref="F595:F602" si="103">ROUND(B595*E595,2)</f>
        <v>23.98</v>
      </c>
      <c r="H595" s="95">
        <v>5.75</v>
      </c>
      <c r="I595" s="96">
        <v>4.17</v>
      </c>
      <c r="J595" s="97">
        <f t="shared" ref="J595:J602" si="104">ROUND(H595*I595,2)</f>
        <v>23.98</v>
      </c>
      <c r="L595" s="98">
        <v>5.75</v>
      </c>
      <c r="M595" s="99">
        <v>4.17</v>
      </c>
      <c r="N595" s="100">
        <f t="shared" ref="N595:N602" si="105">ROUND(L595*M595,2)</f>
        <v>23.98</v>
      </c>
      <c r="R595" s="101" t="s">
        <v>772</v>
      </c>
    </row>
    <row r="596" spans="1:30" x14ac:dyDescent="0.2">
      <c r="A596" s="89" t="s">
        <v>124</v>
      </c>
      <c r="B596" s="90">
        <v>5.75</v>
      </c>
      <c r="C596" s="91">
        <f>$N$592-$L$592+1</f>
        <v>30</v>
      </c>
      <c r="D596" s="92">
        <v>1.09728</v>
      </c>
      <c r="E596" s="93">
        <v>1.37</v>
      </c>
      <c r="F596" s="94">
        <f t="shared" si="103"/>
        <v>7.88</v>
      </c>
      <c r="H596" s="95">
        <v>5.75</v>
      </c>
      <c r="I596" s="96">
        <v>1.37</v>
      </c>
      <c r="J596" s="97">
        <f t="shared" si="104"/>
        <v>7.88</v>
      </c>
      <c r="L596" s="98">
        <v>5.75</v>
      </c>
      <c r="M596" s="99">
        <v>1.37</v>
      </c>
      <c r="N596" s="100">
        <f t="shared" si="105"/>
        <v>7.88</v>
      </c>
      <c r="R596" s="102" t="s">
        <v>773</v>
      </c>
    </row>
    <row r="597" spans="1:30" x14ac:dyDescent="0.2">
      <c r="A597" s="89" t="s">
        <v>614</v>
      </c>
      <c r="B597" s="90">
        <f>IF($P$597&lt;&gt;"",ROUND(AA597*(($AB$597/(1-$P$597))-31.855)/37.5019,2),IF('Resumen 2.0TD'!$D$3="OPTIMIZAR",ROUND(MAX(AA597,MIN(AA597*(($AB$597/(1-'Resumen 2.0TD'!$F$3))-31.855)/37.5019,AA597*(84.7228)/37.5019)),3),AA597))</f>
        <v>85.668999999999997</v>
      </c>
      <c r="C597" s="103"/>
      <c r="D597" s="92">
        <v>0.110306</v>
      </c>
      <c r="E597" s="93">
        <v>0.14937</v>
      </c>
      <c r="F597" s="94">
        <f t="shared" si="103"/>
        <v>12.8</v>
      </c>
      <c r="H597" s="95">
        <v>77.319000000000003</v>
      </c>
      <c r="I597" s="96">
        <v>0.14937</v>
      </c>
      <c r="J597" s="97">
        <f t="shared" si="104"/>
        <v>11.55</v>
      </c>
      <c r="L597" s="98">
        <v>49.27</v>
      </c>
      <c r="M597" s="99">
        <v>0.14937</v>
      </c>
      <c r="N597" s="100">
        <f t="shared" si="105"/>
        <v>7.36</v>
      </c>
      <c r="O597" s="104" t="s">
        <v>615</v>
      </c>
      <c r="P597" s="67"/>
      <c r="R597" s="102" t="s">
        <v>774</v>
      </c>
      <c r="AA597">
        <v>71.84</v>
      </c>
      <c r="AB597">
        <f>B595*D595+B596*D596+AA597*D597+AA598*D598+AA599*D599</f>
        <v>53.603006502</v>
      </c>
    </row>
    <row r="598" spans="1:30" x14ac:dyDescent="0.2">
      <c r="A598" s="89" t="s">
        <v>617</v>
      </c>
      <c r="B598" s="90">
        <f>IF($P$597&lt;&gt;"",ROUND(AA598*(($AB$597/(1-$P$597))-31.855)/37.5019,2),IF('Resumen 2.0TD'!$D$3="OPTIMIZAR",ROUND(MAX(AA598,MIN(AA598*(($AB$597/(1-'Resumen 2.0TD'!$F$3))-31.855)/37.5019,AA598*(84.7228)/37.5019)),3),AA598))</f>
        <v>46.296999999999997</v>
      </c>
      <c r="C598" s="103"/>
      <c r="D598" s="92">
        <v>0.110306</v>
      </c>
      <c r="E598" s="93">
        <v>0.14937</v>
      </c>
      <c r="F598" s="94">
        <f t="shared" si="103"/>
        <v>6.92</v>
      </c>
      <c r="H598" s="95">
        <v>44.497999999999998</v>
      </c>
      <c r="I598" s="96">
        <v>0.14937</v>
      </c>
      <c r="J598" s="97">
        <f t="shared" si="104"/>
        <v>6.65</v>
      </c>
      <c r="L598" s="98">
        <v>35.232999999999997</v>
      </c>
      <c r="M598" s="99">
        <v>0.14937</v>
      </c>
      <c r="N598" s="100">
        <f t="shared" si="105"/>
        <v>5.26</v>
      </c>
      <c r="O598" s="105" t="s">
        <v>618</v>
      </c>
      <c r="R598" s="102" t="s">
        <v>619</v>
      </c>
      <c r="AA598">
        <v>38.823999999999998</v>
      </c>
    </row>
    <row r="599" spans="1:30" x14ac:dyDescent="0.2">
      <c r="A599" s="89" t="s">
        <v>620</v>
      </c>
      <c r="B599" s="90">
        <f>IF($P$597&lt;&gt;"",ROUND(AA599*(($AB$597/(1-$P$597))-31.855)/37.5019,2),IF('Resumen 2.0TD'!$D$3="OPTIMIZAR",ROUND(MAX(AA599,MIN(AA599*(($AB$597/(1-'Resumen 2.0TD'!$F$3))-31.855)/37.5019,AA599*(84.7228)/37.5019)),3),AA599))</f>
        <v>167.429</v>
      </c>
      <c r="C599" s="103"/>
      <c r="D599" s="92">
        <v>0.110306</v>
      </c>
      <c r="E599" s="93">
        <v>0.14937</v>
      </c>
      <c r="F599" s="94">
        <f t="shared" si="103"/>
        <v>25.01</v>
      </c>
      <c r="H599" s="95">
        <v>121.108</v>
      </c>
      <c r="I599" s="96">
        <v>0.14937</v>
      </c>
      <c r="J599" s="97">
        <f t="shared" si="104"/>
        <v>18.09</v>
      </c>
      <c r="L599" s="98">
        <v>94.742999999999995</v>
      </c>
      <c r="M599" s="99">
        <v>0.14937</v>
      </c>
      <c r="N599" s="100">
        <f t="shared" si="105"/>
        <v>14.15</v>
      </c>
      <c r="O599" s="105" t="s">
        <v>621</v>
      </c>
      <c r="AA599">
        <v>140.40299999999999</v>
      </c>
    </row>
    <row r="600" spans="1:30" x14ac:dyDescent="0.2">
      <c r="A600" s="89" t="s">
        <v>139</v>
      </c>
      <c r="B600" s="90">
        <v>1</v>
      </c>
      <c r="C600" s="91">
        <f>$N$592-$L$592+1</f>
        <v>30</v>
      </c>
      <c r="D600" s="92">
        <v>0.79890000000000005</v>
      </c>
      <c r="E600" s="93">
        <v>4</v>
      </c>
      <c r="F600" s="94">
        <f t="shared" si="103"/>
        <v>4</v>
      </c>
      <c r="H600" s="95">
        <v>1</v>
      </c>
      <c r="I600" s="96">
        <v>4</v>
      </c>
      <c r="J600" s="97">
        <f t="shared" si="104"/>
        <v>4</v>
      </c>
      <c r="L600" s="98">
        <v>1</v>
      </c>
      <c r="M600" s="99">
        <v>4</v>
      </c>
      <c r="N600" s="100">
        <f t="shared" si="105"/>
        <v>4</v>
      </c>
    </row>
    <row r="601" spans="1:30" x14ac:dyDescent="0.2">
      <c r="A601" s="89" t="s">
        <v>140</v>
      </c>
      <c r="B601" s="90">
        <v>30</v>
      </c>
      <c r="C601" s="91">
        <f>$N$592-$L$592+1</f>
        <v>30</v>
      </c>
      <c r="D601" s="92">
        <v>0.5736</v>
      </c>
      <c r="E601" s="93">
        <v>1.274E-2</v>
      </c>
      <c r="F601" s="94">
        <f t="shared" si="103"/>
        <v>0.38</v>
      </c>
      <c r="H601" s="95">
        <v>30</v>
      </c>
      <c r="I601" s="96">
        <v>1.274E-2</v>
      </c>
      <c r="J601" s="97">
        <f t="shared" si="104"/>
        <v>0.38</v>
      </c>
      <c r="L601" s="98">
        <v>30</v>
      </c>
      <c r="M601" s="99">
        <v>6.2899999999999996E-3</v>
      </c>
      <c r="N601" s="100">
        <f t="shared" si="105"/>
        <v>0.19</v>
      </c>
    </row>
    <row r="602" spans="1:30" x14ac:dyDescent="0.2">
      <c r="A602" s="89" t="s">
        <v>141</v>
      </c>
      <c r="B602" s="90">
        <v>3.13</v>
      </c>
      <c r="C602" s="103"/>
      <c r="D602" s="92">
        <v>0.24729000000000001</v>
      </c>
      <c r="E602" s="93">
        <v>1</v>
      </c>
      <c r="F602" s="94">
        <f t="shared" si="103"/>
        <v>3.13</v>
      </c>
      <c r="H602" s="95">
        <v>3.08</v>
      </c>
      <c r="I602" s="96">
        <v>1</v>
      </c>
      <c r="J602" s="97">
        <f t="shared" si="104"/>
        <v>3.08</v>
      </c>
      <c r="L602" s="98">
        <v>2.4300000000000002</v>
      </c>
      <c r="M602" s="99">
        <v>1</v>
      </c>
      <c r="N602" s="100">
        <f t="shared" si="105"/>
        <v>2.4300000000000002</v>
      </c>
    </row>
    <row r="603" spans="1:30" x14ac:dyDescent="0.2">
      <c r="A603" s="106" t="s">
        <v>142</v>
      </c>
      <c r="F603" s="107">
        <f>ROUND((SUM(F595:F602)-F602)*1.1+F602,2)</f>
        <v>92.2</v>
      </c>
      <c r="J603" s="108">
        <f>ROUND(SUM(J595:J602),2)</f>
        <v>75.61</v>
      </c>
      <c r="N603" s="109">
        <f>ROUND(SUM(N595:N602),2)</f>
        <v>65.25</v>
      </c>
    </row>
    <row r="604" spans="1:30" x14ac:dyDescent="0.2">
      <c r="A604" s="78" t="s">
        <v>143</v>
      </c>
      <c r="B604" s="110">
        <f>IF((F599+F598+F597+F595+F596)=0,"",((F599+F598+F597+F595+F596)-$AB$597)/(F599+F598+F597+F595+F596))</f>
        <v>0.30013048045436747</v>
      </c>
      <c r="D604" s="139" t="str">
        <f>IF(B604="","SIN PC",IF(B604&gt;=0.3,"APROBAR",IF(B604&gt;=0.2,"REVISAR","RECHAZAR")))</f>
        <v>APROBAR</v>
      </c>
      <c r="E604" s="139"/>
      <c r="F604" s="139"/>
      <c r="AD604">
        <f>SUM(F597:F599)-37.5019</f>
        <v>7.2281000000000049</v>
      </c>
    </row>
    <row r="605" spans="1:30" x14ac:dyDescent="0.2">
      <c r="A605" s="140" t="s">
        <v>743</v>
      </c>
      <c r="B605" s="140"/>
      <c r="C605" s="140"/>
      <c r="D605" s="140"/>
      <c r="E605" s="140"/>
      <c r="F605" s="140"/>
    </row>
    <row r="606" spans="1:30" x14ac:dyDescent="0.2">
      <c r="A606" s="111" t="s">
        <v>111</v>
      </c>
      <c r="B606" s="111" t="s">
        <v>744</v>
      </c>
      <c r="D606" s="111" t="s">
        <v>745</v>
      </c>
      <c r="E606" s="111" t="s">
        <v>746</v>
      </c>
      <c r="F606" s="111" t="s">
        <v>120</v>
      </c>
    </row>
    <row r="607" spans="1:30" x14ac:dyDescent="0.2">
      <c r="A607" s="112" t="s">
        <v>747</v>
      </c>
      <c r="B607" s="113">
        <v>161</v>
      </c>
      <c r="C607" s="114"/>
      <c r="D607" s="92">
        <v>0.06</v>
      </c>
      <c r="E607" s="114"/>
      <c r="F607" s="115">
        <f>ROUND(B607*D607,2)</f>
        <v>9.66</v>
      </c>
    </row>
    <row r="608" spans="1:30" x14ac:dyDescent="0.2">
      <c r="A608" s="112" t="s">
        <v>748</v>
      </c>
      <c r="B608" s="114"/>
      <c r="C608" s="114"/>
      <c r="D608" s="114"/>
      <c r="E608" s="116">
        <v>0.06</v>
      </c>
      <c r="F608" s="115">
        <v>8.31</v>
      </c>
    </row>
    <row r="609" spans="1:30" x14ac:dyDescent="0.2">
      <c r="A609" s="117" t="s">
        <v>749</v>
      </c>
      <c r="B609" s="114"/>
      <c r="C609" s="114"/>
      <c r="D609" s="114"/>
      <c r="E609" s="114"/>
      <c r="F609" s="118">
        <f>F607-F608</f>
        <v>1.3499999999999996</v>
      </c>
    </row>
    <row r="611" spans="1:30" x14ac:dyDescent="0.2">
      <c r="A611" s="137" t="s">
        <v>927</v>
      </c>
      <c r="B611" s="137"/>
      <c r="C611" s="137"/>
      <c r="D611" s="137"/>
      <c r="E611" s="137"/>
      <c r="F611" s="137"/>
      <c r="H611" s="137" t="s">
        <v>928</v>
      </c>
      <c r="I611" s="137"/>
      <c r="J611" s="137"/>
      <c r="K611" s="137"/>
      <c r="L611" s="76">
        <v>46113</v>
      </c>
      <c r="M611" s="77" t="s">
        <v>607</v>
      </c>
      <c r="N611" s="76">
        <v>46142</v>
      </c>
      <c r="R611" s="138" t="s">
        <v>110</v>
      </c>
      <c r="S611" s="138"/>
      <c r="T611" s="138"/>
      <c r="U611" s="138"/>
      <c r="V611" s="138"/>
    </row>
    <row r="612" spans="1:30" x14ac:dyDescent="0.2">
      <c r="A612" s="78" t="s">
        <v>111</v>
      </c>
      <c r="B612" s="79" t="s">
        <v>112</v>
      </c>
      <c r="C612" s="80"/>
      <c r="D612" s="80"/>
      <c r="E612" s="80"/>
      <c r="F612" s="80"/>
      <c r="H612" s="81" t="s">
        <v>929</v>
      </c>
      <c r="I612" s="82"/>
      <c r="J612" s="82"/>
      <c r="L612" s="83" t="s">
        <v>930</v>
      </c>
      <c r="M612" s="84"/>
      <c r="N612" s="84"/>
      <c r="R612" s="85" t="s">
        <v>931</v>
      </c>
    </row>
    <row r="613" spans="1:30" x14ac:dyDescent="0.2">
      <c r="B613" s="68" t="s">
        <v>116</v>
      </c>
      <c r="C613" s="68" t="s">
        <v>117</v>
      </c>
      <c r="D613" s="68" t="s">
        <v>118</v>
      </c>
      <c r="E613" s="68" t="s">
        <v>119</v>
      </c>
      <c r="F613" s="68" t="s">
        <v>120</v>
      </c>
      <c r="H613" s="86" t="s">
        <v>116</v>
      </c>
      <c r="I613" s="86" t="s">
        <v>119</v>
      </c>
      <c r="J613" s="86" t="s">
        <v>120</v>
      </c>
      <c r="L613" s="87" t="s">
        <v>116</v>
      </c>
      <c r="M613" s="87" t="s">
        <v>119</v>
      </c>
      <c r="N613" s="87" t="s">
        <v>120</v>
      </c>
      <c r="R613" s="88" t="s">
        <v>932</v>
      </c>
    </row>
    <row r="614" spans="1:30" x14ac:dyDescent="0.2">
      <c r="A614" s="89" t="s">
        <v>122</v>
      </c>
      <c r="B614" s="90">
        <v>3.45</v>
      </c>
      <c r="C614" s="91">
        <f>$N$611-$L$611+1</f>
        <v>30</v>
      </c>
      <c r="D614" s="92">
        <v>3.4085999999999999</v>
      </c>
      <c r="E614" s="93">
        <v>3.85</v>
      </c>
      <c r="F614" s="94">
        <f t="shared" ref="F614:F621" si="106">ROUND(B614*E614,2)</f>
        <v>13.28</v>
      </c>
      <c r="H614" s="95">
        <v>3.45</v>
      </c>
      <c r="I614" s="96">
        <v>3.85</v>
      </c>
      <c r="J614" s="97">
        <f t="shared" ref="J614:J621" si="107">ROUND(H614*I614,2)</f>
        <v>13.28</v>
      </c>
      <c r="L614" s="98">
        <v>3.45</v>
      </c>
      <c r="M614" s="99">
        <v>3.85</v>
      </c>
      <c r="N614" s="100">
        <f t="shared" ref="N614:N621" si="108">ROUND(L614*M614,2)</f>
        <v>13.28</v>
      </c>
      <c r="R614" s="101" t="s">
        <v>933</v>
      </c>
    </row>
    <row r="615" spans="1:30" x14ac:dyDescent="0.2">
      <c r="A615" s="89" t="s">
        <v>124</v>
      </c>
      <c r="B615" s="90">
        <v>3.45</v>
      </c>
      <c r="C615" s="91">
        <f>$N$611-$L$611+1</f>
        <v>30</v>
      </c>
      <c r="D615" s="92">
        <v>1.09728</v>
      </c>
      <c r="E615" s="93">
        <v>1.33</v>
      </c>
      <c r="F615" s="94">
        <f t="shared" si="106"/>
        <v>4.59</v>
      </c>
      <c r="H615" s="95">
        <v>3.45</v>
      </c>
      <c r="I615" s="96">
        <v>1.33</v>
      </c>
      <c r="J615" s="97">
        <f t="shared" si="107"/>
        <v>4.59</v>
      </c>
      <c r="L615" s="98">
        <v>3.45</v>
      </c>
      <c r="M615" s="99">
        <v>1.33</v>
      </c>
      <c r="N615" s="100">
        <f t="shared" si="108"/>
        <v>4.59</v>
      </c>
      <c r="R615" s="102" t="s">
        <v>934</v>
      </c>
    </row>
    <row r="616" spans="1:30" x14ac:dyDescent="0.2">
      <c r="A616" s="89" t="s">
        <v>614</v>
      </c>
      <c r="B616" s="90">
        <f>IF($P$616&lt;&gt;"",ROUND(AA616*(($AB$616/(1-$P$616))-17.871)/70.0494,2),IF('Resumen 2.0TD'!$D$3="OPTIMIZAR",ROUND(MAX(AA616,MIN(AA616*(($AB$616/(1-'Resumen 2.0TD'!$F$3))-17.871)/70.0494,AA616*(124.2168)/70.0494)),3),AA616))</f>
        <v>260.286</v>
      </c>
      <c r="C616" s="103"/>
      <c r="D616" s="92">
        <v>0.110306</v>
      </c>
      <c r="E616" s="93">
        <v>0.13788</v>
      </c>
      <c r="F616" s="94">
        <f t="shared" si="106"/>
        <v>35.89</v>
      </c>
      <c r="H616" s="95">
        <v>441.63799999999998</v>
      </c>
      <c r="I616" s="96">
        <v>0.13788</v>
      </c>
      <c r="J616" s="97">
        <f t="shared" si="107"/>
        <v>60.89</v>
      </c>
      <c r="L616" s="98">
        <v>132.28200000000001</v>
      </c>
      <c r="M616" s="99">
        <v>0.13788</v>
      </c>
      <c r="N616" s="100">
        <f t="shared" si="108"/>
        <v>18.239999999999998</v>
      </c>
      <c r="O616" s="104" t="s">
        <v>615</v>
      </c>
      <c r="P616" s="67"/>
      <c r="R616" s="102" t="s">
        <v>935</v>
      </c>
      <c r="AA616">
        <v>216.04400000000001</v>
      </c>
      <c r="AB616">
        <f>B614*D614+B615*D615+AA616*D616+AA617*D617+AA618*D618</f>
        <v>71.585808076000006</v>
      </c>
    </row>
    <row r="617" spans="1:30" x14ac:dyDescent="0.2">
      <c r="A617" s="89" t="s">
        <v>617</v>
      </c>
      <c r="B617" s="90">
        <f>IF($P$616&lt;&gt;"",ROUND(AA617*(($AB$616/(1-$P$616))-17.871)/70.0494,2),IF('Resumen 2.0TD'!$D$3="OPTIMIZAR",ROUND(MAX(AA617,MIN(AA617*(($AB$616/(1-'Resumen 2.0TD'!$F$3))-17.871)/70.0494,AA617*(124.2168)/70.0494)),3),AA617))</f>
        <v>59.46</v>
      </c>
      <c r="C617" s="103"/>
      <c r="D617" s="92">
        <v>0.110306</v>
      </c>
      <c r="E617" s="93">
        <v>0.13788</v>
      </c>
      <c r="F617" s="94">
        <f t="shared" si="106"/>
        <v>8.1999999999999993</v>
      </c>
      <c r="H617" s="95">
        <v>221.57499999999999</v>
      </c>
      <c r="I617" s="96">
        <v>0.13788</v>
      </c>
      <c r="J617" s="97">
        <f t="shared" si="107"/>
        <v>30.55</v>
      </c>
      <c r="L617" s="98">
        <v>35.863999999999997</v>
      </c>
      <c r="M617" s="99">
        <v>0.13788</v>
      </c>
      <c r="N617" s="100">
        <f t="shared" si="108"/>
        <v>4.9400000000000004</v>
      </c>
      <c r="O617" s="105" t="s">
        <v>618</v>
      </c>
      <c r="R617" s="102" t="s">
        <v>619</v>
      </c>
      <c r="AA617">
        <v>49.353000000000002</v>
      </c>
    </row>
    <row r="618" spans="1:30" x14ac:dyDescent="0.2">
      <c r="A618" s="89" t="s">
        <v>620</v>
      </c>
      <c r="B618" s="90">
        <f>IF($P$616&lt;&gt;"",ROUND(AA618*(($AB$616/(1-$P$616))-17.871)/70.0494,2),IF('Resumen 2.0TD'!$D$3="OPTIMIZAR",ROUND(MAX(AA618,MIN(AA618*(($AB$616/(1-'Resumen 2.0TD'!$F$3))-17.871)/70.0494,AA618*(124.2168)/70.0494)),3),AA618))</f>
        <v>292.33999999999997</v>
      </c>
      <c r="C618" s="103"/>
      <c r="D618" s="92">
        <v>0.110306</v>
      </c>
      <c r="E618" s="93">
        <v>0.13788</v>
      </c>
      <c r="F618" s="94">
        <f t="shared" si="106"/>
        <v>40.31</v>
      </c>
      <c r="H618" s="95">
        <v>364.18700000000001</v>
      </c>
      <c r="I618" s="96">
        <v>0.13788</v>
      </c>
      <c r="J618" s="97">
        <f t="shared" si="107"/>
        <v>50.21</v>
      </c>
      <c r="L618" s="98">
        <v>143.68799999999999</v>
      </c>
      <c r="M618" s="99">
        <v>0.13788</v>
      </c>
      <c r="N618" s="100">
        <f t="shared" si="108"/>
        <v>19.809999999999999</v>
      </c>
      <c r="O618" s="105" t="s">
        <v>621</v>
      </c>
      <c r="AA618">
        <v>242.649</v>
      </c>
    </row>
    <row r="619" spans="1:30" x14ac:dyDescent="0.2">
      <c r="A619" s="89" t="s">
        <v>139</v>
      </c>
      <c r="B619" s="90">
        <v>1</v>
      </c>
      <c r="C619" s="91">
        <f>$N$611-$L$611+1</f>
        <v>30</v>
      </c>
      <c r="D619" s="92">
        <v>0.79890000000000005</v>
      </c>
      <c r="E619" s="93">
        <v>3</v>
      </c>
      <c r="F619" s="94">
        <f t="shared" si="106"/>
        <v>3</v>
      </c>
      <c r="H619" s="95">
        <v>1</v>
      </c>
      <c r="I619" s="96">
        <v>3</v>
      </c>
      <c r="J619" s="97">
        <f t="shared" si="107"/>
        <v>3</v>
      </c>
      <c r="L619" s="98">
        <v>1</v>
      </c>
      <c r="M619" s="99">
        <v>3</v>
      </c>
      <c r="N619" s="100">
        <f t="shared" si="108"/>
        <v>3</v>
      </c>
    </row>
    <row r="620" spans="1:30" x14ac:dyDescent="0.2">
      <c r="A620" s="89" t="s">
        <v>140</v>
      </c>
      <c r="B620" s="90">
        <v>30</v>
      </c>
      <c r="C620" s="91">
        <f>$N$611-$L$611+1</f>
        <v>30</v>
      </c>
      <c r="D620" s="92">
        <v>0.5736</v>
      </c>
      <c r="E620" s="93">
        <v>1.274E-2</v>
      </c>
      <c r="F620" s="94">
        <f t="shared" si="106"/>
        <v>0.38</v>
      </c>
      <c r="H620" s="95">
        <v>30</v>
      </c>
      <c r="I620" s="96">
        <v>1.274E-2</v>
      </c>
      <c r="J620" s="97">
        <f t="shared" si="107"/>
        <v>0.38</v>
      </c>
      <c r="L620" s="98">
        <v>30</v>
      </c>
      <c r="M620" s="99">
        <v>6.2899999999999996E-3</v>
      </c>
      <c r="N620" s="100">
        <f t="shared" si="108"/>
        <v>0.19</v>
      </c>
    </row>
    <row r="621" spans="1:30" x14ac:dyDescent="0.2">
      <c r="A621" s="89" t="s">
        <v>141</v>
      </c>
      <c r="B621" s="90">
        <v>3.09</v>
      </c>
      <c r="C621" s="103"/>
      <c r="D621" s="92">
        <v>0.24729000000000001</v>
      </c>
      <c r="E621" s="93">
        <v>1</v>
      </c>
      <c r="F621" s="94">
        <f t="shared" si="106"/>
        <v>3.09</v>
      </c>
      <c r="H621" s="95">
        <v>7.77</v>
      </c>
      <c r="I621" s="96">
        <v>1</v>
      </c>
      <c r="J621" s="97">
        <f t="shared" si="107"/>
        <v>7.77</v>
      </c>
      <c r="L621" s="98">
        <v>1.47</v>
      </c>
      <c r="M621" s="99">
        <v>1</v>
      </c>
      <c r="N621" s="100">
        <f t="shared" si="108"/>
        <v>1.47</v>
      </c>
    </row>
    <row r="622" spans="1:30" x14ac:dyDescent="0.2">
      <c r="A622" s="106" t="s">
        <v>142</v>
      </c>
      <c r="F622" s="107">
        <f>ROUND((SUM(F614:F621)-F621)*1.1+F621,2)</f>
        <v>119.31</v>
      </c>
      <c r="J622" s="108">
        <f>ROUND(SUM(J614:J621),2)</f>
        <v>170.67</v>
      </c>
      <c r="N622" s="109">
        <f>ROUND(SUM(N614:N621),2)</f>
        <v>65.52</v>
      </c>
    </row>
    <row r="623" spans="1:30" x14ac:dyDescent="0.2">
      <c r="A623" s="78" t="s">
        <v>143</v>
      </c>
      <c r="B623" s="110">
        <f>IF((F618+F617+F616+F614+F615)=0,"",((F618+F617+F616+F614+F615)-$AB$616)/(F618+F617+F616+F614+F615))</f>
        <v>0.30003121075584238</v>
      </c>
      <c r="D623" s="139" t="str">
        <f>IF(B623="","SIN PC",IF(B623&gt;=0.3,"APROBAR",IF(B623&gt;=0.2,"REVISAR","RECHAZAR")))</f>
        <v>APROBAR</v>
      </c>
      <c r="E623" s="139"/>
      <c r="F623" s="139"/>
      <c r="AD623">
        <f>SUM(F616:F618)-70.0494</f>
        <v>14.3506</v>
      </c>
    </row>
    <row r="624" spans="1:30" x14ac:dyDescent="0.2">
      <c r="A624" s="140" t="s">
        <v>743</v>
      </c>
      <c r="B624" s="140"/>
      <c r="C624" s="140"/>
      <c r="D624" s="140"/>
      <c r="E624" s="140"/>
      <c r="F624" s="140"/>
    </row>
    <row r="625" spans="1:28" x14ac:dyDescent="0.2">
      <c r="A625" s="111" t="s">
        <v>111</v>
      </c>
      <c r="B625" s="111" t="s">
        <v>744</v>
      </c>
      <c r="D625" s="111" t="s">
        <v>745</v>
      </c>
      <c r="E625" s="111" t="s">
        <v>746</v>
      </c>
      <c r="F625" s="111" t="s">
        <v>120</v>
      </c>
    </row>
    <row r="626" spans="1:28" x14ac:dyDescent="0.2">
      <c r="A626" s="112" t="s">
        <v>747</v>
      </c>
      <c r="B626" s="113">
        <v>462</v>
      </c>
      <c r="C626" s="114"/>
      <c r="D626" s="92">
        <v>0.06</v>
      </c>
      <c r="E626" s="114"/>
      <c r="F626" s="115">
        <f>ROUND(B626*D626,2)</f>
        <v>27.72</v>
      </c>
    </row>
    <row r="627" spans="1:28" x14ac:dyDescent="0.2">
      <c r="A627" s="112" t="s">
        <v>748</v>
      </c>
      <c r="B627" s="114"/>
      <c r="C627" s="114"/>
      <c r="D627" s="114"/>
      <c r="E627" s="116">
        <v>0.06</v>
      </c>
      <c r="F627" s="115">
        <v>27.66</v>
      </c>
    </row>
    <row r="628" spans="1:28" x14ac:dyDescent="0.2">
      <c r="A628" s="117" t="s">
        <v>749</v>
      </c>
      <c r="B628" s="114"/>
      <c r="C628" s="114"/>
      <c r="D628" s="114"/>
      <c r="E628" s="114"/>
      <c r="F628" s="118">
        <f>F626-F627</f>
        <v>5.9999999999998721E-2</v>
      </c>
    </row>
    <row r="630" spans="1:28" x14ac:dyDescent="0.2">
      <c r="A630" s="137" t="s">
        <v>936</v>
      </c>
      <c r="B630" s="137"/>
      <c r="C630" s="137"/>
      <c r="D630" s="137"/>
      <c r="E630" s="137"/>
      <c r="F630" s="137"/>
      <c r="H630" s="137" t="s">
        <v>937</v>
      </c>
      <c r="I630" s="137"/>
      <c r="J630" s="137"/>
      <c r="K630" s="137"/>
      <c r="L630" s="76">
        <v>46113</v>
      </c>
      <c r="M630" s="77" t="s">
        <v>607</v>
      </c>
      <c r="N630" s="76">
        <v>46142</v>
      </c>
      <c r="R630" s="138" t="s">
        <v>110</v>
      </c>
      <c r="S630" s="138"/>
      <c r="T630" s="138"/>
      <c r="U630" s="138"/>
      <c r="V630" s="138"/>
    </row>
    <row r="631" spans="1:28" x14ac:dyDescent="0.2">
      <c r="A631" s="78" t="s">
        <v>111</v>
      </c>
      <c r="B631" s="79" t="s">
        <v>112</v>
      </c>
      <c r="C631" s="80"/>
      <c r="D631" s="80"/>
      <c r="E631" s="80"/>
      <c r="F631" s="80"/>
      <c r="H631" s="81" t="s">
        <v>938</v>
      </c>
      <c r="I631" s="82"/>
      <c r="J631" s="82"/>
      <c r="L631" s="83" t="s">
        <v>939</v>
      </c>
      <c r="M631" s="84"/>
      <c r="N631" s="84"/>
      <c r="R631" s="85" t="s">
        <v>940</v>
      </c>
    </row>
    <row r="632" spans="1:28" x14ac:dyDescent="0.2">
      <c r="B632" s="68" t="s">
        <v>116</v>
      </c>
      <c r="C632" s="68" t="s">
        <v>117</v>
      </c>
      <c r="D632" s="68" t="s">
        <v>118</v>
      </c>
      <c r="E632" s="68" t="s">
        <v>119</v>
      </c>
      <c r="F632" s="68" t="s">
        <v>120</v>
      </c>
      <c r="H632" s="86" t="s">
        <v>116</v>
      </c>
      <c r="I632" s="86" t="s">
        <v>119</v>
      </c>
      <c r="J632" s="86" t="s">
        <v>120</v>
      </c>
      <c r="L632" s="87" t="s">
        <v>116</v>
      </c>
      <c r="M632" s="87" t="s">
        <v>119</v>
      </c>
      <c r="N632" s="87" t="s">
        <v>120</v>
      </c>
      <c r="R632" s="88" t="s">
        <v>941</v>
      </c>
    </row>
    <row r="633" spans="1:28" x14ac:dyDescent="0.2">
      <c r="A633" s="89" t="s">
        <v>122</v>
      </c>
      <c r="B633" s="90">
        <v>8.0500000000000007</v>
      </c>
      <c r="C633" s="91">
        <f>$N$630-$L$630+1</f>
        <v>30</v>
      </c>
      <c r="D633" s="92">
        <v>3.4085999999999999</v>
      </c>
      <c r="E633" s="93">
        <v>3.85</v>
      </c>
      <c r="F633" s="94">
        <f t="shared" ref="F633:F640" si="109">ROUND(B633*E633,2)</f>
        <v>30.99</v>
      </c>
      <c r="H633" s="95">
        <v>8.0500000000000007</v>
      </c>
      <c r="I633" s="96">
        <v>3.85</v>
      </c>
      <c r="J633" s="97">
        <f t="shared" ref="J633:J640" si="110">ROUND(H633*I633,2)</f>
        <v>30.99</v>
      </c>
      <c r="L633" s="98">
        <v>8.0500000000000007</v>
      </c>
      <c r="M633" s="99">
        <v>3.85</v>
      </c>
      <c r="N633" s="100">
        <f t="shared" ref="N633:N640" si="111">ROUND(L633*M633,2)</f>
        <v>30.99</v>
      </c>
      <c r="R633" s="101" t="s">
        <v>942</v>
      </c>
    </row>
    <row r="634" spans="1:28" x14ac:dyDescent="0.2">
      <c r="A634" s="89" t="s">
        <v>124</v>
      </c>
      <c r="B634" s="90">
        <v>8.0500000000000007</v>
      </c>
      <c r="C634" s="91">
        <f>$N$630-$L$630+1</f>
        <v>30</v>
      </c>
      <c r="D634" s="92">
        <v>1.09728</v>
      </c>
      <c r="E634" s="93">
        <v>1.33</v>
      </c>
      <c r="F634" s="94">
        <f t="shared" si="109"/>
        <v>10.71</v>
      </c>
      <c r="H634" s="95">
        <v>8.0500000000000007</v>
      </c>
      <c r="I634" s="96">
        <v>1.33</v>
      </c>
      <c r="J634" s="97">
        <f t="shared" si="110"/>
        <v>10.71</v>
      </c>
      <c r="L634" s="98">
        <v>8.0500000000000007</v>
      </c>
      <c r="M634" s="99">
        <v>1.33</v>
      </c>
      <c r="N634" s="100">
        <f t="shared" si="111"/>
        <v>10.71</v>
      </c>
      <c r="R634" s="102" t="s">
        <v>943</v>
      </c>
    </row>
    <row r="635" spans="1:28" x14ac:dyDescent="0.2">
      <c r="A635" s="89" t="s">
        <v>614</v>
      </c>
      <c r="B635" s="90">
        <f>IF($P$635&lt;&gt;"",ROUND(AA635*(($AB$635/(1-$P$635))-41.699)/29.1065,2),IF('Resumen 2.0TD'!$D$3="OPTIMIZAR",ROUND(MAX(AA635,MIN(AA635*(($AB$635/(1-'Resumen 2.0TD'!$F$3))-41.699)/29.1065,AA635*(65.4888)/29.1065)),3),AA635))</f>
        <v>81.299000000000007</v>
      </c>
      <c r="C635" s="103"/>
      <c r="D635" s="92">
        <v>0.110306</v>
      </c>
      <c r="E635" s="93">
        <v>0.13788</v>
      </c>
      <c r="F635" s="94">
        <f t="shared" si="109"/>
        <v>11.21</v>
      </c>
      <c r="H635" s="95">
        <v>91.328999999999994</v>
      </c>
      <c r="I635" s="96">
        <v>0.13788</v>
      </c>
      <c r="J635" s="97">
        <f t="shared" si="110"/>
        <v>12.59</v>
      </c>
      <c r="L635" s="98">
        <v>52.857999999999997</v>
      </c>
      <c r="M635" s="99">
        <v>0.13788</v>
      </c>
      <c r="N635" s="100">
        <f t="shared" si="111"/>
        <v>7.29</v>
      </c>
      <c r="O635" s="104" t="s">
        <v>615</v>
      </c>
      <c r="P635" s="67"/>
      <c r="R635" s="102" t="s">
        <v>944</v>
      </c>
      <c r="AA635">
        <v>54.543999999999997</v>
      </c>
      <c r="AB635">
        <f>B633*D633+B634*D634+AA635*D635+AA636*D636+AA637*D637</f>
        <v>59.557930599999999</v>
      </c>
    </row>
    <row r="636" spans="1:28" x14ac:dyDescent="0.2">
      <c r="A636" s="89" t="s">
        <v>617</v>
      </c>
      <c r="B636" s="90">
        <f>IF($P$635&lt;&gt;"",ROUND(AA636*(($AB$635/(1-$P$635))-41.699)/29.1065,2),IF('Resumen 2.0TD'!$D$3="OPTIMIZAR",ROUND(MAX(AA636,MIN(AA636*(($AB$635/(1-'Resumen 2.0TD'!$F$3))-41.699)/29.1065,AA636*(65.4888)/29.1065)),3),AA636))</f>
        <v>46.460999999999999</v>
      </c>
      <c r="C636" s="103"/>
      <c r="D636" s="92">
        <v>0.110306</v>
      </c>
      <c r="E636" s="93">
        <v>0.13788</v>
      </c>
      <c r="F636" s="94">
        <f t="shared" si="109"/>
        <v>6.41</v>
      </c>
      <c r="H636" s="95">
        <v>63.398000000000003</v>
      </c>
      <c r="I636" s="96">
        <v>0.13788</v>
      </c>
      <c r="J636" s="97">
        <f t="shared" si="110"/>
        <v>8.74</v>
      </c>
      <c r="L636" s="98">
        <v>50.853000000000002</v>
      </c>
      <c r="M636" s="99">
        <v>0.13788</v>
      </c>
      <c r="N636" s="100">
        <f t="shared" si="111"/>
        <v>7.01</v>
      </c>
      <c r="O636" s="105" t="s">
        <v>618</v>
      </c>
      <c r="R636" s="102" t="s">
        <v>619</v>
      </c>
      <c r="AA636">
        <v>31.170999999999999</v>
      </c>
    </row>
    <row r="637" spans="1:28" x14ac:dyDescent="0.2">
      <c r="A637" s="89" t="s">
        <v>620</v>
      </c>
      <c r="B637" s="90">
        <f>IF($P$635&lt;&gt;"",ROUND(AA637*(($AB$635/(1-$P$635))-41.699)/29.1065,2),IF('Resumen 2.0TD'!$D$3="OPTIMIZAR",ROUND(MAX(AA637,MIN(AA637*(($AB$635/(1-'Resumen 2.0TD'!$F$3))-41.699)/29.1065,AA637*(65.4888)/29.1065)),3),AA637))</f>
        <v>186.88900000000001</v>
      </c>
      <c r="C637" s="103"/>
      <c r="D637" s="92">
        <v>0.110306</v>
      </c>
      <c r="E637" s="93">
        <v>0.13788</v>
      </c>
      <c r="F637" s="94">
        <f t="shared" si="109"/>
        <v>25.77</v>
      </c>
      <c r="H637" s="95">
        <v>133.77099999999999</v>
      </c>
      <c r="I637" s="96">
        <v>0.13788</v>
      </c>
      <c r="J637" s="97">
        <f t="shared" si="110"/>
        <v>18.440000000000001</v>
      </c>
      <c r="L637" s="98">
        <v>99.744</v>
      </c>
      <c r="M637" s="99">
        <v>0.13788</v>
      </c>
      <c r="N637" s="100">
        <f t="shared" si="111"/>
        <v>13.75</v>
      </c>
      <c r="O637" s="105" t="s">
        <v>621</v>
      </c>
      <c r="AA637">
        <v>125.38500000000001</v>
      </c>
    </row>
    <row r="638" spans="1:28" x14ac:dyDescent="0.2">
      <c r="A638" s="89" t="s">
        <v>139</v>
      </c>
      <c r="B638" s="90">
        <v>1</v>
      </c>
      <c r="C638" s="91">
        <f>$N$630-$L$630+1</f>
        <v>30</v>
      </c>
      <c r="D638" s="92">
        <v>1.3413999999999999</v>
      </c>
      <c r="E638" s="93">
        <v>3</v>
      </c>
      <c r="F638" s="94">
        <f t="shared" si="109"/>
        <v>3</v>
      </c>
      <c r="H638" s="95">
        <v>1</v>
      </c>
      <c r="I638" s="96">
        <v>3</v>
      </c>
      <c r="J638" s="97">
        <f t="shared" si="110"/>
        <v>3</v>
      </c>
      <c r="L638" s="98">
        <v>1</v>
      </c>
      <c r="M638" s="99">
        <v>3</v>
      </c>
      <c r="N638" s="100">
        <f t="shared" si="111"/>
        <v>3</v>
      </c>
    </row>
    <row r="639" spans="1:28" x14ac:dyDescent="0.2">
      <c r="A639" s="89" t="s">
        <v>140</v>
      </c>
      <c r="B639" s="90">
        <v>30</v>
      </c>
      <c r="C639" s="91">
        <f>$N$630-$L$630+1</f>
        <v>30</v>
      </c>
      <c r="D639" s="92">
        <v>0.5736</v>
      </c>
      <c r="E639" s="93">
        <v>1.274E-2</v>
      </c>
      <c r="F639" s="94">
        <f t="shared" si="109"/>
        <v>0.38</v>
      </c>
      <c r="H639" s="95">
        <v>30</v>
      </c>
      <c r="I639" s="96">
        <v>1.274E-2</v>
      </c>
      <c r="J639" s="97">
        <f t="shared" si="110"/>
        <v>0.38</v>
      </c>
      <c r="L639" s="98">
        <v>30</v>
      </c>
      <c r="M639" s="99">
        <v>6.2899999999999996E-3</v>
      </c>
      <c r="N639" s="100">
        <f t="shared" si="111"/>
        <v>0.19</v>
      </c>
    </row>
    <row r="640" spans="1:28" x14ac:dyDescent="0.2">
      <c r="A640" s="89" t="s">
        <v>141</v>
      </c>
      <c r="B640" s="90">
        <v>2.64</v>
      </c>
      <c r="C640" s="103"/>
      <c r="D640" s="92">
        <v>0.24729000000000001</v>
      </c>
      <c r="E640" s="93">
        <v>1</v>
      </c>
      <c r="F640" s="94">
        <f t="shared" si="109"/>
        <v>2.64</v>
      </c>
      <c r="H640" s="95">
        <v>3.52</v>
      </c>
      <c r="I640" s="96">
        <v>1</v>
      </c>
      <c r="J640" s="97">
        <f t="shared" si="110"/>
        <v>3.52</v>
      </c>
      <c r="L640" s="98">
        <v>2.83</v>
      </c>
      <c r="M640" s="99">
        <v>1</v>
      </c>
      <c r="N640" s="100">
        <f t="shared" si="111"/>
        <v>2.83</v>
      </c>
    </row>
    <row r="641" spans="1:30" x14ac:dyDescent="0.2">
      <c r="A641" s="106" t="s">
        <v>142</v>
      </c>
      <c r="F641" s="107">
        <f>ROUND((SUM(F633:F640)-F640)*1.1+F640,2)</f>
        <v>99.96</v>
      </c>
      <c r="J641" s="108">
        <f>ROUND(SUM(J633:J640),2)</f>
        <v>88.37</v>
      </c>
      <c r="N641" s="109">
        <f>ROUND(SUM(N633:N640),2)</f>
        <v>75.77</v>
      </c>
    </row>
    <row r="642" spans="1:30" x14ac:dyDescent="0.2">
      <c r="A642" s="78" t="s">
        <v>143</v>
      </c>
      <c r="B642" s="110">
        <f>IF((F637+F636+F635+F633+F634)=0,"",((F637+F636+F635+F633+F634)-$AB$635)/(F637+F636+F635+F633+F634))</f>
        <v>0.30005957691855684</v>
      </c>
      <c r="D642" s="139" t="str">
        <f>IF(B642="","SIN PC",IF(B642&gt;=0.3,"APROBAR",IF(B642&gt;=0.2,"REVISAR","RECHAZAR")))</f>
        <v>APROBAR</v>
      </c>
      <c r="E642" s="139"/>
      <c r="F642" s="139"/>
      <c r="AD642">
        <f>SUM(F635:F637)-29.1065</f>
        <v>14.2835</v>
      </c>
    </row>
    <row r="643" spans="1:30" x14ac:dyDescent="0.2">
      <c r="A643" s="140" t="s">
        <v>743</v>
      </c>
      <c r="B643" s="140"/>
      <c r="C643" s="140"/>
      <c r="D643" s="140"/>
      <c r="E643" s="140"/>
      <c r="F643" s="140"/>
    </row>
    <row r="644" spans="1:30" x14ac:dyDescent="0.2">
      <c r="A644" s="111" t="s">
        <v>111</v>
      </c>
      <c r="B644" s="111" t="s">
        <v>744</v>
      </c>
      <c r="D644" s="111" t="s">
        <v>745</v>
      </c>
      <c r="E644" s="111" t="s">
        <v>746</v>
      </c>
      <c r="F644" s="111" t="s">
        <v>120</v>
      </c>
    </row>
    <row r="645" spans="1:30" x14ac:dyDescent="0.2">
      <c r="A645" s="112" t="s">
        <v>747</v>
      </c>
      <c r="B645" s="113">
        <v>330</v>
      </c>
      <c r="C645" s="114"/>
      <c r="D645" s="92">
        <v>0.06</v>
      </c>
      <c r="E645" s="114"/>
      <c r="F645" s="115">
        <f>ROUND(B645*D645,2)</f>
        <v>19.8</v>
      </c>
    </row>
    <row r="646" spans="1:30" x14ac:dyDescent="0.2">
      <c r="A646" s="112" t="s">
        <v>748</v>
      </c>
      <c r="B646" s="114"/>
      <c r="C646" s="114"/>
      <c r="D646" s="114"/>
      <c r="E646" s="116">
        <v>0.06</v>
      </c>
      <c r="F646" s="115">
        <v>19.260000000000002</v>
      </c>
    </row>
    <row r="647" spans="1:30" x14ac:dyDescent="0.2">
      <c r="A647" s="117" t="s">
        <v>749</v>
      </c>
      <c r="B647" s="114"/>
      <c r="C647" s="114"/>
      <c r="D647" s="114"/>
      <c r="E647" s="114"/>
      <c r="F647" s="118">
        <f>F645-F646</f>
        <v>0.53999999999999915</v>
      </c>
    </row>
    <row r="649" spans="1:30" x14ac:dyDescent="0.2">
      <c r="A649" s="137" t="s">
        <v>945</v>
      </c>
      <c r="B649" s="137"/>
      <c r="C649" s="137"/>
      <c r="D649" s="137"/>
      <c r="E649" s="137"/>
      <c r="F649" s="137"/>
      <c r="H649" s="137" t="s">
        <v>946</v>
      </c>
      <c r="I649" s="137"/>
      <c r="J649" s="137"/>
      <c r="K649" s="137"/>
      <c r="L649" s="76">
        <v>46113</v>
      </c>
      <c r="M649" s="77" t="s">
        <v>607</v>
      </c>
      <c r="N649" s="76">
        <v>46142</v>
      </c>
      <c r="R649" s="138" t="s">
        <v>110</v>
      </c>
      <c r="S649" s="138"/>
      <c r="T649" s="138"/>
      <c r="U649" s="138"/>
      <c r="V649" s="138"/>
    </row>
    <row r="650" spans="1:30" x14ac:dyDescent="0.2">
      <c r="A650" s="78" t="s">
        <v>111</v>
      </c>
      <c r="B650" s="79" t="s">
        <v>112</v>
      </c>
      <c r="C650" s="80"/>
      <c r="D650" s="80"/>
      <c r="E650" s="80"/>
      <c r="F650" s="80"/>
      <c r="H650" s="81" t="s">
        <v>947</v>
      </c>
      <c r="I650" s="82"/>
      <c r="J650" s="82"/>
      <c r="L650" s="83" t="s">
        <v>948</v>
      </c>
      <c r="M650" s="84"/>
      <c r="N650" s="84"/>
      <c r="R650" s="85" t="s">
        <v>949</v>
      </c>
    </row>
    <row r="651" spans="1:30" x14ac:dyDescent="0.2">
      <c r="B651" s="68" t="s">
        <v>116</v>
      </c>
      <c r="C651" s="68" t="s">
        <v>117</v>
      </c>
      <c r="D651" s="68" t="s">
        <v>118</v>
      </c>
      <c r="E651" s="68" t="s">
        <v>119</v>
      </c>
      <c r="F651" s="68" t="s">
        <v>120</v>
      </c>
      <c r="H651" s="86" t="s">
        <v>116</v>
      </c>
      <c r="I651" s="86" t="s">
        <v>119</v>
      </c>
      <c r="J651" s="86" t="s">
        <v>120</v>
      </c>
      <c r="L651" s="87" t="s">
        <v>116</v>
      </c>
      <c r="M651" s="87" t="s">
        <v>119</v>
      </c>
      <c r="N651" s="87" t="s">
        <v>120</v>
      </c>
      <c r="R651" s="88" t="s">
        <v>950</v>
      </c>
    </row>
    <row r="652" spans="1:30" x14ac:dyDescent="0.2">
      <c r="A652" s="89" t="s">
        <v>122</v>
      </c>
      <c r="B652" s="90">
        <v>5.5</v>
      </c>
      <c r="C652" s="91">
        <f>$N$649-$L$649+1</f>
        <v>30</v>
      </c>
      <c r="D652" s="92">
        <v>3.4085999999999999</v>
      </c>
      <c r="E652" s="93">
        <v>4.82</v>
      </c>
      <c r="F652" s="94">
        <f t="shared" ref="F652:F659" si="112">ROUND(B652*E652,2)</f>
        <v>26.51</v>
      </c>
      <c r="H652" s="95">
        <v>5.5</v>
      </c>
      <c r="I652" s="96">
        <v>4.82</v>
      </c>
      <c r="J652" s="97">
        <f t="shared" ref="J652:J659" si="113">ROUND(H652*I652,2)</f>
        <v>26.51</v>
      </c>
      <c r="L652" s="98">
        <v>5.5</v>
      </c>
      <c r="M652" s="99">
        <v>4.82</v>
      </c>
      <c r="N652" s="100">
        <f t="shared" ref="N652:N659" si="114">ROUND(L652*M652,2)</f>
        <v>26.51</v>
      </c>
      <c r="R652" s="101" t="s">
        <v>951</v>
      </c>
    </row>
    <row r="653" spans="1:30" x14ac:dyDescent="0.2">
      <c r="A653" s="89" t="s">
        <v>124</v>
      </c>
      <c r="B653" s="90">
        <v>5.5</v>
      </c>
      <c r="C653" s="91">
        <f>$N$649-$L$649+1</f>
        <v>30</v>
      </c>
      <c r="D653" s="92">
        <v>1.09728</v>
      </c>
      <c r="E653" s="93">
        <v>2.3744000000000001</v>
      </c>
      <c r="F653" s="94">
        <f t="shared" si="112"/>
        <v>13.06</v>
      </c>
      <c r="H653" s="95">
        <v>5.5</v>
      </c>
      <c r="I653" s="96">
        <v>2.3744000000000001</v>
      </c>
      <c r="J653" s="97">
        <f t="shared" si="113"/>
        <v>13.06</v>
      </c>
      <c r="L653" s="98">
        <v>5.5</v>
      </c>
      <c r="M653" s="99">
        <v>2.3744000000000001</v>
      </c>
      <c r="N653" s="100">
        <f t="shared" si="114"/>
        <v>13.06</v>
      </c>
      <c r="R653" s="102" t="s">
        <v>952</v>
      </c>
    </row>
    <row r="654" spans="1:30" x14ac:dyDescent="0.2">
      <c r="A654" s="89" t="s">
        <v>614</v>
      </c>
      <c r="B654" s="90">
        <f>IF($P$654&lt;&gt;"",ROUND(AA654*(($AB$654/(1-$P$654))-39.5692)/22.0366,2),IF('Resumen 2.0TD'!$D$3="OPTIMIZAR",ROUND(MAX(AA654,MIN(AA654*(($AB$654/(1-'Resumen 2.0TD'!$F$3))-39.5692)/22.0366,AA654*(85.6786)/22.0366)),3),AA654))</f>
        <v>17.422000000000001</v>
      </c>
      <c r="C654" s="103"/>
      <c r="D654" s="92">
        <v>0.110306</v>
      </c>
      <c r="E654" s="93">
        <v>0.13900000000000001</v>
      </c>
      <c r="F654" s="94">
        <f t="shared" si="112"/>
        <v>2.42</v>
      </c>
      <c r="H654" s="95">
        <v>45.494</v>
      </c>
      <c r="I654" s="96">
        <v>0.13900000000000001</v>
      </c>
      <c r="J654" s="97">
        <f t="shared" si="113"/>
        <v>6.32</v>
      </c>
      <c r="L654" s="98">
        <v>14.452</v>
      </c>
      <c r="M654" s="99">
        <v>0.14899999999999999</v>
      </c>
      <c r="N654" s="100">
        <f t="shared" si="114"/>
        <v>2.15</v>
      </c>
      <c r="O654" s="104" t="s">
        <v>615</v>
      </c>
      <c r="P654" s="67"/>
      <c r="R654" s="102" t="s">
        <v>953</v>
      </c>
      <c r="AA654">
        <v>17.422000000000001</v>
      </c>
      <c r="AB654">
        <f>B652*D652+B653*D653+AA654*D654+AA655*D655+AA656*D656</f>
        <v>42.269922321999999</v>
      </c>
    </row>
    <row r="655" spans="1:30" x14ac:dyDescent="0.2">
      <c r="A655" s="89" t="s">
        <v>617</v>
      </c>
      <c r="B655" s="90">
        <f>IF($P$654&lt;&gt;"",ROUND(AA655*(($AB$654/(1-$P$654))-39.5692)/22.0366,2),IF('Resumen 2.0TD'!$D$3="OPTIMIZAR",ROUND(MAX(AA655,MIN(AA655*(($AB$654/(1-'Resumen 2.0TD'!$F$3))-39.5692)/22.0366,AA655*(85.6786)/22.0366)),3),AA655))</f>
        <v>43.003</v>
      </c>
      <c r="C655" s="103"/>
      <c r="D655" s="92">
        <v>0.110306</v>
      </c>
      <c r="E655" s="93">
        <v>0.13900000000000001</v>
      </c>
      <c r="F655" s="94">
        <f t="shared" si="112"/>
        <v>5.98</v>
      </c>
      <c r="H655" s="95">
        <v>84.433999999999997</v>
      </c>
      <c r="I655" s="96">
        <v>0.13900000000000001</v>
      </c>
      <c r="J655" s="97">
        <f t="shared" si="113"/>
        <v>11.74</v>
      </c>
      <c r="L655" s="98">
        <v>11.099</v>
      </c>
      <c r="M655" s="99">
        <v>0.14899999999999999</v>
      </c>
      <c r="N655" s="100">
        <f t="shared" si="114"/>
        <v>1.65</v>
      </c>
      <c r="O655" s="105" t="s">
        <v>618</v>
      </c>
      <c r="R655" s="102" t="s">
        <v>619</v>
      </c>
      <c r="AA655">
        <v>43.003</v>
      </c>
    </row>
    <row r="656" spans="1:30" x14ac:dyDescent="0.2">
      <c r="A656" s="89" t="s">
        <v>620</v>
      </c>
      <c r="B656" s="90">
        <f>IF($P$654&lt;&gt;"",ROUND(AA656*(($AB$654/(1-$P$654))-39.5692)/22.0366,2),IF('Resumen 2.0TD'!$D$3="OPTIMIZAR",ROUND(MAX(AA656,MIN(AA656*(($AB$654/(1-'Resumen 2.0TD'!$F$3))-39.5692)/22.0366,AA656*(85.6786)/22.0366)),3),AA656))</f>
        <v>98.111999999999995</v>
      </c>
      <c r="C656" s="103"/>
      <c r="D656" s="92">
        <v>0.110306</v>
      </c>
      <c r="E656" s="93">
        <v>0.13900000000000001</v>
      </c>
      <c r="F656" s="94">
        <f t="shared" si="112"/>
        <v>13.64</v>
      </c>
      <c r="H656" s="95">
        <v>131.91399999999999</v>
      </c>
      <c r="I656" s="96">
        <v>0.13900000000000001</v>
      </c>
      <c r="J656" s="97">
        <f t="shared" si="113"/>
        <v>18.34</v>
      </c>
      <c r="L656" s="98">
        <v>106.482</v>
      </c>
      <c r="M656" s="99">
        <v>0.14899999999999999</v>
      </c>
      <c r="N656" s="100">
        <f t="shared" si="114"/>
        <v>15.87</v>
      </c>
      <c r="O656" s="105" t="s">
        <v>621</v>
      </c>
      <c r="AA656">
        <v>98.111999999999995</v>
      </c>
    </row>
    <row r="657" spans="1:30" x14ac:dyDescent="0.2">
      <c r="A657" s="89" t="s">
        <v>139</v>
      </c>
      <c r="B657" s="90">
        <v>1</v>
      </c>
      <c r="C657" s="91">
        <f>$N$649-$L$649+1</f>
        <v>30</v>
      </c>
      <c r="D657" s="92">
        <v>0.79890000000000005</v>
      </c>
      <c r="E657" s="93">
        <v>1</v>
      </c>
      <c r="F657" s="94">
        <f t="shared" si="112"/>
        <v>1</v>
      </c>
      <c r="H657" s="95">
        <v>1</v>
      </c>
      <c r="I657" s="96">
        <v>1</v>
      </c>
      <c r="J657" s="97">
        <f t="shared" si="113"/>
        <v>1</v>
      </c>
      <c r="L657" s="98">
        <v>1</v>
      </c>
      <c r="M657" s="99">
        <v>6</v>
      </c>
      <c r="N657" s="100">
        <f t="shared" si="114"/>
        <v>6</v>
      </c>
    </row>
    <row r="658" spans="1:30" x14ac:dyDescent="0.2">
      <c r="A658" s="89" t="s">
        <v>140</v>
      </c>
      <c r="B658" s="90">
        <v>30</v>
      </c>
      <c r="C658" s="91">
        <f>$N$649-$L$649+1</f>
        <v>30</v>
      </c>
      <c r="D658" s="92">
        <v>0.5736</v>
      </c>
      <c r="E658" s="93">
        <v>1.274E-2</v>
      </c>
      <c r="F658" s="94">
        <f t="shared" si="112"/>
        <v>0.38</v>
      </c>
      <c r="H658" s="95">
        <v>30</v>
      </c>
      <c r="I658" s="96">
        <v>1.9120000000000002E-2</v>
      </c>
      <c r="J658" s="97">
        <f t="shared" si="113"/>
        <v>0.56999999999999995</v>
      </c>
      <c r="L658" s="98">
        <v>30</v>
      </c>
      <c r="M658" s="99">
        <v>6.2899999999999996E-3</v>
      </c>
      <c r="N658" s="100">
        <f t="shared" si="114"/>
        <v>0.19</v>
      </c>
    </row>
    <row r="659" spans="1:30" x14ac:dyDescent="0.2">
      <c r="A659" s="89" t="s">
        <v>141</v>
      </c>
      <c r="B659" s="90">
        <v>1.66</v>
      </c>
      <c r="C659" s="103"/>
      <c r="D659" s="92">
        <v>0.24729000000000001</v>
      </c>
      <c r="E659" s="93">
        <v>1</v>
      </c>
      <c r="F659" s="94">
        <f t="shared" si="112"/>
        <v>1.66</v>
      </c>
      <c r="H659" s="95">
        <v>3.05</v>
      </c>
      <c r="I659" s="96">
        <v>1</v>
      </c>
      <c r="J659" s="97">
        <f t="shared" si="113"/>
        <v>3.05</v>
      </c>
      <c r="L659" s="98">
        <v>2.2999999999999998</v>
      </c>
      <c r="M659" s="99">
        <v>1</v>
      </c>
      <c r="N659" s="100">
        <f t="shared" si="114"/>
        <v>2.2999999999999998</v>
      </c>
    </row>
    <row r="660" spans="1:30" x14ac:dyDescent="0.2">
      <c r="A660" s="106" t="s">
        <v>142</v>
      </c>
      <c r="F660" s="107">
        <f>ROUND((SUM(F652:F659)-F659)*1.1+F659,2)</f>
        <v>70.95</v>
      </c>
      <c r="J660" s="108">
        <f>ROUND(SUM(J652:J659),2)</f>
        <v>80.59</v>
      </c>
      <c r="N660" s="109">
        <f>ROUND(SUM(N652:N659),2)</f>
        <v>67.73</v>
      </c>
    </row>
    <row r="661" spans="1:30" x14ac:dyDescent="0.2">
      <c r="A661" s="78" t="s">
        <v>143</v>
      </c>
      <c r="B661" s="110">
        <f>IF((F656+F655+F654+F652+F653)=0,"",((F656+F655+F654+F652+F653)-$AB$654)/(F656+F655+F654+F652+F653))</f>
        <v>0.3139113403343613</v>
      </c>
      <c r="D661" s="139" t="str">
        <f>IF(B661="","SIN PC",IF(B661&gt;=0.3,"APROBAR",IF(B661&gt;=0.2,"REVISAR","RECHAZAR")))</f>
        <v>APROBAR</v>
      </c>
      <c r="E661" s="139"/>
      <c r="F661" s="139"/>
      <c r="AD661">
        <f>SUM(F654:F656)-22.0366</f>
        <v>3.3999999999991815E-3</v>
      </c>
    </row>
    <row r="662" spans="1:30" x14ac:dyDescent="0.2">
      <c r="A662" s="140" t="s">
        <v>743</v>
      </c>
      <c r="B662" s="140"/>
      <c r="C662" s="140"/>
      <c r="D662" s="140"/>
      <c r="E662" s="140"/>
      <c r="F662" s="140"/>
    </row>
    <row r="663" spans="1:30" x14ac:dyDescent="0.2">
      <c r="A663" s="111" t="s">
        <v>111</v>
      </c>
      <c r="B663" s="111" t="s">
        <v>744</v>
      </c>
      <c r="D663" s="111" t="s">
        <v>745</v>
      </c>
      <c r="E663" s="111" t="s">
        <v>746</v>
      </c>
      <c r="F663" s="111" t="s">
        <v>120</v>
      </c>
    </row>
    <row r="664" spans="1:30" x14ac:dyDescent="0.2">
      <c r="A664" s="112" t="s">
        <v>747</v>
      </c>
      <c r="B664" s="113">
        <v>418</v>
      </c>
      <c r="C664" s="114"/>
      <c r="D664" s="92">
        <v>0.06</v>
      </c>
      <c r="E664" s="114"/>
      <c r="F664" s="115">
        <f>ROUND(B664*D664,2)</f>
        <v>25.08</v>
      </c>
    </row>
    <row r="665" spans="1:30" x14ac:dyDescent="0.2">
      <c r="A665" s="112" t="s">
        <v>748</v>
      </c>
      <c r="B665" s="114"/>
      <c r="C665" s="114"/>
      <c r="D665" s="114"/>
      <c r="E665" s="116">
        <v>0.06</v>
      </c>
      <c r="F665" s="115">
        <v>32.89</v>
      </c>
    </row>
    <row r="666" spans="1:30" x14ac:dyDescent="0.2">
      <c r="A666" s="117" t="s">
        <v>749</v>
      </c>
      <c r="B666" s="114"/>
      <c r="C666" s="114"/>
      <c r="D666" s="114"/>
      <c r="E666" s="114"/>
      <c r="F666" s="118">
        <f>F664-F665</f>
        <v>-7.8100000000000023</v>
      </c>
    </row>
    <row r="668" spans="1:30" x14ac:dyDescent="0.2">
      <c r="A668" s="137" t="s">
        <v>954</v>
      </c>
      <c r="B668" s="137"/>
      <c r="C668" s="137"/>
      <c r="D668" s="137"/>
      <c r="E668" s="137"/>
      <c r="F668" s="137"/>
      <c r="H668" s="137" t="s">
        <v>955</v>
      </c>
      <c r="I668" s="137"/>
      <c r="J668" s="137"/>
      <c r="K668" s="137"/>
      <c r="L668" s="76">
        <v>46113</v>
      </c>
      <c r="M668" s="77" t="s">
        <v>607</v>
      </c>
      <c r="N668" s="76">
        <v>46142</v>
      </c>
      <c r="R668" s="138" t="s">
        <v>110</v>
      </c>
      <c r="S668" s="138"/>
      <c r="T668" s="138"/>
      <c r="U668" s="138"/>
      <c r="V668" s="138"/>
    </row>
    <row r="669" spans="1:30" x14ac:dyDescent="0.2">
      <c r="A669" s="78" t="s">
        <v>111</v>
      </c>
      <c r="B669" s="79" t="s">
        <v>112</v>
      </c>
      <c r="C669" s="80"/>
      <c r="D669" s="80"/>
      <c r="E669" s="80"/>
      <c r="F669" s="80"/>
      <c r="H669" s="81" t="s">
        <v>956</v>
      </c>
      <c r="I669" s="82"/>
      <c r="J669" s="82"/>
      <c r="L669" s="83" t="s">
        <v>957</v>
      </c>
      <c r="M669" s="84"/>
      <c r="N669" s="84"/>
      <c r="R669" s="85" t="s">
        <v>958</v>
      </c>
    </row>
    <row r="670" spans="1:30" x14ac:dyDescent="0.2">
      <c r="B670" s="68" t="s">
        <v>116</v>
      </c>
      <c r="C670" s="68" t="s">
        <v>117</v>
      </c>
      <c r="D670" s="68" t="s">
        <v>118</v>
      </c>
      <c r="E670" s="68" t="s">
        <v>119</v>
      </c>
      <c r="F670" s="68" t="s">
        <v>120</v>
      </c>
      <c r="H670" s="86" t="s">
        <v>116</v>
      </c>
      <c r="I670" s="86" t="s">
        <v>119</v>
      </c>
      <c r="J670" s="86" t="s">
        <v>120</v>
      </c>
      <c r="L670" s="87" t="s">
        <v>116</v>
      </c>
      <c r="M670" s="87" t="s">
        <v>119</v>
      </c>
      <c r="N670" s="87" t="s">
        <v>120</v>
      </c>
      <c r="R670" s="88" t="s">
        <v>959</v>
      </c>
    </row>
    <row r="671" spans="1:30" x14ac:dyDescent="0.2">
      <c r="A671" s="89" t="s">
        <v>122</v>
      </c>
      <c r="B671" s="90">
        <v>8.8000000000000007</v>
      </c>
      <c r="C671" s="91">
        <f>$N$668-$L$668+1</f>
        <v>30</v>
      </c>
      <c r="D671" s="92">
        <v>3.4085999999999999</v>
      </c>
      <c r="E671" s="93">
        <v>4.17</v>
      </c>
      <c r="F671" s="94">
        <f t="shared" ref="F671:F678" si="115">ROUND(B671*E671,2)</f>
        <v>36.700000000000003</v>
      </c>
      <c r="H671" s="95">
        <v>8.8000000000000007</v>
      </c>
      <c r="I671" s="96">
        <v>4.17</v>
      </c>
      <c r="J671" s="97">
        <f t="shared" ref="J671:J678" si="116">ROUND(H671*I671,2)</f>
        <v>36.700000000000003</v>
      </c>
      <c r="L671" s="98">
        <v>8.8000000000000007</v>
      </c>
      <c r="M671" s="99">
        <v>4.17</v>
      </c>
      <c r="N671" s="100">
        <f t="shared" ref="N671:N678" si="117">ROUND(L671*M671,2)</f>
        <v>36.700000000000003</v>
      </c>
      <c r="R671" s="101" t="s">
        <v>960</v>
      </c>
    </row>
    <row r="672" spans="1:30" x14ac:dyDescent="0.2">
      <c r="A672" s="89" t="s">
        <v>124</v>
      </c>
      <c r="B672" s="90">
        <v>8.8000000000000007</v>
      </c>
      <c r="C672" s="91">
        <f>$N$668-$L$668+1</f>
        <v>30</v>
      </c>
      <c r="D672" s="92">
        <v>1.09728</v>
      </c>
      <c r="E672" s="93">
        <v>1.37</v>
      </c>
      <c r="F672" s="94">
        <f t="shared" si="115"/>
        <v>12.06</v>
      </c>
      <c r="H672" s="95">
        <v>8.8000000000000007</v>
      </c>
      <c r="I672" s="96">
        <v>1.37</v>
      </c>
      <c r="J672" s="97">
        <f t="shared" si="116"/>
        <v>12.06</v>
      </c>
      <c r="L672" s="98">
        <v>8.8000000000000007</v>
      </c>
      <c r="M672" s="99">
        <v>1.37</v>
      </c>
      <c r="N672" s="100">
        <f t="shared" si="117"/>
        <v>12.06</v>
      </c>
      <c r="R672" s="102" t="s">
        <v>961</v>
      </c>
    </row>
    <row r="673" spans="1:30" x14ac:dyDescent="0.2">
      <c r="A673" s="89" t="s">
        <v>614</v>
      </c>
      <c r="B673" s="90">
        <f>IF($P$673&lt;&gt;"",ROUND(AA673*(($AB$673/(1-$P$673))-48.752)/67.6728,2),IF('Resumen 2.0TD'!$D$3="OPTIMIZAR",ROUND(MAX(AA673,MIN(AA673*(($AB$673/(1-'Resumen 2.0TD'!$F$3))-48.752)/67.6728,AA673*(210.2358)/67.6728)),3),AA673))</f>
        <v>98.376000000000005</v>
      </c>
      <c r="C673" s="103"/>
      <c r="D673" s="92">
        <v>0.110306</v>
      </c>
      <c r="E673" s="93">
        <v>0.14937</v>
      </c>
      <c r="F673" s="94">
        <f t="shared" si="115"/>
        <v>14.69</v>
      </c>
      <c r="H673" s="95">
        <v>212.22300000000001</v>
      </c>
      <c r="I673" s="96">
        <v>0.14937</v>
      </c>
      <c r="J673" s="97">
        <f t="shared" si="116"/>
        <v>31.7</v>
      </c>
      <c r="L673" s="98">
        <v>51.779000000000003</v>
      </c>
      <c r="M673" s="99">
        <v>0.14937</v>
      </c>
      <c r="N673" s="100">
        <f t="shared" si="117"/>
        <v>7.73</v>
      </c>
      <c r="O673" s="104" t="s">
        <v>615</v>
      </c>
      <c r="P673" s="67"/>
      <c r="R673" s="102" t="s">
        <v>962</v>
      </c>
      <c r="AA673">
        <v>83.966999999999999</v>
      </c>
      <c r="AB673">
        <f>B671*D671+B672*D672+AA673*D673+AA674*D674+AA675*D675</f>
        <v>89.626428830000009</v>
      </c>
    </row>
    <row r="674" spans="1:30" x14ac:dyDescent="0.2">
      <c r="A674" s="89" t="s">
        <v>617</v>
      </c>
      <c r="B674" s="90">
        <f>IF($P$673&lt;&gt;"",ROUND(AA674*(($AB$673/(1-$P$673))-48.752)/67.6728,2),IF('Resumen 2.0TD'!$D$3="OPTIMIZAR",ROUND(MAX(AA674,MIN(AA674*(($AB$673/(1-'Resumen 2.0TD'!$F$3))-48.752)/67.6728,AA674*(210.2358)/67.6728)),3),AA674))</f>
        <v>69.512</v>
      </c>
      <c r="C674" s="103"/>
      <c r="D674" s="92">
        <v>0.110306</v>
      </c>
      <c r="E674" s="93">
        <v>0.14937</v>
      </c>
      <c r="F674" s="94">
        <f t="shared" si="115"/>
        <v>10.38</v>
      </c>
      <c r="H674" s="95">
        <v>157.578</v>
      </c>
      <c r="I674" s="96">
        <v>0.14937</v>
      </c>
      <c r="J674" s="97">
        <f t="shared" si="116"/>
        <v>23.54</v>
      </c>
      <c r="L674" s="98">
        <v>42.247</v>
      </c>
      <c r="M674" s="99">
        <v>0.14937</v>
      </c>
      <c r="N674" s="100">
        <f t="shared" si="117"/>
        <v>6.31</v>
      </c>
      <c r="O674" s="105" t="s">
        <v>618</v>
      </c>
      <c r="R674" s="102" t="s">
        <v>619</v>
      </c>
      <c r="AA674">
        <v>59.331000000000003</v>
      </c>
    </row>
    <row r="675" spans="1:30" x14ac:dyDescent="0.2">
      <c r="A675" s="89" t="s">
        <v>620</v>
      </c>
      <c r="B675" s="90">
        <f>IF($P$673&lt;&gt;"",ROUND(AA675*(($AB$673/(1-$P$673))-48.752)/67.6728,2),IF('Resumen 2.0TD'!$D$3="OPTIMIZAR",ROUND(MAX(AA675,MIN(AA675*(($AB$673/(1-'Resumen 2.0TD'!$F$3))-48.752)/67.6728,AA675*(210.2358)/67.6728)),3),AA675))</f>
        <v>362.91300000000001</v>
      </c>
      <c r="C675" s="103"/>
      <c r="D675" s="92">
        <v>0.110306</v>
      </c>
      <c r="E675" s="93">
        <v>0.14937</v>
      </c>
      <c r="F675" s="94">
        <f t="shared" si="115"/>
        <v>54.21</v>
      </c>
      <c r="H675" s="95">
        <v>535.00699999999995</v>
      </c>
      <c r="I675" s="96">
        <v>0.14937</v>
      </c>
      <c r="J675" s="97">
        <f t="shared" si="116"/>
        <v>79.91</v>
      </c>
      <c r="L675" s="98">
        <v>146.01400000000001</v>
      </c>
      <c r="M675" s="99">
        <v>0.14937</v>
      </c>
      <c r="N675" s="100">
        <f t="shared" si="117"/>
        <v>21.81</v>
      </c>
      <c r="O675" s="105" t="s">
        <v>621</v>
      </c>
      <c r="AA675">
        <v>309.75700000000001</v>
      </c>
    </row>
    <row r="676" spans="1:30" x14ac:dyDescent="0.2">
      <c r="A676" s="89" t="s">
        <v>139</v>
      </c>
      <c r="B676" s="90">
        <v>1</v>
      </c>
      <c r="C676" s="91">
        <f>$N$668-$L$668+1</f>
        <v>30</v>
      </c>
      <c r="D676" s="92">
        <v>0.79890000000000005</v>
      </c>
      <c r="E676" s="93">
        <v>4</v>
      </c>
      <c r="F676" s="94">
        <f t="shared" si="115"/>
        <v>4</v>
      </c>
      <c r="H676" s="95">
        <v>1</v>
      </c>
      <c r="I676" s="96">
        <v>4</v>
      </c>
      <c r="J676" s="97">
        <f t="shared" si="116"/>
        <v>4</v>
      </c>
      <c r="L676" s="98">
        <v>1</v>
      </c>
      <c r="M676" s="99">
        <v>4</v>
      </c>
      <c r="N676" s="100">
        <f t="shared" si="117"/>
        <v>4</v>
      </c>
    </row>
    <row r="677" spans="1:30" x14ac:dyDescent="0.2">
      <c r="A677" s="89" t="s">
        <v>140</v>
      </c>
      <c r="B677" s="90">
        <v>30</v>
      </c>
      <c r="C677" s="91">
        <f>$N$668-$L$668+1</f>
        <v>30</v>
      </c>
      <c r="D677" s="92">
        <v>0.5736</v>
      </c>
      <c r="E677" s="93">
        <v>1.274E-2</v>
      </c>
      <c r="F677" s="94">
        <f t="shared" si="115"/>
        <v>0.38</v>
      </c>
      <c r="H677" s="95">
        <v>30</v>
      </c>
      <c r="I677" s="96">
        <v>1.274E-2</v>
      </c>
      <c r="J677" s="97">
        <f t="shared" si="116"/>
        <v>0.38</v>
      </c>
      <c r="L677" s="98">
        <v>30</v>
      </c>
      <c r="M677" s="99">
        <v>6.2899999999999996E-3</v>
      </c>
      <c r="N677" s="100">
        <f t="shared" si="117"/>
        <v>0.19</v>
      </c>
    </row>
    <row r="678" spans="1:30" x14ac:dyDescent="0.2">
      <c r="A678" s="89" t="s">
        <v>141</v>
      </c>
      <c r="B678" s="90">
        <v>4.1399999999999997</v>
      </c>
      <c r="C678" s="103"/>
      <c r="D678" s="92">
        <v>0.24729000000000001</v>
      </c>
      <c r="E678" s="93">
        <v>1</v>
      </c>
      <c r="F678" s="94">
        <f t="shared" si="115"/>
        <v>4.1399999999999997</v>
      </c>
      <c r="H678" s="95">
        <v>8.44</v>
      </c>
      <c r="I678" s="96">
        <v>1</v>
      </c>
      <c r="J678" s="97">
        <f t="shared" si="116"/>
        <v>8.44</v>
      </c>
      <c r="L678" s="98">
        <v>2.78</v>
      </c>
      <c r="M678" s="99">
        <v>1</v>
      </c>
      <c r="N678" s="100">
        <f t="shared" si="117"/>
        <v>2.78</v>
      </c>
    </row>
    <row r="679" spans="1:30" x14ac:dyDescent="0.2">
      <c r="A679" s="106" t="s">
        <v>142</v>
      </c>
      <c r="F679" s="107">
        <f>ROUND((SUM(F671:F678)-F678)*1.1+F678,2)</f>
        <v>149.80000000000001</v>
      </c>
      <c r="J679" s="108">
        <f>ROUND(SUM(J671:J678),2)</f>
        <v>196.73</v>
      </c>
      <c r="N679" s="109">
        <f>ROUND(SUM(N671:N678),2)</f>
        <v>91.58</v>
      </c>
    </row>
    <row r="680" spans="1:30" x14ac:dyDescent="0.2">
      <c r="A680" s="78" t="s">
        <v>143</v>
      </c>
      <c r="B680" s="110">
        <f>IF((F675+F674+F673+F671+F672)=0,"",((F675+F674+F673+F671+F672)-$AB$673)/(F675+F674+F673+F671+F672))</f>
        <v>0.30001227093095895</v>
      </c>
      <c r="D680" s="139" t="str">
        <f>IF(B680="","SIN PC",IF(B680&gt;=0.3,"APROBAR",IF(B680&gt;=0.2,"REVISAR","RECHAZAR")))</f>
        <v>APROBAR</v>
      </c>
      <c r="E680" s="139"/>
      <c r="F680" s="139"/>
      <c r="AD680">
        <f>SUM(F673:F675)-67.6728</f>
        <v>11.607200000000006</v>
      </c>
    </row>
    <row r="681" spans="1:30" x14ac:dyDescent="0.2">
      <c r="A681" s="140" t="s">
        <v>743</v>
      </c>
      <c r="B681" s="140"/>
      <c r="C681" s="140"/>
      <c r="D681" s="140"/>
      <c r="E681" s="140"/>
      <c r="F681" s="140"/>
    </row>
    <row r="682" spans="1:30" x14ac:dyDescent="0.2">
      <c r="A682" s="111" t="s">
        <v>111</v>
      </c>
      <c r="B682" s="111" t="s">
        <v>744</v>
      </c>
      <c r="D682" s="111" t="s">
        <v>745</v>
      </c>
      <c r="E682" s="111" t="s">
        <v>746</v>
      </c>
      <c r="F682" s="111" t="s">
        <v>120</v>
      </c>
    </row>
    <row r="683" spans="1:30" x14ac:dyDescent="0.2">
      <c r="A683" s="112" t="s">
        <v>747</v>
      </c>
      <c r="B683" s="113">
        <v>708</v>
      </c>
      <c r="C683" s="114"/>
      <c r="D683" s="92">
        <v>0.06</v>
      </c>
      <c r="E683" s="114"/>
      <c r="F683" s="115">
        <f>ROUND(B683*D683,2)</f>
        <v>42.48</v>
      </c>
    </row>
    <row r="684" spans="1:30" x14ac:dyDescent="0.2">
      <c r="A684" s="112" t="s">
        <v>748</v>
      </c>
      <c r="B684" s="114"/>
      <c r="C684" s="114"/>
      <c r="D684" s="114"/>
      <c r="E684" s="116">
        <v>0.06</v>
      </c>
      <c r="F684" s="115">
        <v>17.84</v>
      </c>
    </row>
    <row r="685" spans="1:30" x14ac:dyDescent="0.2">
      <c r="A685" s="117" t="s">
        <v>749</v>
      </c>
      <c r="B685" s="114"/>
      <c r="C685" s="114"/>
      <c r="D685" s="114"/>
      <c r="E685" s="114"/>
      <c r="F685" s="118">
        <f>F683-F684</f>
        <v>24.639999999999997</v>
      </c>
    </row>
    <row r="687" spans="1:30" x14ac:dyDescent="0.2">
      <c r="A687" s="137" t="s">
        <v>963</v>
      </c>
      <c r="B687" s="137"/>
      <c r="C687" s="137"/>
      <c r="D687" s="137"/>
      <c r="E687" s="137"/>
      <c r="F687" s="137"/>
      <c r="H687" s="137" t="s">
        <v>800</v>
      </c>
      <c r="I687" s="137"/>
      <c r="J687" s="137"/>
      <c r="K687" s="137"/>
      <c r="L687" s="76">
        <v>46113</v>
      </c>
      <c r="M687" s="77" t="s">
        <v>607</v>
      </c>
      <c r="N687" s="76">
        <v>46142</v>
      </c>
      <c r="R687" s="138" t="s">
        <v>110</v>
      </c>
      <c r="S687" s="138"/>
      <c r="T687" s="138"/>
      <c r="U687" s="138"/>
      <c r="V687" s="138"/>
    </row>
    <row r="688" spans="1:30" x14ac:dyDescent="0.2">
      <c r="A688" s="78" t="s">
        <v>111</v>
      </c>
      <c r="B688" s="79" t="s">
        <v>112</v>
      </c>
      <c r="C688" s="80"/>
      <c r="D688" s="80"/>
      <c r="E688" s="80"/>
      <c r="F688" s="80"/>
      <c r="H688" s="81" t="s">
        <v>801</v>
      </c>
      <c r="I688" s="82"/>
      <c r="J688" s="82"/>
      <c r="L688" s="83" t="s">
        <v>802</v>
      </c>
      <c r="M688" s="84"/>
      <c r="N688" s="84"/>
      <c r="R688" s="85" t="s">
        <v>803</v>
      </c>
    </row>
    <row r="689" spans="1:30" x14ac:dyDescent="0.2">
      <c r="B689" s="68" t="s">
        <v>116</v>
      </c>
      <c r="C689" s="68" t="s">
        <v>117</v>
      </c>
      <c r="D689" s="68" t="s">
        <v>118</v>
      </c>
      <c r="E689" s="68" t="s">
        <v>119</v>
      </c>
      <c r="F689" s="68" t="s">
        <v>120</v>
      </c>
      <c r="H689" s="86" t="s">
        <v>116</v>
      </c>
      <c r="I689" s="86" t="s">
        <v>119</v>
      </c>
      <c r="J689" s="86" t="s">
        <v>120</v>
      </c>
      <c r="L689" s="87" t="s">
        <v>116</v>
      </c>
      <c r="M689" s="87" t="s">
        <v>119</v>
      </c>
      <c r="N689" s="87" t="s">
        <v>120</v>
      </c>
      <c r="R689" s="88" t="s">
        <v>804</v>
      </c>
    </row>
    <row r="690" spans="1:30" x14ac:dyDescent="0.2">
      <c r="A690" s="89" t="s">
        <v>122</v>
      </c>
      <c r="B690" s="90">
        <v>9.1999999999999993</v>
      </c>
      <c r="C690" s="91">
        <f>$N$687-$L$687+1</f>
        <v>30</v>
      </c>
      <c r="D690" s="92">
        <v>3.4085999999999999</v>
      </c>
      <c r="E690" s="93">
        <v>3.85</v>
      </c>
      <c r="F690" s="94">
        <f t="shared" ref="F690:F697" si="118">ROUND(B690*E690,2)</f>
        <v>35.42</v>
      </c>
      <c r="H690" s="95">
        <v>9.1999999999999993</v>
      </c>
      <c r="I690" s="96">
        <v>3.85</v>
      </c>
      <c r="J690" s="97">
        <f t="shared" ref="J690:J697" si="119">ROUND(H690*I690,2)</f>
        <v>35.42</v>
      </c>
      <c r="L690" s="98">
        <v>9.1999999999999993</v>
      </c>
      <c r="M690" s="99">
        <v>3.85</v>
      </c>
      <c r="N690" s="100">
        <f t="shared" ref="N690:N697" si="120">ROUND(L690*M690,2)</f>
        <v>35.42</v>
      </c>
      <c r="R690" s="101" t="s">
        <v>805</v>
      </c>
    </row>
    <row r="691" spans="1:30" x14ac:dyDescent="0.2">
      <c r="A691" s="89" t="s">
        <v>124</v>
      </c>
      <c r="B691" s="90">
        <v>9.1999999999999993</v>
      </c>
      <c r="C691" s="91">
        <f>$N$687-$L$687+1</f>
        <v>30</v>
      </c>
      <c r="D691" s="92">
        <v>1.09728</v>
      </c>
      <c r="E691" s="93">
        <v>1.33</v>
      </c>
      <c r="F691" s="94">
        <f t="shared" si="118"/>
        <v>12.24</v>
      </c>
      <c r="H691" s="95">
        <v>9.1999999999999993</v>
      </c>
      <c r="I691" s="96">
        <v>1.33</v>
      </c>
      <c r="J691" s="97">
        <f t="shared" si="119"/>
        <v>12.24</v>
      </c>
      <c r="L691" s="98">
        <v>9.1999999999999993</v>
      </c>
      <c r="M691" s="99">
        <v>1.33</v>
      </c>
      <c r="N691" s="100">
        <f t="shared" si="120"/>
        <v>12.24</v>
      </c>
      <c r="R691" s="102" t="s">
        <v>806</v>
      </c>
    </row>
    <row r="692" spans="1:30" x14ac:dyDescent="0.2">
      <c r="A692" s="89" t="s">
        <v>614</v>
      </c>
      <c r="B692" s="90">
        <f>IF($P$692&lt;&gt;"",ROUND(AA692*(($AB$692/(1-$P$692))-47.656)/14.8091,2),IF('Resumen 2.0TD'!$D$3="OPTIMIZAR",ROUND(MAX(AA692,MIN(AA692*(($AB$692/(1-'Resumen 2.0TD'!$F$3))-47.656)/14.8091,AA692*(74.9318)/14.8091)),3),AA692))</f>
        <v>37.213000000000001</v>
      </c>
      <c r="C692" s="103"/>
      <c r="D692" s="92">
        <v>0.110306</v>
      </c>
      <c r="E692" s="93">
        <v>0.13788</v>
      </c>
      <c r="F692" s="94">
        <f t="shared" si="118"/>
        <v>5.13</v>
      </c>
      <c r="H692" s="95">
        <v>109.227</v>
      </c>
      <c r="I692" s="96">
        <v>0.13788</v>
      </c>
      <c r="J692" s="97">
        <f t="shared" si="119"/>
        <v>15.06</v>
      </c>
      <c r="L692" s="98">
        <v>24.777999999999999</v>
      </c>
      <c r="M692" s="99">
        <v>0.13788</v>
      </c>
      <c r="N692" s="100">
        <f t="shared" si="120"/>
        <v>3.42</v>
      </c>
      <c r="O692" s="104" t="s">
        <v>615</v>
      </c>
      <c r="P692" s="67"/>
      <c r="R692" s="102" t="s">
        <v>807</v>
      </c>
      <c r="AA692">
        <v>19.344000000000001</v>
      </c>
      <c r="AB692">
        <f>B690*D690+B691*D691+AA692*D692+AA693*D693+AA694*D694</f>
        <v>53.301622235999986</v>
      </c>
    </row>
    <row r="693" spans="1:30" x14ac:dyDescent="0.2">
      <c r="A693" s="89" t="s">
        <v>617</v>
      </c>
      <c r="B693" s="90">
        <f>IF($P$692&lt;&gt;"",ROUND(AA693*(($AB$692/(1-$P$692))-47.656)/14.8091,2),IF('Resumen 2.0TD'!$D$3="OPTIMIZAR",ROUND(MAX(AA693,MIN(AA693*(($AB$692/(1-'Resumen 2.0TD'!$F$3))-47.656)/14.8091,AA693*(74.9318)/14.8091)),3),AA693))</f>
        <v>28.838999999999999</v>
      </c>
      <c r="C693" s="103"/>
      <c r="D693" s="92">
        <v>0.110306</v>
      </c>
      <c r="E693" s="93">
        <v>0.13788</v>
      </c>
      <c r="F693" s="94">
        <f t="shared" si="118"/>
        <v>3.98</v>
      </c>
      <c r="H693" s="95">
        <v>81.879000000000005</v>
      </c>
      <c r="I693" s="96">
        <v>0.13788</v>
      </c>
      <c r="J693" s="97">
        <f t="shared" si="119"/>
        <v>11.29</v>
      </c>
      <c r="L693" s="98">
        <v>21.157</v>
      </c>
      <c r="M693" s="99">
        <v>0.13788</v>
      </c>
      <c r="N693" s="100">
        <f t="shared" si="120"/>
        <v>2.92</v>
      </c>
      <c r="O693" s="105" t="s">
        <v>618</v>
      </c>
      <c r="R693" s="102" t="s">
        <v>619</v>
      </c>
      <c r="AA693">
        <v>14.991</v>
      </c>
    </row>
    <row r="694" spans="1:30" x14ac:dyDescent="0.2">
      <c r="A694" s="89" t="s">
        <v>620</v>
      </c>
      <c r="B694" s="90">
        <f>IF($P$692&lt;&gt;"",ROUND(AA694*(($AB$692/(1-$P$692))-47.656)/14.8091,2),IF('Resumen 2.0TD'!$D$3="OPTIMIZAR",ROUND(MAX(AA694,MIN(AA694*(($AB$692/(1-'Resumen 2.0TD'!$F$3))-47.656)/14.8091,AA694*(74.9318)/14.8091)),3),AA694))</f>
        <v>140.571</v>
      </c>
      <c r="C694" s="103"/>
      <c r="D694" s="92">
        <v>0.110306</v>
      </c>
      <c r="E694" s="93">
        <v>0.13788</v>
      </c>
      <c r="F694" s="94">
        <f t="shared" si="118"/>
        <v>19.38</v>
      </c>
      <c r="H694" s="95">
        <v>173.798</v>
      </c>
      <c r="I694" s="96">
        <v>0.13788</v>
      </c>
      <c r="J694" s="97">
        <f t="shared" si="119"/>
        <v>23.96</v>
      </c>
      <c r="L694" s="98">
        <v>77.584000000000003</v>
      </c>
      <c r="M694" s="99">
        <v>0.13788</v>
      </c>
      <c r="N694" s="100">
        <f t="shared" si="120"/>
        <v>10.7</v>
      </c>
      <c r="O694" s="105" t="s">
        <v>621</v>
      </c>
      <c r="AA694">
        <v>73.070999999999998</v>
      </c>
    </row>
    <row r="695" spans="1:30" x14ac:dyDescent="0.2">
      <c r="A695" s="89" t="s">
        <v>139</v>
      </c>
      <c r="B695" s="90">
        <v>1</v>
      </c>
      <c r="C695" s="91">
        <f>$N$687-$L$687+1</f>
        <v>30</v>
      </c>
      <c r="D695" s="92">
        <v>0.79890000000000005</v>
      </c>
      <c r="E695" s="93">
        <v>3</v>
      </c>
      <c r="F695" s="94">
        <f t="shared" si="118"/>
        <v>3</v>
      </c>
      <c r="H695" s="95">
        <v>1</v>
      </c>
      <c r="I695" s="96">
        <v>3</v>
      </c>
      <c r="J695" s="97">
        <f t="shared" si="119"/>
        <v>3</v>
      </c>
      <c r="L695" s="98">
        <v>1</v>
      </c>
      <c r="M695" s="99">
        <v>3</v>
      </c>
      <c r="N695" s="100">
        <f t="shared" si="120"/>
        <v>3</v>
      </c>
    </row>
    <row r="696" spans="1:30" x14ac:dyDescent="0.2">
      <c r="A696" s="89" t="s">
        <v>140</v>
      </c>
      <c r="B696" s="90">
        <v>30</v>
      </c>
      <c r="C696" s="91">
        <f>$N$687-$L$687+1</f>
        <v>30</v>
      </c>
      <c r="D696" s="92">
        <v>0.5736</v>
      </c>
      <c r="E696" s="93">
        <v>1.274E-2</v>
      </c>
      <c r="F696" s="94">
        <f t="shared" si="118"/>
        <v>0.38</v>
      </c>
      <c r="H696" s="95">
        <v>30</v>
      </c>
      <c r="I696" s="96">
        <v>1.274E-2</v>
      </c>
      <c r="J696" s="97">
        <f t="shared" si="119"/>
        <v>0.38</v>
      </c>
      <c r="L696" s="98">
        <v>30</v>
      </c>
      <c r="M696" s="99">
        <v>6.2899999999999996E-3</v>
      </c>
      <c r="N696" s="100">
        <f t="shared" si="120"/>
        <v>0.19</v>
      </c>
    </row>
    <row r="697" spans="1:30" x14ac:dyDescent="0.2">
      <c r="A697" s="89" t="s">
        <v>141</v>
      </c>
      <c r="B697" s="90">
        <v>2.4500000000000002</v>
      </c>
      <c r="C697" s="103"/>
      <c r="D697" s="92">
        <v>0.24729000000000001</v>
      </c>
      <c r="E697" s="93">
        <v>1</v>
      </c>
      <c r="F697" s="94">
        <f t="shared" si="118"/>
        <v>2.4500000000000002</v>
      </c>
      <c r="H697" s="95">
        <v>4.04</v>
      </c>
      <c r="I697" s="96">
        <v>1</v>
      </c>
      <c r="J697" s="97">
        <f t="shared" si="119"/>
        <v>4.04</v>
      </c>
      <c r="L697" s="98">
        <v>2.4500000000000002</v>
      </c>
      <c r="M697" s="99">
        <v>1</v>
      </c>
      <c r="N697" s="100">
        <f t="shared" si="120"/>
        <v>2.4500000000000002</v>
      </c>
    </row>
    <row r="698" spans="1:30" x14ac:dyDescent="0.2">
      <c r="A698" s="106" t="s">
        <v>142</v>
      </c>
      <c r="F698" s="107">
        <f>ROUND((SUM(F690:F697)-F697)*1.1+F697,2)</f>
        <v>89.93</v>
      </c>
      <c r="J698" s="108">
        <f>ROUND(SUM(J690:J697),2)</f>
        <v>105.39</v>
      </c>
      <c r="N698" s="109">
        <f>ROUND(SUM(N690:N697),2)</f>
        <v>70.34</v>
      </c>
    </row>
    <row r="699" spans="1:30" x14ac:dyDescent="0.2">
      <c r="A699" s="78" t="s">
        <v>143</v>
      </c>
      <c r="B699" s="110">
        <f>IF((F694+F693+F692+F690+F691)=0,"",((F694+F693+F692+F690+F691)-$AB$692)/(F694+F693+F692+F690+F691))</f>
        <v>0.30004435671700602</v>
      </c>
      <c r="D699" s="139" t="str">
        <f>IF(B699="","SIN PC",IF(B699&gt;=0.3,"APROBAR",IF(B699&gt;=0.2,"REVISAR","RECHAZAR")))</f>
        <v>APROBAR</v>
      </c>
      <c r="E699" s="139"/>
      <c r="F699" s="139"/>
      <c r="AD699">
        <f>SUM(F692:F694)-14.8091</f>
        <v>13.680899999999998</v>
      </c>
    </row>
    <row r="700" spans="1:30" x14ac:dyDescent="0.2">
      <c r="A700" s="140" t="s">
        <v>743</v>
      </c>
      <c r="B700" s="140"/>
      <c r="C700" s="140"/>
      <c r="D700" s="140"/>
      <c r="E700" s="140"/>
      <c r="F700" s="140"/>
    </row>
    <row r="701" spans="1:30" x14ac:dyDescent="0.2">
      <c r="A701" s="111" t="s">
        <v>111</v>
      </c>
      <c r="B701" s="111" t="s">
        <v>744</v>
      </c>
      <c r="D701" s="111" t="s">
        <v>745</v>
      </c>
      <c r="E701" s="111" t="s">
        <v>746</v>
      </c>
      <c r="F701" s="111" t="s">
        <v>120</v>
      </c>
    </row>
    <row r="702" spans="1:30" x14ac:dyDescent="0.2">
      <c r="A702" s="112" t="s">
        <v>747</v>
      </c>
      <c r="B702" s="113">
        <v>554</v>
      </c>
      <c r="C702" s="114"/>
      <c r="D702" s="92">
        <v>0.06</v>
      </c>
      <c r="E702" s="114"/>
      <c r="F702" s="115">
        <f>ROUND(B702*D702,2)</f>
        <v>33.24</v>
      </c>
    </row>
    <row r="703" spans="1:30" x14ac:dyDescent="0.2">
      <c r="A703" s="112" t="s">
        <v>748</v>
      </c>
      <c r="B703" s="114"/>
      <c r="C703" s="114"/>
      <c r="D703" s="114"/>
      <c r="E703" s="116">
        <v>0.06</v>
      </c>
      <c r="F703" s="115">
        <v>14.82</v>
      </c>
    </row>
    <row r="704" spans="1:30" x14ac:dyDescent="0.2">
      <c r="A704" s="117" t="s">
        <v>749</v>
      </c>
      <c r="B704" s="114"/>
      <c r="C704" s="114"/>
      <c r="D704" s="114"/>
      <c r="E704" s="114"/>
      <c r="F704" s="118">
        <f>F702-F703</f>
        <v>18.420000000000002</v>
      </c>
    </row>
    <row r="706" spans="1:30" x14ac:dyDescent="0.2">
      <c r="A706" s="137" t="s">
        <v>964</v>
      </c>
      <c r="B706" s="137"/>
      <c r="C706" s="137"/>
      <c r="D706" s="137"/>
      <c r="E706" s="137"/>
      <c r="F706" s="137"/>
      <c r="H706" s="137" t="s">
        <v>965</v>
      </c>
      <c r="I706" s="137"/>
      <c r="J706" s="137"/>
      <c r="K706" s="137"/>
      <c r="L706" s="76">
        <v>46113</v>
      </c>
      <c r="M706" s="77" t="s">
        <v>607</v>
      </c>
      <c r="N706" s="76">
        <v>46142</v>
      </c>
      <c r="R706" s="138" t="s">
        <v>110</v>
      </c>
      <c r="S706" s="138"/>
      <c r="T706" s="138"/>
      <c r="U706" s="138"/>
      <c r="V706" s="138"/>
    </row>
    <row r="707" spans="1:30" x14ac:dyDescent="0.2">
      <c r="A707" s="78" t="s">
        <v>111</v>
      </c>
      <c r="B707" s="79" t="s">
        <v>112</v>
      </c>
      <c r="C707" s="80"/>
      <c r="D707" s="80"/>
      <c r="E707" s="80"/>
      <c r="F707" s="80"/>
      <c r="H707" s="81" t="s">
        <v>966</v>
      </c>
      <c r="I707" s="82"/>
      <c r="J707" s="82"/>
      <c r="L707" s="83" t="s">
        <v>967</v>
      </c>
      <c r="M707" s="84"/>
      <c r="N707" s="84"/>
      <c r="R707" s="85" t="s">
        <v>968</v>
      </c>
    </row>
    <row r="708" spans="1:30" x14ac:dyDescent="0.2">
      <c r="B708" s="68" t="s">
        <v>116</v>
      </c>
      <c r="C708" s="68" t="s">
        <v>117</v>
      </c>
      <c r="D708" s="68" t="s">
        <v>118</v>
      </c>
      <c r="E708" s="68" t="s">
        <v>119</v>
      </c>
      <c r="F708" s="68" t="s">
        <v>120</v>
      </c>
      <c r="H708" s="86" t="s">
        <v>116</v>
      </c>
      <c r="I708" s="86" t="s">
        <v>119</v>
      </c>
      <c r="J708" s="86" t="s">
        <v>120</v>
      </c>
      <c r="L708" s="87" t="s">
        <v>116</v>
      </c>
      <c r="M708" s="87" t="s">
        <v>119</v>
      </c>
      <c r="N708" s="87" t="s">
        <v>120</v>
      </c>
      <c r="R708" s="88" t="s">
        <v>969</v>
      </c>
    </row>
    <row r="709" spans="1:30" x14ac:dyDescent="0.2">
      <c r="A709" s="89" t="s">
        <v>122</v>
      </c>
      <c r="B709" s="90">
        <v>9.1999999999999993</v>
      </c>
      <c r="C709" s="91">
        <f>$N$706-$L$706+1</f>
        <v>30</v>
      </c>
      <c r="D709" s="92">
        <v>3.4085999999999999</v>
      </c>
      <c r="E709" s="93">
        <v>3.85</v>
      </c>
      <c r="F709" s="94">
        <f t="shared" ref="F709:F716" si="121">ROUND(B709*E709,2)</f>
        <v>35.42</v>
      </c>
      <c r="H709" s="95">
        <v>9.1999999999999993</v>
      </c>
      <c r="I709" s="96">
        <v>3.85</v>
      </c>
      <c r="J709" s="97">
        <f t="shared" ref="J709:J716" si="122">ROUND(H709*I709,2)</f>
        <v>35.42</v>
      </c>
      <c r="L709" s="98">
        <v>9.1999999999999993</v>
      </c>
      <c r="M709" s="99">
        <v>3.85</v>
      </c>
      <c r="N709" s="100">
        <f t="shared" ref="N709:N716" si="123">ROUND(L709*M709,2)</f>
        <v>35.42</v>
      </c>
      <c r="R709" s="101" t="s">
        <v>970</v>
      </c>
    </row>
    <row r="710" spans="1:30" x14ac:dyDescent="0.2">
      <c r="A710" s="89" t="s">
        <v>124</v>
      </c>
      <c r="B710" s="90">
        <v>9.1999999999999993</v>
      </c>
      <c r="C710" s="91">
        <f>$N$706-$L$706+1</f>
        <v>30</v>
      </c>
      <c r="D710" s="92">
        <v>1.09728</v>
      </c>
      <c r="E710" s="93">
        <v>1.33</v>
      </c>
      <c r="F710" s="94">
        <f t="shared" si="121"/>
        <v>12.24</v>
      </c>
      <c r="H710" s="95">
        <v>9.1999999999999993</v>
      </c>
      <c r="I710" s="96">
        <v>1.33</v>
      </c>
      <c r="J710" s="97">
        <f t="shared" si="122"/>
        <v>12.24</v>
      </c>
      <c r="L710" s="98">
        <v>9.1999999999999993</v>
      </c>
      <c r="M710" s="99">
        <v>1.33</v>
      </c>
      <c r="N710" s="100">
        <f t="shared" si="123"/>
        <v>12.24</v>
      </c>
      <c r="R710" s="102" t="s">
        <v>971</v>
      </c>
    </row>
    <row r="711" spans="1:30" x14ac:dyDescent="0.2">
      <c r="A711" s="89" t="s">
        <v>614</v>
      </c>
      <c r="B711" s="90">
        <f>IF($P$711&lt;&gt;"",ROUND(AA711*(($AB$711/(1-$P$711))-47.656)/97.1007,2),IF('Resumen 2.0TD'!$D$3="OPTIMIZAR",ROUND(MAX(AA711,MIN(AA711*(($AB$711/(1-'Resumen 2.0TD'!$F$3))-47.656)/97.1007,AA711*(359.1218)/97.1007)),3),AA711))</f>
        <v>121.24299999999999</v>
      </c>
      <c r="C711" s="103"/>
      <c r="D711" s="92">
        <v>0.110306</v>
      </c>
      <c r="E711" s="93">
        <v>0.13788</v>
      </c>
      <c r="F711" s="94">
        <f t="shared" si="121"/>
        <v>16.72</v>
      </c>
      <c r="H711" s="95">
        <v>389.07</v>
      </c>
      <c r="I711" s="96">
        <v>0.13788</v>
      </c>
      <c r="J711" s="97">
        <f t="shared" si="122"/>
        <v>53.64</v>
      </c>
      <c r="L711" s="98">
        <v>128.75200000000001</v>
      </c>
      <c r="M711" s="99">
        <v>0.13788</v>
      </c>
      <c r="N711" s="100">
        <f t="shared" si="123"/>
        <v>17.75</v>
      </c>
      <c r="O711" s="104" t="s">
        <v>615</v>
      </c>
      <c r="P711" s="67"/>
      <c r="R711" s="102" t="s">
        <v>972</v>
      </c>
      <c r="AA711">
        <v>96.073999999999998</v>
      </c>
      <c r="AB711">
        <f>B709*D709+B710*D710+AA711*D711+AA712*D712+AA713*D713</f>
        <v>119.136103746</v>
      </c>
    </row>
    <row r="712" spans="1:30" x14ac:dyDescent="0.2">
      <c r="A712" s="89" t="s">
        <v>617</v>
      </c>
      <c r="B712" s="90">
        <f>IF($P$711&lt;&gt;"",ROUND(AA712*(($AB$711/(1-$P$711))-47.656)/97.1007,2),IF('Resumen 2.0TD'!$D$3="OPTIMIZAR",ROUND(MAX(AA712,MIN(AA712*(($AB$711/(1-'Resumen 2.0TD'!$F$3))-47.656)/97.1007,AA712*(359.1218)/97.1007)),3),AA712))</f>
        <v>162.18700000000001</v>
      </c>
      <c r="C712" s="103"/>
      <c r="D712" s="92">
        <v>0.110306</v>
      </c>
      <c r="E712" s="93">
        <v>0.13788</v>
      </c>
      <c r="F712" s="94">
        <f t="shared" si="121"/>
        <v>22.36</v>
      </c>
      <c r="H712" s="95">
        <v>395.08499999999998</v>
      </c>
      <c r="I712" s="96">
        <v>0.13788</v>
      </c>
      <c r="J712" s="97">
        <f t="shared" si="122"/>
        <v>54.47</v>
      </c>
      <c r="L712" s="98">
        <v>176.76499999999999</v>
      </c>
      <c r="M712" s="99">
        <v>0.13788</v>
      </c>
      <c r="N712" s="100">
        <f t="shared" si="123"/>
        <v>24.37</v>
      </c>
      <c r="O712" s="105" t="s">
        <v>618</v>
      </c>
      <c r="R712" s="102" t="s">
        <v>619</v>
      </c>
      <c r="AA712">
        <v>128.51900000000001</v>
      </c>
    </row>
    <row r="713" spans="1:30" x14ac:dyDescent="0.2">
      <c r="A713" s="89" t="s">
        <v>620</v>
      </c>
      <c r="B713" s="90">
        <f>IF($P$711&lt;&gt;"",ROUND(AA713*(($AB$711/(1-$P$711))-47.656)/97.1007,2),IF('Resumen 2.0TD'!$D$3="OPTIMIZAR",ROUND(MAX(AA713,MIN(AA713*(($AB$711/(1-'Resumen 2.0TD'!$F$3))-47.656)/97.1007,AA713*(359.1218)/97.1007)),3),AA713))</f>
        <v>605.303</v>
      </c>
      <c r="C713" s="103"/>
      <c r="D713" s="92">
        <v>0.110306</v>
      </c>
      <c r="E713" s="93">
        <v>0.13788</v>
      </c>
      <c r="F713" s="94">
        <f t="shared" si="121"/>
        <v>83.46</v>
      </c>
      <c r="H713" s="95">
        <v>1229.2</v>
      </c>
      <c r="I713" s="96">
        <v>0.13788</v>
      </c>
      <c r="J713" s="97">
        <f t="shared" si="122"/>
        <v>169.48</v>
      </c>
      <c r="L713" s="98">
        <v>615.25300000000004</v>
      </c>
      <c r="M713" s="99">
        <v>0.13788</v>
      </c>
      <c r="N713" s="100">
        <f t="shared" si="123"/>
        <v>84.83</v>
      </c>
      <c r="O713" s="105" t="s">
        <v>621</v>
      </c>
      <c r="AA713">
        <v>479.64800000000002</v>
      </c>
    </row>
    <row r="714" spans="1:30" x14ac:dyDescent="0.2">
      <c r="A714" s="89" t="s">
        <v>139</v>
      </c>
      <c r="B714" s="90">
        <v>1</v>
      </c>
      <c r="C714" s="91">
        <f>$N$706-$L$706+1</f>
        <v>30</v>
      </c>
      <c r="D714" s="92">
        <v>0.79890000000000005</v>
      </c>
      <c r="E714" s="93">
        <v>3</v>
      </c>
      <c r="F714" s="94">
        <f t="shared" si="121"/>
        <v>3</v>
      </c>
      <c r="H714" s="95">
        <v>1</v>
      </c>
      <c r="I714" s="96">
        <v>3</v>
      </c>
      <c r="J714" s="97">
        <f t="shared" si="122"/>
        <v>3</v>
      </c>
      <c r="L714" s="98">
        <v>1</v>
      </c>
      <c r="M714" s="99">
        <v>3</v>
      </c>
      <c r="N714" s="100">
        <f t="shared" si="123"/>
        <v>3</v>
      </c>
    </row>
    <row r="715" spans="1:30" x14ac:dyDescent="0.2">
      <c r="A715" s="89" t="s">
        <v>140</v>
      </c>
      <c r="B715" s="90">
        <v>30</v>
      </c>
      <c r="C715" s="91">
        <f>$N$706-$L$706+1</f>
        <v>30</v>
      </c>
      <c r="D715" s="92">
        <v>0.5736</v>
      </c>
      <c r="E715" s="93">
        <v>1.274E-2</v>
      </c>
      <c r="F715" s="94">
        <f t="shared" si="121"/>
        <v>0.38</v>
      </c>
      <c r="H715" s="95">
        <v>30</v>
      </c>
      <c r="I715" s="96">
        <v>1.274E-2</v>
      </c>
      <c r="J715" s="97">
        <f t="shared" si="122"/>
        <v>0.38</v>
      </c>
      <c r="L715" s="98">
        <v>30</v>
      </c>
      <c r="M715" s="99">
        <v>6.2899999999999996E-3</v>
      </c>
      <c r="N715" s="100">
        <f t="shared" si="123"/>
        <v>0.19</v>
      </c>
    </row>
    <row r="716" spans="1:30" x14ac:dyDescent="0.2">
      <c r="A716" s="89" t="s">
        <v>141</v>
      </c>
      <c r="B716" s="90">
        <v>6.36</v>
      </c>
      <c r="C716" s="103"/>
      <c r="D716" s="92">
        <v>0.24729000000000001</v>
      </c>
      <c r="E716" s="93">
        <v>1</v>
      </c>
      <c r="F716" s="94">
        <f t="shared" si="121"/>
        <v>6.36</v>
      </c>
      <c r="H716" s="95">
        <v>16.329999999999998</v>
      </c>
      <c r="I716" s="96">
        <v>1</v>
      </c>
      <c r="J716" s="97">
        <f t="shared" si="122"/>
        <v>16.329999999999998</v>
      </c>
      <c r="L716" s="98">
        <v>8.1</v>
      </c>
      <c r="M716" s="99">
        <v>1</v>
      </c>
      <c r="N716" s="100">
        <f t="shared" si="123"/>
        <v>8.1</v>
      </c>
    </row>
    <row r="717" spans="1:30" x14ac:dyDescent="0.2">
      <c r="A717" s="106" t="s">
        <v>142</v>
      </c>
      <c r="F717" s="107">
        <f>ROUND((SUM(F709:F716)-F716)*1.1+F716,2)</f>
        <v>197.3</v>
      </c>
      <c r="J717" s="108">
        <f>ROUND(SUM(J709:J716),2)</f>
        <v>344.96</v>
      </c>
      <c r="N717" s="109">
        <f>ROUND(SUM(N709:N716),2)</f>
        <v>185.9</v>
      </c>
    </row>
    <row r="718" spans="1:30" x14ac:dyDescent="0.2">
      <c r="A718" s="78" t="s">
        <v>143</v>
      </c>
      <c r="B718" s="110">
        <f>IF((F713+F712+F711+F709+F710)=0,"",((F713+F712+F711+F709+F710)-$AB$711)/(F713+F712+F711+F709+F710))</f>
        <v>0.30002289220916561</v>
      </c>
      <c r="D718" s="139" t="str">
        <f>IF(B718="","SIN PC",IF(B718&gt;=0.3,"APROBAR",IF(B718&gt;=0.2,"REVISAR","RECHAZAR")))</f>
        <v>APROBAR</v>
      </c>
      <c r="E718" s="139"/>
      <c r="F718" s="139"/>
      <c r="AD718">
        <f>SUM(F711:F713)-97.1007</f>
        <v>25.439299999999989</v>
      </c>
    </row>
    <row r="719" spans="1:30" x14ac:dyDescent="0.2">
      <c r="A719" s="140" t="s">
        <v>743</v>
      </c>
      <c r="B719" s="140"/>
      <c r="C719" s="140"/>
      <c r="D719" s="140"/>
      <c r="E719" s="140"/>
      <c r="F719" s="140"/>
    </row>
    <row r="720" spans="1:30" x14ac:dyDescent="0.2">
      <c r="A720" s="111" t="s">
        <v>111</v>
      </c>
      <c r="B720" s="111" t="s">
        <v>744</v>
      </c>
      <c r="D720" s="111" t="s">
        <v>745</v>
      </c>
      <c r="E720" s="111" t="s">
        <v>746</v>
      </c>
      <c r="F720" s="111" t="s">
        <v>120</v>
      </c>
    </row>
    <row r="721" spans="1:28" x14ac:dyDescent="0.2">
      <c r="A721" s="112" t="s">
        <v>747</v>
      </c>
      <c r="B721" s="113">
        <v>340</v>
      </c>
      <c r="C721" s="114"/>
      <c r="D721" s="92">
        <v>0.06</v>
      </c>
      <c r="E721" s="114"/>
      <c r="F721" s="115">
        <f>ROUND(B721*D721,2)</f>
        <v>20.399999999999999</v>
      </c>
    </row>
    <row r="722" spans="1:28" x14ac:dyDescent="0.2">
      <c r="A722" s="112" t="s">
        <v>748</v>
      </c>
      <c r="B722" s="114"/>
      <c r="C722" s="114"/>
      <c r="D722" s="114"/>
      <c r="E722" s="116">
        <v>0.06</v>
      </c>
      <c r="F722" s="115">
        <v>20.53</v>
      </c>
    </row>
    <row r="723" spans="1:28" x14ac:dyDescent="0.2">
      <c r="A723" s="117" t="s">
        <v>749</v>
      </c>
      <c r="B723" s="114"/>
      <c r="C723" s="114"/>
      <c r="D723" s="114"/>
      <c r="E723" s="114"/>
      <c r="F723" s="118">
        <f>F721-F722</f>
        <v>-0.13000000000000256</v>
      </c>
    </row>
    <row r="725" spans="1:28" x14ac:dyDescent="0.2">
      <c r="A725" s="137" t="s">
        <v>973</v>
      </c>
      <c r="B725" s="137"/>
      <c r="C725" s="137"/>
      <c r="D725" s="137"/>
      <c r="E725" s="137"/>
      <c r="F725" s="137"/>
      <c r="H725" s="137" t="s">
        <v>974</v>
      </c>
      <c r="I725" s="137"/>
      <c r="J725" s="137"/>
      <c r="K725" s="137"/>
      <c r="L725" s="76">
        <v>46113</v>
      </c>
      <c r="M725" s="77" t="s">
        <v>607</v>
      </c>
      <c r="N725" s="76">
        <v>46142</v>
      </c>
      <c r="R725" s="138" t="s">
        <v>110</v>
      </c>
      <c r="S725" s="138"/>
      <c r="T725" s="138"/>
      <c r="U725" s="138"/>
      <c r="V725" s="138"/>
    </row>
    <row r="726" spans="1:28" x14ac:dyDescent="0.2">
      <c r="A726" s="78" t="s">
        <v>111</v>
      </c>
      <c r="B726" s="79" t="s">
        <v>112</v>
      </c>
      <c r="C726" s="80"/>
      <c r="D726" s="80"/>
      <c r="E726" s="80"/>
      <c r="F726" s="80"/>
      <c r="H726" s="81" t="s">
        <v>975</v>
      </c>
      <c r="I726" s="82"/>
      <c r="J726" s="82"/>
      <c r="L726" s="83" t="s">
        <v>976</v>
      </c>
      <c r="M726" s="84"/>
      <c r="N726" s="84"/>
      <c r="R726" s="85" t="s">
        <v>977</v>
      </c>
    </row>
    <row r="727" spans="1:28" x14ac:dyDescent="0.2">
      <c r="B727" s="68" t="s">
        <v>116</v>
      </c>
      <c r="C727" s="68" t="s">
        <v>117</v>
      </c>
      <c r="D727" s="68" t="s">
        <v>118</v>
      </c>
      <c r="E727" s="68" t="s">
        <v>119</v>
      </c>
      <c r="F727" s="68" t="s">
        <v>120</v>
      </c>
      <c r="H727" s="86" t="s">
        <v>116</v>
      </c>
      <c r="I727" s="86" t="s">
        <v>119</v>
      </c>
      <c r="J727" s="86" t="s">
        <v>120</v>
      </c>
      <c r="L727" s="87" t="s">
        <v>116</v>
      </c>
      <c r="M727" s="87" t="s">
        <v>119</v>
      </c>
      <c r="N727" s="87" t="s">
        <v>120</v>
      </c>
      <c r="R727" s="88" t="s">
        <v>978</v>
      </c>
    </row>
    <row r="728" spans="1:28" x14ac:dyDescent="0.2">
      <c r="A728" s="89" t="s">
        <v>122</v>
      </c>
      <c r="B728" s="90">
        <v>13.856</v>
      </c>
      <c r="C728" s="91">
        <f>$N$725-$L$725+1</f>
        <v>30</v>
      </c>
      <c r="D728" s="92">
        <v>3.4085999999999999</v>
      </c>
      <c r="E728" s="93">
        <v>3.85</v>
      </c>
      <c r="F728" s="94">
        <f t="shared" ref="F728:F735" si="124">ROUND(B728*E728,2)</f>
        <v>53.35</v>
      </c>
      <c r="H728" s="95">
        <v>13.856</v>
      </c>
      <c r="I728" s="96">
        <v>3.85</v>
      </c>
      <c r="J728" s="97">
        <f t="shared" ref="J728:J735" si="125">ROUND(H728*I728,2)</f>
        <v>53.35</v>
      </c>
      <c r="L728" s="98">
        <v>13.856</v>
      </c>
      <c r="M728" s="99">
        <v>3.85</v>
      </c>
      <c r="N728" s="100">
        <f t="shared" ref="N728:N735" si="126">ROUND(L728*M728,2)</f>
        <v>53.35</v>
      </c>
      <c r="R728" s="101" t="s">
        <v>979</v>
      </c>
    </row>
    <row r="729" spans="1:28" x14ac:dyDescent="0.2">
      <c r="A729" s="89" t="s">
        <v>124</v>
      </c>
      <c r="B729" s="90">
        <v>13.856</v>
      </c>
      <c r="C729" s="91">
        <f>$N$725-$L$725+1</f>
        <v>30</v>
      </c>
      <c r="D729" s="92">
        <v>1.09728</v>
      </c>
      <c r="E729" s="93">
        <v>1.33</v>
      </c>
      <c r="F729" s="94">
        <f t="shared" si="124"/>
        <v>18.43</v>
      </c>
      <c r="H729" s="95">
        <v>13.856</v>
      </c>
      <c r="I729" s="96">
        <v>1.33</v>
      </c>
      <c r="J729" s="97">
        <f t="shared" si="125"/>
        <v>18.43</v>
      </c>
      <c r="L729" s="98">
        <v>13.856</v>
      </c>
      <c r="M729" s="99">
        <v>1.33</v>
      </c>
      <c r="N729" s="100">
        <f t="shared" si="126"/>
        <v>18.43</v>
      </c>
      <c r="R729" s="102" t="s">
        <v>980</v>
      </c>
    </row>
    <row r="730" spans="1:28" x14ac:dyDescent="0.2">
      <c r="A730" s="89" t="s">
        <v>614</v>
      </c>
      <c r="B730" s="90">
        <f>IF($P$730&lt;&gt;"",ROUND(AA730*(($AB$730/(1-$P$730))-71.7741)/17.1363,2),IF('Resumen 2.0TD'!$D$3="OPTIMIZAR",ROUND(MAX(AA730,MIN(AA730*(($AB$730/(1-'Resumen 2.0TD'!$F$3))-71.7741)/17.1363,AA730*(163.6137)/17.1363)),3),AA730))</f>
        <v>67.774000000000001</v>
      </c>
      <c r="C730" s="103"/>
      <c r="D730" s="92">
        <v>0.110306</v>
      </c>
      <c r="E730" s="93">
        <v>0.13788</v>
      </c>
      <c r="F730" s="94">
        <f t="shared" si="124"/>
        <v>9.34</v>
      </c>
      <c r="H730" s="95">
        <v>38.267000000000003</v>
      </c>
      <c r="I730" s="96">
        <v>0.13788</v>
      </c>
      <c r="J730" s="97">
        <f t="shared" si="125"/>
        <v>5.28</v>
      </c>
      <c r="L730" s="98">
        <v>27.425999999999998</v>
      </c>
      <c r="M730" s="99">
        <v>0.13788</v>
      </c>
      <c r="N730" s="100">
        <f t="shared" si="126"/>
        <v>3.78</v>
      </c>
      <c r="O730" s="104" t="s">
        <v>615</v>
      </c>
      <c r="P730" s="67"/>
      <c r="R730" s="102" t="s">
        <v>981</v>
      </c>
      <c r="AA730">
        <v>31.388000000000002</v>
      </c>
      <c r="AB730">
        <f>B728*D728+B729*D729+AA730*D730+AA731*D731+AA732*D732</f>
        <v>76.142744183999994</v>
      </c>
    </row>
    <row r="731" spans="1:28" x14ac:dyDescent="0.2">
      <c r="A731" s="89" t="s">
        <v>617</v>
      </c>
      <c r="B731" s="90">
        <f>IF($P$730&lt;&gt;"",ROUND(AA731*(($AB$730/(1-$P$730))-71.7741)/17.1363,2),IF('Resumen 2.0TD'!$D$3="OPTIMIZAR",ROUND(MAX(AA731,MIN(AA731*(($AB$730/(1-'Resumen 2.0TD'!$F$3))-71.7741)/17.1363,AA731*(163.6137)/17.1363)),3),AA731))</f>
        <v>36.703000000000003</v>
      </c>
      <c r="C731" s="103"/>
      <c r="D731" s="92">
        <v>0.110306</v>
      </c>
      <c r="E731" s="93">
        <v>0.13788</v>
      </c>
      <c r="F731" s="94">
        <f t="shared" si="124"/>
        <v>5.0599999999999996</v>
      </c>
      <c r="H731" s="95">
        <v>37.738</v>
      </c>
      <c r="I731" s="96">
        <v>0.13788</v>
      </c>
      <c r="J731" s="97">
        <f t="shared" si="125"/>
        <v>5.2</v>
      </c>
      <c r="L731" s="98">
        <v>24.687999999999999</v>
      </c>
      <c r="M731" s="99">
        <v>0.13788</v>
      </c>
      <c r="N731" s="100">
        <f t="shared" si="126"/>
        <v>3.4</v>
      </c>
      <c r="O731" s="105" t="s">
        <v>618</v>
      </c>
      <c r="R731" s="102" t="s">
        <v>619</v>
      </c>
      <c r="AA731">
        <v>16.998000000000001</v>
      </c>
    </row>
    <row r="732" spans="1:28" x14ac:dyDescent="0.2">
      <c r="A732" s="89" t="s">
        <v>620</v>
      </c>
      <c r="B732" s="90">
        <f>IF($P$730&lt;&gt;"",ROUND(AA732*(($AB$730/(1-$P$730))-71.7741)/17.1363,2),IF('Resumen 2.0TD'!$D$3="OPTIMIZAR",ROUND(MAX(AA732,MIN(AA732*(($AB$730/(1-'Resumen 2.0TD'!$F$3))-71.7741)/17.1363,AA732*(163.6137)/17.1363)),3),AA732))</f>
        <v>163.881</v>
      </c>
      <c r="C732" s="103"/>
      <c r="D732" s="92">
        <v>0.110306</v>
      </c>
      <c r="E732" s="93">
        <v>0.13788</v>
      </c>
      <c r="F732" s="94">
        <f t="shared" si="124"/>
        <v>22.6</v>
      </c>
      <c r="H732" s="95">
        <v>105.098</v>
      </c>
      <c r="I732" s="96">
        <v>0.13788</v>
      </c>
      <c r="J732" s="97">
        <f t="shared" si="125"/>
        <v>14.49</v>
      </c>
      <c r="L732" s="98">
        <v>88.855000000000004</v>
      </c>
      <c r="M732" s="99">
        <v>0.13788</v>
      </c>
      <c r="N732" s="100">
        <f t="shared" si="126"/>
        <v>12.25</v>
      </c>
      <c r="O732" s="105" t="s">
        <v>621</v>
      </c>
      <c r="AA732">
        <v>75.897999999999996</v>
      </c>
    </row>
    <row r="733" spans="1:28" x14ac:dyDescent="0.2">
      <c r="A733" s="89" t="s">
        <v>139</v>
      </c>
      <c r="B733" s="90">
        <v>1</v>
      </c>
      <c r="C733" s="91">
        <f>$N$725-$L$725+1</f>
        <v>30</v>
      </c>
      <c r="D733" s="92">
        <v>1.3413999999999999</v>
      </c>
      <c r="E733" s="93">
        <v>3</v>
      </c>
      <c r="F733" s="94">
        <f t="shared" si="124"/>
        <v>3</v>
      </c>
      <c r="H733" s="95">
        <v>1</v>
      </c>
      <c r="I733" s="96">
        <v>3</v>
      </c>
      <c r="J733" s="97">
        <f t="shared" si="125"/>
        <v>3</v>
      </c>
      <c r="L733" s="98">
        <v>1</v>
      </c>
      <c r="M733" s="99">
        <v>3</v>
      </c>
      <c r="N733" s="100">
        <f t="shared" si="126"/>
        <v>3</v>
      </c>
    </row>
    <row r="734" spans="1:28" x14ac:dyDescent="0.2">
      <c r="A734" s="89" t="s">
        <v>140</v>
      </c>
      <c r="B734" s="90">
        <v>30</v>
      </c>
      <c r="C734" s="91">
        <f>$N$725-$L$725+1</f>
        <v>30</v>
      </c>
      <c r="D734" s="92">
        <v>0.5736</v>
      </c>
      <c r="E734" s="93">
        <v>1.274E-2</v>
      </c>
      <c r="F734" s="94">
        <f t="shared" si="124"/>
        <v>0.38</v>
      </c>
      <c r="H734" s="95">
        <v>30</v>
      </c>
      <c r="I734" s="96">
        <v>1.274E-2</v>
      </c>
      <c r="J734" s="97">
        <f t="shared" si="125"/>
        <v>0.38</v>
      </c>
      <c r="L734" s="98">
        <v>30</v>
      </c>
      <c r="M734" s="99">
        <v>6.2899999999999996E-3</v>
      </c>
      <c r="N734" s="100">
        <f t="shared" si="126"/>
        <v>0.19</v>
      </c>
    </row>
    <row r="735" spans="1:28" x14ac:dyDescent="0.2">
      <c r="A735" s="89" t="s">
        <v>141</v>
      </c>
      <c r="B735" s="90">
        <v>3.68</v>
      </c>
      <c r="C735" s="103"/>
      <c r="D735" s="92">
        <v>0.24729000000000001</v>
      </c>
      <c r="E735" s="93">
        <v>1</v>
      </c>
      <c r="F735" s="94">
        <f t="shared" si="124"/>
        <v>3.68</v>
      </c>
      <c r="H735" s="95">
        <v>3.68</v>
      </c>
      <c r="I735" s="96">
        <v>1</v>
      </c>
      <c r="J735" s="97">
        <f t="shared" si="125"/>
        <v>3.68</v>
      </c>
      <c r="L735" s="98">
        <v>3.68</v>
      </c>
      <c r="M735" s="99">
        <v>1</v>
      </c>
      <c r="N735" s="100">
        <f t="shared" si="126"/>
        <v>3.68</v>
      </c>
    </row>
    <row r="736" spans="1:28" x14ac:dyDescent="0.2">
      <c r="A736" s="106" t="s">
        <v>142</v>
      </c>
      <c r="F736" s="107">
        <f>ROUND((SUM(F728:F735)-F735)*1.1+F735,2)</f>
        <v>127.06</v>
      </c>
      <c r="J736" s="108">
        <f>ROUND(SUM(J728:J735),2)</f>
        <v>103.81</v>
      </c>
      <c r="N736" s="109">
        <f>ROUND(SUM(N728:N735),2)</f>
        <v>98.08</v>
      </c>
    </row>
    <row r="737" spans="1:30" x14ac:dyDescent="0.2">
      <c r="A737" s="78" t="s">
        <v>143</v>
      </c>
      <c r="B737" s="110">
        <f>IF((F732+F731+F730+F728+F729)=0,"",((F732+F731+F730+F728+F729)-$AB$730)/(F732+F731+F730+F728+F729))</f>
        <v>0.30002993028130176</v>
      </c>
      <c r="D737" s="139" t="str">
        <f>IF(B737="","SIN PC",IF(B737&gt;=0.3,"APROBAR",IF(B737&gt;=0.2,"REVISAR","RECHAZAR")))</f>
        <v>APROBAR</v>
      </c>
      <c r="E737" s="139"/>
      <c r="F737" s="139"/>
      <c r="AD737">
        <f>SUM(F730:F732)-17.1363</f>
        <v>19.863700000000001</v>
      </c>
    </row>
    <row r="738" spans="1:30" x14ac:dyDescent="0.2">
      <c r="A738" s="140" t="s">
        <v>743</v>
      </c>
      <c r="B738" s="140"/>
      <c r="C738" s="140"/>
      <c r="D738" s="140"/>
      <c r="E738" s="140"/>
      <c r="F738" s="140"/>
    </row>
    <row r="739" spans="1:30" x14ac:dyDescent="0.2">
      <c r="A739" s="111" t="s">
        <v>111</v>
      </c>
      <c r="B739" s="111" t="s">
        <v>744</v>
      </c>
      <c r="D739" s="111" t="s">
        <v>745</v>
      </c>
      <c r="E739" s="111" t="s">
        <v>746</v>
      </c>
      <c r="F739" s="111" t="s">
        <v>120</v>
      </c>
    </row>
    <row r="740" spans="1:30" x14ac:dyDescent="0.2">
      <c r="A740" s="112" t="s">
        <v>747</v>
      </c>
      <c r="B740" s="113">
        <v>680</v>
      </c>
      <c r="C740" s="114"/>
      <c r="D740" s="92">
        <v>0.06</v>
      </c>
      <c r="E740" s="114"/>
      <c r="F740" s="115">
        <f>ROUND(B740*D740,2)</f>
        <v>40.799999999999997</v>
      </c>
    </row>
    <row r="741" spans="1:30" x14ac:dyDescent="0.2">
      <c r="A741" s="112" t="s">
        <v>748</v>
      </c>
      <c r="B741" s="114"/>
      <c r="C741" s="114"/>
      <c r="D741" s="114"/>
      <c r="E741" s="116">
        <v>0.06</v>
      </c>
      <c r="F741" s="115">
        <v>17.13</v>
      </c>
    </row>
    <row r="742" spans="1:30" x14ac:dyDescent="0.2">
      <c r="A742" s="117" t="s">
        <v>749</v>
      </c>
      <c r="B742" s="114"/>
      <c r="C742" s="114"/>
      <c r="D742" s="114"/>
      <c r="E742" s="114"/>
      <c r="F742" s="118">
        <f>F740-F741</f>
        <v>23.669999999999998</v>
      </c>
    </row>
    <row r="744" spans="1:30" x14ac:dyDescent="0.2">
      <c r="A744" s="137" t="s">
        <v>982</v>
      </c>
      <c r="B744" s="137"/>
      <c r="C744" s="137"/>
      <c r="D744" s="137"/>
      <c r="E744" s="137"/>
      <c r="F744" s="137"/>
      <c r="H744" s="137" t="s">
        <v>983</v>
      </c>
      <c r="I744" s="137"/>
      <c r="J744" s="137"/>
      <c r="K744" s="137"/>
      <c r="L744" s="76">
        <v>46113</v>
      </c>
      <c r="M744" s="77" t="s">
        <v>607</v>
      </c>
      <c r="N744" s="76">
        <v>46142</v>
      </c>
      <c r="R744" s="138" t="s">
        <v>110</v>
      </c>
      <c r="S744" s="138"/>
      <c r="T744" s="138"/>
      <c r="U744" s="138"/>
      <c r="V744" s="138"/>
    </row>
    <row r="745" spans="1:30" x14ac:dyDescent="0.2">
      <c r="A745" s="78" t="s">
        <v>111</v>
      </c>
      <c r="B745" s="79" t="s">
        <v>112</v>
      </c>
      <c r="C745" s="80"/>
      <c r="D745" s="80"/>
      <c r="E745" s="80"/>
      <c r="F745" s="80"/>
      <c r="H745" s="81" t="s">
        <v>984</v>
      </c>
      <c r="I745" s="82"/>
      <c r="J745" s="82"/>
      <c r="L745" s="83" t="s">
        <v>985</v>
      </c>
      <c r="M745" s="84"/>
      <c r="N745" s="84"/>
      <c r="R745" s="85" t="s">
        <v>986</v>
      </c>
    </row>
    <row r="746" spans="1:30" x14ac:dyDescent="0.2">
      <c r="B746" s="68" t="s">
        <v>116</v>
      </c>
      <c r="C746" s="68" t="s">
        <v>117</v>
      </c>
      <c r="D746" s="68" t="s">
        <v>118</v>
      </c>
      <c r="E746" s="68" t="s">
        <v>119</v>
      </c>
      <c r="F746" s="68" t="s">
        <v>120</v>
      </c>
      <c r="H746" s="86" t="s">
        <v>116</v>
      </c>
      <c r="I746" s="86" t="s">
        <v>119</v>
      </c>
      <c r="J746" s="86" t="s">
        <v>120</v>
      </c>
      <c r="L746" s="87" t="s">
        <v>116</v>
      </c>
      <c r="M746" s="87" t="s">
        <v>119</v>
      </c>
      <c r="N746" s="87" t="s">
        <v>120</v>
      </c>
      <c r="R746" s="88" t="s">
        <v>987</v>
      </c>
    </row>
    <row r="747" spans="1:30" x14ac:dyDescent="0.2">
      <c r="A747" s="89" t="s">
        <v>122</v>
      </c>
      <c r="B747" s="90">
        <v>5.5</v>
      </c>
      <c r="C747" s="91">
        <f>$N$744-$L$744+1</f>
        <v>30</v>
      </c>
      <c r="D747" s="92">
        <v>3.4085999999999999</v>
      </c>
      <c r="E747" s="93">
        <v>4.17</v>
      </c>
      <c r="F747" s="94">
        <f t="shared" ref="F747:F754" si="127">ROUND(B747*E747,2)</f>
        <v>22.94</v>
      </c>
      <c r="H747" s="95">
        <v>5.5</v>
      </c>
      <c r="I747" s="96">
        <v>4.17</v>
      </c>
      <c r="J747" s="97">
        <f t="shared" ref="J747:J754" si="128">ROUND(H747*I747,2)</f>
        <v>22.94</v>
      </c>
      <c r="L747" s="98">
        <v>5.5</v>
      </c>
      <c r="M747" s="99">
        <v>4.17</v>
      </c>
      <c r="N747" s="100">
        <f t="shared" ref="N747:N754" si="129">ROUND(L747*M747,2)</f>
        <v>22.94</v>
      </c>
      <c r="R747" s="101" t="s">
        <v>988</v>
      </c>
    </row>
    <row r="748" spans="1:30" x14ac:dyDescent="0.2">
      <c r="A748" s="89" t="s">
        <v>124</v>
      </c>
      <c r="B748" s="90">
        <v>5.5</v>
      </c>
      <c r="C748" s="91">
        <f>$N$744-$L$744+1</f>
        <v>30</v>
      </c>
      <c r="D748" s="92">
        <v>1.09728</v>
      </c>
      <c r="E748" s="93">
        <v>1.37</v>
      </c>
      <c r="F748" s="94">
        <f t="shared" si="127"/>
        <v>7.54</v>
      </c>
      <c r="H748" s="95">
        <v>5.5</v>
      </c>
      <c r="I748" s="96">
        <v>1.37</v>
      </c>
      <c r="J748" s="97">
        <f t="shared" si="128"/>
        <v>7.54</v>
      </c>
      <c r="L748" s="98">
        <v>5.5</v>
      </c>
      <c r="M748" s="99">
        <v>1.37</v>
      </c>
      <c r="N748" s="100">
        <f t="shared" si="129"/>
        <v>7.54</v>
      </c>
      <c r="R748" s="102" t="s">
        <v>989</v>
      </c>
    </row>
    <row r="749" spans="1:30" x14ac:dyDescent="0.2">
      <c r="A749" s="89" t="s">
        <v>614</v>
      </c>
      <c r="B749" s="90">
        <f>IF($P$749&lt;&gt;"",ROUND(AA749*(($AB$749/(1-$P$749))-30.47)/7.5206,2),IF('Resumen 2.0TD'!$D$3="OPTIMIZAR",ROUND(MAX(AA749,MIN(AA749*(($AB$749/(1-'Resumen 2.0TD'!$F$3))-30.47)/7.5206,AA749*(32.0478)/7.5206)),3),AA749))</f>
        <v>21.824999999999999</v>
      </c>
      <c r="C749" s="103"/>
      <c r="D749" s="92">
        <v>0.110306</v>
      </c>
      <c r="E749" s="93">
        <v>0.14937</v>
      </c>
      <c r="F749" s="94">
        <f t="shared" si="127"/>
        <v>3.26</v>
      </c>
      <c r="H749" s="95">
        <v>43.963000000000001</v>
      </c>
      <c r="I749" s="96">
        <v>0.14937</v>
      </c>
      <c r="J749" s="97">
        <f t="shared" si="128"/>
        <v>6.57</v>
      </c>
      <c r="L749" s="98">
        <v>151.434</v>
      </c>
      <c r="M749" s="99">
        <v>0.14937</v>
      </c>
      <c r="N749" s="100">
        <f t="shared" si="129"/>
        <v>22.62</v>
      </c>
      <c r="O749" s="104" t="s">
        <v>615</v>
      </c>
      <c r="P749" s="67"/>
      <c r="R749" s="102" t="s">
        <v>990</v>
      </c>
      <c r="AA749">
        <v>12.756</v>
      </c>
      <c r="AB749">
        <f>B747*D747+B748*D748+AA749*D749+AA750*D750+AA751*D751</f>
        <v>30.336136793999998</v>
      </c>
    </row>
    <row r="750" spans="1:30" x14ac:dyDescent="0.2">
      <c r="A750" s="89" t="s">
        <v>617</v>
      </c>
      <c r="B750" s="90">
        <f>IF($P$749&lt;&gt;"",ROUND(AA750*(($AB$749/(1-$P$749))-30.47)/7.5206,2),IF('Resumen 2.0TD'!$D$3="OPTIMIZAR",ROUND(MAX(AA750,MIN(AA750*(($AB$749/(1-'Resumen 2.0TD'!$F$3))-30.47)/7.5206,AA750*(32.0478)/7.5206)),3),AA750))</f>
        <v>13.176</v>
      </c>
      <c r="C750" s="103"/>
      <c r="D750" s="92">
        <v>0.110306</v>
      </c>
      <c r="E750" s="93">
        <v>0.14937</v>
      </c>
      <c r="F750" s="94">
        <f t="shared" si="127"/>
        <v>1.97</v>
      </c>
      <c r="H750" s="95">
        <v>17.986000000000001</v>
      </c>
      <c r="I750" s="96">
        <v>0.14937</v>
      </c>
      <c r="J750" s="97">
        <f t="shared" si="128"/>
        <v>2.69</v>
      </c>
      <c r="L750" s="98">
        <v>248.71299999999999</v>
      </c>
      <c r="M750" s="99">
        <v>0.14937</v>
      </c>
      <c r="N750" s="100">
        <f t="shared" si="129"/>
        <v>37.15</v>
      </c>
      <c r="O750" s="105" t="s">
        <v>618</v>
      </c>
      <c r="R750" s="102" t="s">
        <v>619</v>
      </c>
      <c r="AA750">
        <v>7.7009999999999996</v>
      </c>
    </row>
    <row r="751" spans="1:30" x14ac:dyDescent="0.2">
      <c r="A751" s="89" t="s">
        <v>620</v>
      </c>
      <c r="B751" s="90">
        <f>IF($P$749&lt;&gt;"",ROUND(AA751*(($AB$749/(1-$P$749))-30.47)/7.5206,2),IF('Resumen 2.0TD'!$D$3="OPTIMIZAR",ROUND(MAX(AA751,MIN(AA751*(($AB$749/(1-'Resumen 2.0TD'!$F$3))-30.47)/7.5206,AA751*(32.0478)/7.5206)),3),AA751))</f>
        <v>51.143999999999998</v>
      </c>
      <c r="C751" s="103"/>
      <c r="D751" s="92">
        <v>0.110306</v>
      </c>
      <c r="E751" s="93">
        <v>0.14937</v>
      </c>
      <c r="F751" s="94">
        <f t="shared" si="127"/>
        <v>7.64</v>
      </c>
      <c r="H751" s="95">
        <v>37.506</v>
      </c>
      <c r="I751" s="96">
        <v>0.14937</v>
      </c>
      <c r="J751" s="97">
        <f t="shared" si="128"/>
        <v>5.6</v>
      </c>
      <c r="L751" s="98">
        <v>338.83600000000001</v>
      </c>
      <c r="M751" s="99">
        <v>0.14937</v>
      </c>
      <c r="N751" s="100">
        <f t="shared" si="129"/>
        <v>50.61</v>
      </c>
      <c r="O751" s="105" t="s">
        <v>621</v>
      </c>
      <c r="AA751">
        <v>29.891999999999999</v>
      </c>
    </row>
    <row r="752" spans="1:30" x14ac:dyDescent="0.2">
      <c r="A752" s="89" t="s">
        <v>139</v>
      </c>
      <c r="B752" s="90">
        <v>1</v>
      </c>
      <c r="C752" s="91">
        <f>$N$744-$L$744+1</f>
        <v>30</v>
      </c>
      <c r="D752" s="92">
        <v>0.79890000000000005</v>
      </c>
      <c r="E752" s="93">
        <v>4</v>
      </c>
      <c r="F752" s="94">
        <f t="shared" si="127"/>
        <v>4</v>
      </c>
      <c r="H752" s="95">
        <v>1</v>
      </c>
      <c r="I752" s="96">
        <v>4</v>
      </c>
      <c r="J752" s="97">
        <f t="shared" si="128"/>
        <v>4</v>
      </c>
      <c r="L752" s="98">
        <v>1</v>
      </c>
      <c r="M752" s="99">
        <v>4</v>
      </c>
      <c r="N752" s="100">
        <f t="shared" si="129"/>
        <v>4</v>
      </c>
    </row>
    <row r="753" spans="1:30" x14ac:dyDescent="0.2">
      <c r="A753" s="89" t="s">
        <v>140</v>
      </c>
      <c r="B753" s="90">
        <v>30</v>
      </c>
      <c r="C753" s="91">
        <f>$N$744-$L$744+1</f>
        <v>30</v>
      </c>
      <c r="D753" s="92">
        <v>0.5736</v>
      </c>
      <c r="E753" s="93">
        <v>1.274E-2</v>
      </c>
      <c r="F753" s="94">
        <f t="shared" si="127"/>
        <v>0.38</v>
      </c>
      <c r="H753" s="95">
        <v>30</v>
      </c>
      <c r="I753" s="96">
        <v>1.274E-2</v>
      </c>
      <c r="J753" s="97">
        <f t="shared" si="128"/>
        <v>0.38</v>
      </c>
      <c r="L753" s="98">
        <v>30</v>
      </c>
      <c r="M753" s="99">
        <v>1.274E-2</v>
      </c>
      <c r="N753" s="100">
        <f t="shared" si="129"/>
        <v>0.38</v>
      </c>
    </row>
    <row r="754" spans="1:30" x14ac:dyDescent="0.2">
      <c r="A754" s="89" t="s">
        <v>141</v>
      </c>
      <c r="B754" s="90">
        <v>1.57</v>
      </c>
      <c r="C754" s="103"/>
      <c r="D754" s="92">
        <v>0.24729000000000001</v>
      </c>
      <c r="E754" s="93">
        <v>1</v>
      </c>
      <c r="F754" s="94">
        <f t="shared" si="127"/>
        <v>1.57</v>
      </c>
      <c r="H754" s="95">
        <v>1.63</v>
      </c>
      <c r="I754" s="96">
        <v>1</v>
      </c>
      <c r="J754" s="97">
        <f t="shared" si="128"/>
        <v>1.63</v>
      </c>
      <c r="L754" s="98">
        <v>1.82</v>
      </c>
      <c r="M754" s="99">
        <v>1</v>
      </c>
      <c r="N754" s="100">
        <f t="shared" si="129"/>
        <v>1.82</v>
      </c>
    </row>
    <row r="755" spans="1:30" x14ac:dyDescent="0.2">
      <c r="A755" s="106" t="s">
        <v>142</v>
      </c>
      <c r="F755" s="107">
        <f>ROUND((SUM(F747:F754)-F754)*1.1+F754,2)</f>
        <v>54.07</v>
      </c>
      <c r="J755" s="108">
        <f>ROUND(SUM(J747:J754),2)</f>
        <v>51.35</v>
      </c>
      <c r="N755" s="109">
        <f>ROUND(SUM(N747:N754),2)</f>
        <v>147.06</v>
      </c>
    </row>
    <row r="756" spans="1:30" x14ac:dyDescent="0.2">
      <c r="A756" s="78" t="s">
        <v>143</v>
      </c>
      <c r="B756" s="110">
        <f>IF((F751+F750+F749+F747+F748)=0,"",((F751+F750+F749+F747+F748)-$AB$749)/(F751+F750+F749+F747+F748))</f>
        <v>0.30020445688581321</v>
      </c>
      <c r="D756" s="139" t="str">
        <f>IF(B756="","SIN PC",IF(B756&gt;=0.3,"APROBAR",IF(B756&gt;=0.2,"REVISAR","RECHAZAR")))</f>
        <v>APROBAR</v>
      </c>
      <c r="E756" s="139"/>
      <c r="F756" s="139"/>
      <c r="AD756">
        <f>SUM(F749:F751)-7.5206</f>
        <v>5.3493999999999993</v>
      </c>
    </row>
    <row r="757" spans="1:30" x14ac:dyDescent="0.2">
      <c r="A757" s="140" t="s">
        <v>743</v>
      </c>
      <c r="B757" s="140"/>
      <c r="C757" s="140"/>
      <c r="D757" s="140"/>
      <c r="E757" s="140"/>
      <c r="F757" s="140"/>
    </row>
    <row r="758" spans="1:30" x14ac:dyDescent="0.2">
      <c r="A758" s="111" t="s">
        <v>111</v>
      </c>
      <c r="B758" s="111" t="s">
        <v>744</v>
      </c>
      <c r="D758" s="111" t="s">
        <v>745</v>
      </c>
      <c r="E758" s="111" t="s">
        <v>746</v>
      </c>
      <c r="F758" s="111" t="s">
        <v>120</v>
      </c>
    </row>
    <row r="759" spans="1:30" x14ac:dyDescent="0.2">
      <c r="A759" s="112" t="s">
        <v>747</v>
      </c>
      <c r="B759" s="113">
        <v>396</v>
      </c>
      <c r="C759" s="114"/>
      <c r="D759" s="92">
        <v>0.06</v>
      </c>
      <c r="E759" s="114"/>
      <c r="F759" s="115">
        <f>ROUND(B759*D759,2)</f>
        <v>23.76</v>
      </c>
    </row>
    <row r="760" spans="1:30" x14ac:dyDescent="0.2">
      <c r="A760" s="112" t="s">
        <v>748</v>
      </c>
      <c r="B760" s="114"/>
      <c r="C760" s="114"/>
      <c r="D760" s="114"/>
      <c r="E760" s="116">
        <v>0.06</v>
      </c>
      <c r="F760" s="115">
        <v>7.52</v>
      </c>
    </row>
    <row r="761" spans="1:30" x14ac:dyDescent="0.2">
      <c r="A761" s="117" t="s">
        <v>749</v>
      </c>
      <c r="B761" s="114"/>
      <c r="C761" s="114"/>
      <c r="D761" s="114"/>
      <c r="E761" s="114"/>
      <c r="F761" s="118">
        <f>F759-F760</f>
        <v>16.240000000000002</v>
      </c>
    </row>
    <row r="763" spans="1:30" x14ac:dyDescent="0.2">
      <c r="A763" s="137" t="s">
        <v>991</v>
      </c>
      <c r="B763" s="137"/>
      <c r="C763" s="137"/>
      <c r="D763" s="137"/>
      <c r="E763" s="137"/>
      <c r="F763" s="137"/>
      <c r="H763" s="137" t="s">
        <v>992</v>
      </c>
      <c r="I763" s="137"/>
      <c r="J763" s="137"/>
      <c r="K763" s="137"/>
      <c r="L763" s="76">
        <v>46113</v>
      </c>
      <c r="M763" s="77" t="s">
        <v>607</v>
      </c>
      <c r="N763" s="76">
        <v>46142</v>
      </c>
      <c r="R763" s="138" t="s">
        <v>110</v>
      </c>
      <c r="S763" s="138"/>
      <c r="T763" s="138"/>
      <c r="U763" s="138"/>
      <c r="V763" s="138"/>
    </row>
    <row r="764" spans="1:30" x14ac:dyDescent="0.2">
      <c r="A764" s="78" t="s">
        <v>111</v>
      </c>
      <c r="B764" s="79" t="s">
        <v>112</v>
      </c>
      <c r="C764" s="80"/>
      <c r="D764" s="80"/>
      <c r="E764" s="80"/>
      <c r="F764" s="80"/>
      <c r="H764" s="81" t="s">
        <v>993</v>
      </c>
      <c r="I764" s="82"/>
      <c r="J764" s="82"/>
      <c r="L764" s="83" t="s">
        <v>994</v>
      </c>
      <c r="M764" s="84"/>
      <c r="N764" s="84"/>
      <c r="R764" s="85" t="s">
        <v>995</v>
      </c>
    </row>
    <row r="765" spans="1:30" x14ac:dyDescent="0.2">
      <c r="B765" s="68" t="s">
        <v>116</v>
      </c>
      <c r="C765" s="68" t="s">
        <v>117</v>
      </c>
      <c r="D765" s="68" t="s">
        <v>118</v>
      </c>
      <c r="E765" s="68" t="s">
        <v>119</v>
      </c>
      <c r="F765" s="68" t="s">
        <v>120</v>
      </c>
      <c r="H765" s="86" t="s">
        <v>116</v>
      </c>
      <c r="I765" s="86" t="s">
        <v>119</v>
      </c>
      <c r="J765" s="86" t="s">
        <v>120</v>
      </c>
      <c r="L765" s="87" t="s">
        <v>116</v>
      </c>
      <c r="M765" s="87" t="s">
        <v>119</v>
      </c>
      <c r="N765" s="87" t="s">
        <v>120</v>
      </c>
      <c r="R765" s="88" t="s">
        <v>996</v>
      </c>
    </row>
    <row r="766" spans="1:30" x14ac:dyDescent="0.2">
      <c r="A766" s="89" t="s">
        <v>122</v>
      </c>
      <c r="B766" s="90">
        <v>5</v>
      </c>
      <c r="C766" s="91">
        <f>$N$763-$L$763+1</f>
        <v>30</v>
      </c>
      <c r="D766" s="92">
        <v>3.4085999999999999</v>
      </c>
      <c r="E766" s="93">
        <v>3.85</v>
      </c>
      <c r="F766" s="94">
        <f t="shared" ref="F766:F773" si="130">ROUND(B766*E766,2)</f>
        <v>19.25</v>
      </c>
      <c r="H766" s="95">
        <v>5</v>
      </c>
      <c r="I766" s="96">
        <v>3.85</v>
      </c>
      <c r="J766" s="97">
        <f t="shared" ref="J766:J773" si="131">ROUND(H766*I766,2)</f>
        <v>19.25</v>
      </c>
      <c r="L766" s="98">
        <v>5</v>
      </c>
      <c r="M766" s="99">
        <v>3.85</v>
      </c>
      <c r="N766" s="100">
        <f t="shared" ref="N766:N773" si="132">ROUND(L766*M766,2)</f>
        <v>19.25</v>
      </c>
      <c r="R766" s="101" t="s">
        <v>997</v>
      </c>
    </row>
    <row r="767" spans="1:30" x14ac:dyDescent="0.2">
      <c r="A767" s="89" t="s">
        <v>124</v>
      </c>
      <c r="B767" s="90">
        <v>5</v>
      </c>
      <c r="C767" s="91">
        <f>$N$763-$L$763+1</f>
        <v>30</v>
      </c>
      <c r="D767" s="92">
        <v>1.09728</v>
      </c>
      <c r="E767" s="93">
        <v>1.33</v>
      </c>
      <c r="F767" s="94">
        <f t="shared" si="130"/>
        <v>6.65</v>
      </c>
      <c r="H767" s="95">
        <v>5</v>
      </c>
      <c r="I767" s="96">
        <v>1.33</v>
      </c>
      <c r="J767" s="97">
        <f t="shared" si="131"/>
        <v>6.65</v>
      </c>
      <c r="L767" s="98">
        <v>5</v>
      </c>
      <c r="M767" s="99">
        <v>1.33</v>
      </c>
      <c r="N767" s="100">
        <f t="shared" si="132"/>
        <v>6.65</v>
      </c>
      <c r="R767" s="102" t="s">
        <v>998</v>
      </c>
    </row>
    <row r="768" spans="1:30" x14ac:dyDescent="0.2">
      <c r="A768" s="89" t="s">
        <v>614</v>
      </c>
      <c r="B768" s="90">
        <f>IF($P$768&lt;&gt;"",ROUND(AA768*(($AB$768/(1-$P$768))-25.9)/5.4567,2),IF('Resumen 2.0TD'!$D$3="OPTIMIZAR",ROUND(MAX(AA768,MIN(AA768*(($AB$768/(1-'Resumen 2.0TD'!$F$3))-25.9)/5.4567,AA768*(68.1878)/5.4567)),3),AA768))</f>
        <v>15.576000000000001</v>
      </c>
      <c r="C768" s="103"/>
      <c r="D768" s="92">
        <v>0.110306</v>
      </c>
      <c r="E768" s="93">
        <v>0.13788</v>
      </c>
      <c r="F768" s="94">
        <f t="shared" si="130"/>
        <v>2.15</v>
      </c>
      <c r="H768" s="95">
        <v>46.764000000000003</v>
      </c>
      <c r="I768" s="96">
        <v>0.13788</v>
      </c>
      <c r="J768" s="97">
        <f t="shared" si="131"/>
        <v>6.45</v>
      </c>
      <c r="L768" s="98">
        <v>65.143000000000001</v>
      </c>
      <c r="M768" s="99">
        <v>0.13788</v>
      </c>
      <c r="N768" s="100">
        <f t="shared" si="132"/>
        <v>8.98</v>
      </c>
      <c r="O768" s="104" t="s">
        <v>615</v>
      </c>
      <c r="P768" s="67"/>
      <c r="R768" s="102" t="s">
        <v>999</v>
      </c>
      <c r="AA768">
        <v>6.7880000000000003</v>
      </c>
      <c r="AB768">
        <f>B766*D766+B767*D767+AA768*D768+AA769*D769+AA770*D770</f>
        <v>26.894870256000001</v>
      </c>
    </row>
    <row r="769" spans="1:30" x14ac:dyDescent="0.2">
      <c r="A769" s="89" t="s">
        <v>617</v>
      </c>
      <c r="B769" s="90">
        <f>IF($P$768&lt;&gt;"",ROUND(AA769*(($AB$768/(1-$P$768))-25.9)/5.4567,2),IF('Resumen 2.0TD'!$D$3="OPTIMIZAR",ROUND(MAX(AA769,MIN(AA769*(($AB$768/(1-'Resumen 2.0TD'!$F$3))-25.9)/5.4567,AA769*(68.1878)/5.4567)),3),AA769))</f>
        <v>11.214</v>
      </c>
      <c r="C769" s="103"/>
      <c r="D769" s="92">
        <v>0.110306</v>
      </c>
      <c r="E769" s="93">
        <v>0.13788</v>
      </c>
      <c r="F769" s="94">
        <f t="shared" si="130"/>
        <v>1.55</v>
      </c>
      <c r="H769" s="95">
        <v>33.796999999999997</v>
      </c>
      <c r="I769" s="96">
        <v>0.13788</v>
      </c>
      <c r="J769" s="97">
        <f t="shared" si="131"/>
        <v>4.66</v>
      </c>
      <c r="L769" s="98">
        <v>82.195999999999998</v>
      </c>
      <c r="M769" s="99">
        <v>0.13788</v>
      </c>
      <c r="N769" s="100">
        <f t="shared" si="132"/>
        <v>11.33</v>
      </c>
      <c r="O769" s="105" t="s">
        <v>618</v>
      </c>
      <c r="R769" s="102" t="s">
        <v>619</v>
      </c>
      <c r="AA769">
        <v>4.8869999999999996</v>
      </c>
    </row>
    <row r="770" spans="1:30" x14ac:dyDescent="0.2">
      <c r="A770" s="89" t="s">
        <v>620</v>
      </c>
      <c r="B770" s="90">
        <f>IF($P$768&lt;&gt;"",ROUND(AA770*(($AB$768/(1-$P$768))-25.9)/5.4567,2),IF('Resumen 2.0TD'!$D$3="OPTIMIZAR",ROUND(MAX(AA770,MIN(AA770*(($AB$768/(1-'Resumen 2.0TD'!$F$3))-25.9)/5.4567,AA770*(68.1878)/5.4567)),3),AA770))</f>
        <v>64.022999999999996</v>
      </c>
      <c r="C770" s="103"/>
      <c r="D770" s="92">
        <v>0.110306</v>
      </c>
      <c r="E770" s="93">
        <v>0.13788</v>
      </c>
      <c r="F770" s="94">
        <f t="shared" si="130"/>
        <v>8.83</v>
      </c>
      <c r="H770" s="95">
        <v>49.444000000000003</v>
      </c>
      <c r="I770" s="96">
        <v>0.13788</v>
      </c>
      <c r="J770" s="97">
        <f t="shared" si="131"/>
        <v>6.82</v>
      </c>
      <c r="L770" s="98">
        <v>189.41200000000001</v>
      </c>
      <c r="M770" s="99">
        <v>0.13788</v>
      </c>
      <c r="N770" s="100">
        <f t="shared" si="132"/>
        <v>26.12</v>
      </c>
      <c r="O770" s="105" t="s">
        <v>621</v>
      </c>
      <c r="AA770">
        <v>27.901</v>
      </c>
    </row>
    <row r="771" spans="1:30" x14ac:dyDescent="0.2">
      <c r="A771" s="89" t="s">
        <v>139</v>
      </c>
      <c r="B771" s="90">
        <v>1</v>
      </c>
      <c r="C771" s="91">
        <f>$N$763-$L$763+1</f>
        <v>30</v>
      </c>
      <c r="D771" s="92">
        <v>0.79890000000000005</v>
      </c>
      <c r="E771" s="93">
        <v>3</v>
      </c>
      <c r="F771" s="94">
        <f t="shared" si="130"/>
        <v>3</v>
      </c>
      <c r="H771" s="95">
        <v>1</v>
      </c>
      <c r="I771" s="96">
        <v>3</v>
      </c>
      <c r="J771" s="97">
        <f t="shared" si="131"/>
        <v>3</v>
      </c>
      <c r="L771" s="98">
        <v>1</v>
      </c>
      <c r="M771" s="99">
        <v>3</v>
      </c>
      <c r="N771" s="100">
        <f t="shared" si="132"/>
        <v>3</v>
      </c>
    </row>
    <row r="772" spans="1:30" x14ac:dyDescent="0.2">
      <c r="A772" s="89" t="s">
        <v>140</v>
      </c>
      <c r="B772" s="90">
        <v>30</v>
      </c>
      <c r="C772" s="91">
        <f>$N$763-$L$763+1</f>
        <v>30</v>
      </c>
      <c r="D772" s="92">
        <v>0.5736</v>
      </c>
      <c r="E772" s="93">
        <v>1.274E-2</v>
      </c>
      <c r="F772" s="94">
        <f t="shared" si="130"/>
        <v>0.38</v>
      </c>
      <c r="H772" s="95">
        <v>30</v>
      </c>
      <c r="I772" s="96">
        <v>1.274E-2</v>
      </c>
      <c r="J772" s="97">
        <f t="shared" si="131"/>
        <v>0.38</v>
      </c>
      <c r="L772" s="98">
        <v>30</v>
      </c>
      <c r="M772" s="99">
        <v>6.2899999999999996E-3</v>
      </c>
      <c r="N772" s="100">
        <f t="shared" si="132"/>
        <v>0.19</v>
      </c>
    </row>
    <row r="773" spans="1:30" x14ac:dyDescent="0.2">
      <c r="A773" s="89" t="s">
        <v>141</v>
      </c>
      <c r="B773" s="90">
        <v>1.33</v>
      </c>
      <c r="C773" s="103"/>
      <c r="D773" s="92">
        <v>0.24729000000000001</v>
      </c>
      <c r="E773" s="93">
        <v>1</v>
      </c>
      <c r="F773" s="94">
        <f t="shared" si="130"/>
        <v>1.33</v>
      </c>
      <c r="H773" s="95">
        <v>1.33</v>
      </c>
      <c r="I773" s="96">
        <v>1</v>
      </c>
      <c r="J773" s="97">
        <f t="shared" si="131"/>
        <v>1.33</v>
      </c>
      <c r="L773" s="98">
        <v>2.9</v>
      </c>
      <c r="M773" s="99">
        <v>1</v>
      </c>
      <c r="N773" s="100">
        <f t="shared" si="132"/>
        <v>2.9</v>
      </c>
    </row>
    <row r="774" spans="1:30" x14ac:dyDescent="0.2">
      <c r="A774" s="106" t="s">
        <v>142</v>
      </c>
      <c r="F774" s="107">
        <f>ROUND((SUM(F766:F773)-F773)*1.1+F773,2)</f>
        <v>47.32</v>
      </c>
      <c r="J774" s="108">
        <f>ROUND(SUM(J766:J773),2)</f>
        <v>48.54</v>
      </c>
      <c r="N774" s="109">
        <f>ROUND(SUM(N766:N773),2)</f>
        <v>78.42</v>
      </c>
    </row>
    <row r="775" spans="1:30" x14ac:dyDescent="0.2">
      <c r="A775" s="78" t="s">
        <v>143</v>
      </c>
      <c r="B775" s="110">
        <f>IF((F770+F769+F768+F766+F767)=0,"",((F770+F769+F768+F766+F767)-$AB$768)/(F770+F769+F768+F766+F767))</f>
        <v>0.30015950413739262</v>
      </c>
      <c r="D775" s="139" t="str">
        <f>IF(B775="","SIN PC",IF(B775&gt;=0.3,"APROBAR",IF(B775&gt;=0.2,"REVISAR","RECHAZAR")))</f>
        <v>APROBAR</v>
      </c>
      <c r="E775" s="139"/>
      <c r="F775" s="139"/>
      <c r="AD775">
        <f>SUM(F768:F770)-5.4567</f>
        <v>7.0733000000000015</v>
      </c>
    </row>
    <row r="776" spans="1:30" x14ac:dyDescent="0.2">
      <c r="A776" s="140" t="s">
        <v>743</v>
      </c>
      <c r="B776" s="140"/>
      <c r="C776" s="140"/>
      <c r="D776" s="140"/>
      <c r="E776" s="140"/>
      <c r="F776" s="140"/>
    </row>
    <row r="777" spans="1:30" x14ac:dyDescent="0.2">
      <c r="A777" s="111" t="s">
        <v>111</v>
      </c>
      <c r="B777" s="111" t="s">
        <v>744</v>
      </c>
      <c r="D777" s="111" t="s">
        <v>745</v>
      </c>
      <c r="E777" s="111" t="s">
        <v>746</v>
      </c>
      <c r="F777" s="111" t="s">
        <v>120</v>
      </c>
    </row>
    <row r="778" spans="1:30" x14ac:dyDescent="0.2">
      <c r="A778" s="112" t="s">
        <v>747</v>
      </c>
      <c r="B778" s="113">
        <v>540</v>
      </c>
      <c r="C778" s="114"/>
      <c r="D778" s="92">
        <v>0.06</v>
      </c>
      <c r="E778" s="114"/>
      <c r="F778" s="115">
        <f>ROUND(B778*D778,2)</f>
        <v>32.4</v>
      </c>
    </row>
    <row r="779" spans="1:30" x14ac:dyDescent="0.2">
      <c r="A779" s="112" t="s">
        <v>748</v>
      </c>
      <c r="B779" s="114"/>
      <c r="C779" s="114"/>
      <c r="D779" s="114"/>
      <c r="E779" s="116">
        <v>0.06</v>
      </c>
      <c r="F779" s="115">
        <v>5.46</v>
      </c>
    </row>
    <row r="780" spans="1:30" x14ac:dyDescent="0.2">
      <c r="A780" s="117" t="s">
        <v>749</v>
      </c>
      <c r="B780" s="114"/>
      <c r="C780" s="114"/>
      <c r="D780" s="114"/>
      <c r="E780" s="114"/>
      <c r="F780" s="118">
        <f>F778-F779</f>
        <v>26.939999999999998</v>
      </c>
    </row>
    <row r="782" spans="1:30" x14ac:dyDescent="0.2">
      <c r="A782" s="137" t="s">
        <v>1000</v>
      </c>
      <c r="B782" s="137"/>
      <c r="C782" s="137"/>
      <c r="D782" s="137"/>
      <c r="E782" s="137"/>
      <c r="F782" s="137"/>
      <c r="H782" s="137" t="s">
        <v>776</v>
      </c>
      <c r="I782" s="137"/>
      <c r="J782" s="137"/>
      <c r="K782" s="137"/>
      <c r="L782" s="76">
        <v>46113</v>
      </c>
      <c r="M782" s="77" t="s">
        <v>607</v>
      </c>
      <c r="N782" s="76">
        <v>46142</v>
      </c>
      <c r="R782" s="138" t="s">
        <v>110</v>
      </c>
      <c r="S782" s="138"/>
      <c r="T782" s="138"/>
      <c r="U782" s="138"/>
      <c r="V782" s="138"/>
    </row>
    <row r="783" spans="1:30" x14ac:dyDescent="0.2">
      <c r="A783" s="78" t="s">
        <v>111</v>
      </c>
      <c r="B783" s="79" t="s">
        <v>112</v>
      </c>
      <c r="C783" s="80"/>
      <c r="D783" s="80"/>
      <c r="E783" s="80"/>
      <c r="F783" s="80"/>
      <c r="H783" s="81" t="s">
        <v>777</v>
      </c>
      <c r="I783" s="82"/>
      <c r="J783" s="82"/>
      <c r="L783" s="83" t="s">
        <v>778</v>
      </c>
      <c r="M783" s="84"/>
      <c r="N783" s="84"/>
      <c r="R783" s="85" t="s">
        <v>779</v>
      </c>
    </row>
    <row r="784" spans="1:30" x14ac:dyDescent="0.2">
      <c r="B784" s="68" t="s">
        <v>116</v>
      </c>
      <c r="C784" s="68" t="s">
        <v>117</v>
      </c>
      <c r="D784" s="68" t="s">
        <v>118</v>
      </c>
      <c r="E784" s="68" t="s">
        <v>119</v>
      </c>
      <c r="F784" s="68" t="s">
        <v>120</v>
      </c>
      <c r="H784" s="86" t="s">
        <v>116</v>
      </c>
      <c r="I784" s="86" t="s">
        <v>119</v>
      </c>
      <c r="J784" s="86" t="s">
        <v>120</v>
      </c>
      <c r="L784" s="87" t="s">
        <v>116</v>
      </c>
      <c r="M784" s="87" t="s">
        <v>119</v>
      </c>
      <c r="N784" s="87" t="s">
        <v>120</v>
      </c>
      <c r="R784" s="88" t="s">
        <v>780</v>
      </c>
    </row>
    <row r="785" spans="1:30" x14ac:dyDescent="0.2">
      <c r="A785" s="89" t="s">
        <v>122</v>
      </c>
      <c r="B785" s="90">
        <v>9.1999999999999993</v>
      </c>
      <c r="C785" s="91">
        <f>$N$782-$L$782+1</f>
        <v>30</v>
      </c>
      <c r="D785" s="92">
        <v>3.4085999999999999</v>
      </c>
      <c r="E785" s="93">
        <v>4.17</v>
      </c>
      <c r="F785" s="94">
        <f t="shared" ref="F785:F792" si="133">ROUND(B785*E785,2)</f>
        <v>38.36</v>
      </c>
      <c r="H785" s="95">
        <v>9.1999999999999993</v>
      </c>
      <c r="I785" s="96">
        <v>4.17</v>
      </c>
      <c r="J785" s="97">
        <f t="shared" ref="J785:J792" si="134">ROUND(H785*I785,2)</f>
        <v>38.36</v>
      </c>
      <c r="L785" s="98">
        <v>9.1999999999999993</v>
      </c>
      <c r="M785" s="99">
        <v>4.17</v>
      </c>
      <c r="N785" s="100">
        <f t="shared" ref="N785:N792" si="135">ROUND(L785*M785,2)</f>
        <v>38.36</v>
      </c>
      <c r="R785" s="101" t="s">
        <v>781</v>
      </c>
    </row>
    <row r="786" spans="1:30" x14ac:dyDescent="0.2">
      <c r="A786" s="89" t="s">
        <v>124</v>
      </c>
      <c r="B786" s="90">
        <v>9.1999999999999993</v>
      </c>
      <c r="C786" s="91">
        <f>$N$782-$L$782+1</f>
        <v>30</v>
      </c>
      <c r="D786" s="92">
        <v>1.09728</v>
      </c>
      <c r="E786" s="93">
        <v>1.37</v>
      </c>
      <c r="F786" s="94">
        <f t="shared" si="133"/>
        <v>12.6</v>
      </c>
      <c r="H786" s="95">
        <v>9.1999999999999993</v>
      </c>
      <c r="I786" s="96">
        <v>1.37</v>
      </c>
      <c r="J786" s="97">
        <f t="shared" si="134"/>
        <v>12.6</v>
      </c>
      <c r="L786" s="98">
        <v>9.1999999999999993</v>
      </c>
      <c r="M786" s="99">
        <v>1.37</v>
      </c>
      <c r="N786" s="100">
        <f t="shared" si="135"/>
        <v>12.6</v>
      </c>
      <c r="R786" s="102" t="s">
        <v>782</v>
      </c>
    </row>
    <row r="787" spans="1:30" x14ac:dyDescent="0.2">
      <c r="A787" s="89" t="s">
        <v>614</v>
      </c>
      <c r="B787" s="90">
        <f>IF($P$787&lt;&gt;"",ROUND(AA787*(($AB$787/(1-$P$787))-50.968)/35.0461,2),IF('Resumen 2.0TD'!$D$3="OPTIMIZAR",ROUND(MAX(AA787,MIN(AA787*(($AB$787/(1-'Resumen 2.0TD'!$F$3))-50.968)/35.0461,AA787*(153.8798)/35.0461)),3),AA787))</f>
        <v>101.932</v>
      </c>
      <c r="C787" s="103"/>
      <c r="D787" s="92">
        <v>0.110306</v>
      </c>
      <c r="E787" s="93">
        <v>0.14937</v>
      </c>
      <c r="F787" s="94">
        <f t="shared" si="133"/>
        <v>15.23</v>
      </c>
      <c r="H787" s="95">
        <v>123.339</v>
      </c>
      <c r="I787" s="96">
        <v>0.14937</v>
      </c>
      <c r="J787" s="97">
        <f t="shared" si="134"/>
        <v>18.420000000000002</v>
      </c>
      <c r="L787" s="98">
        <v>83.492999999999995</v>
      </c>
      <c r="M787" s="99">
        <v>0.14937</v>
      </c>
      <c r="N787" s="100">
        <f t="shared" si="135"/>
        <v>12.47</v>
      </c>
      <c r="O787" s="104" t="s">
        <v>615</v>
      </c>
      <c r="P787" s="67"/>
      <c r="R787" s="102" t="s">
        <v>783</v>
      </c>
      <c r="AA787">
        <v>78.991</v>
      </c>
      <c r="AB787">
        <f>B785*D785+B786*D786+AA787*D787+AA788*D788+AA789*D789</f>
        <v>67.334751555999986</v>
      </c>
    </row>
    <row r="788" spans="1:30" x14ac:dyDescent="0.2">
      <c r="A788" s="89" t="s">
        <v>617</v>
      </c>
      <c r="B788" s="90">
        <f>IF($P$787&lt;&gt;"",ROUND(AA788*(($AB$787/(1-$P$787))-50.968)/35.0461,2),IF('Resumen 2.0TD'!$D$3="OPTIMIZAR",ROUND(MAX(AA788,MIN(AA788*(($AB$787/(1-'Resumen 2.0TD'!$F$3))-50.968)/35.0461,AA788*(153.8798)/35.0461)),3),AA788))</f>
        <v>53.832999999999998</v>
      </c>
      <c r="C788" s="103"/>
      <c r="D788" s="92">
        <v>0.110306</v>
      </c>
      <c r="E788" s="93">
        <v>0.14937</v>
      </c>
      <c r="F788" s="94">
        <f t="shared" si="133"/>
        <v>8.0399999999999991</v>
      </c>
      <c r="H788" s="95">
        <v>78.641999999999996</v>
      </c>
      <c r="I788" s="96">
        <v>0.14937</v>
      </c>
      <c r="J788" s="97">
        <f t="shared" si="134"/>
        <v>11.75</v>
      </c>
      <c r="L788" s="98">
        <v>41.140999999999998</v>
      </c>
      <c r="M788" s="99">
        <v>0.14937</v>
      </c>
      <c r="N788" s="100">
        <f t="shared" si="135"/>
        <v>6.15</v>
      </c>
      <c r="O788" s="105" t="s">
        <v>618</v>
      </c>
      <c r="R788" s="102" t="s">
        <v>619</v>
      </c>
      <c r="AA788">
        <v>41.716999999999999</v>
      </c>
    </row>
    <row r="789" spans="1:30" x14ac:dyDescent="0.2">
      <c r="A789" s="89" t="s">
        <v>620</v>
      </c>
      <c r="B789" s="90">
        <f>IF($P$787&lt;&gt;"",ROUND(AA789*(($AB$787/(1-$P$787))-50.968)/35.0461,2),IF('Resumen 2.0TD'!$D$3="OPTIMIZAR",ROUND(MAX(AA789,MIN(AA789*(($AB$787/(1-'Resumen 2.0TD'!$F$3))-50.968)/35.0461,AA789*(153.8798)/35.0461)),3),AA789))</f>
        <v>147.00299999999999</v>
      </c>
      <c r="C789" s="103"/>
      <c r="D789" s="92">
        <v>0.110306</v>
      </c>
      <c r="E789" s="93">
        <v>0.14937</v>
      </c>
      <c r="F789" s="94">
        <f t="shared" si="133"/>
        <v>21.96</v>
      </c>
      <c r="H789" s="95">
        <v>162.137</v>
      </c>
      <c r="I789" s="96">
        <v>0.14937</v>
      </c>
      <c r="J789" s="97">
        <f t="shared" si="134"/>
        <v>24.22</v>
      </c>
      <c r="L789" s="98">
        <v>128.31800000000001</v>
      </c>
      <c r="M789" s="99">
        <v>0.14937</v>
      </c>
      <c r="N789" s="100">
        <f t="shared" si="135"/>
        <v>19.170000000000002</v>
      </c>
      <c r="O789" s="105" t="s">
        <v>621</v>
      </c>
      <c r="AA789">
        <v>113.91800000000001</v>
      </c>
    </row>
    <row r="790" spans="1:30" x14ac:dyDescent="0.2">
      <c r="A790" s="89" t="s">
        <v>139</v>
      </c>
      <c r="B790" s="90">
        <v>1</v>
      </c>
      <c r="C790" s="91">
        <f>$N$782-$L$782+1</f>
        <v>30</v>
      </c>
      <c r="D790" s="92">
        <v>0.79890000000000005</v>
      </c>
      <c r="E790" s="93">
        <v>4</v>
      </c>
      <c r="F790" s="94">
        <f t="shared" si="133"/>
        <v>4</v>
      </c>
      <c r="H790" s="95">
        <v>1</v>
      </c>
      <c r="I790" s="96">
        <v>4</v>
      </c>
      <c r="J790" s="97">
        <f t="shared" si="134"/>
        <v>4</v>
      </c>
      <c r="L790" s="98">
        <v>1</v>
      </c>
      <c r="M790" s="99">
        <v>4</v>
      </c>
      <c r="N790" s="100">
        <f t="shared" si="135"/>
        <v>4</v>
      </c>
    </row>
    <row r="791" spans="1:30" x14ac:dyDescent="0.2">
      <c r="A791" s="89" t="s">
        <v>140</v>
      </c>
      <c r="B791" s="90">
        <v>30</v>
      </c>
      <c r="C791" s="91">
        <f>$N$782-$L$782+1</f>
        <v>30</v>
      </c>
      <c r="D791" s="92">
        <v>0.5736</v>
      </c>
      <c r="E791" s="93">
        <v>1.274E-2</v>
      </c>
      <c r="F791" s="94">
        <f t="shared" si="133"/>
        <v>0.38</v>
      </c>
      <c r="H791" s="95">
        <v>30</v>
      </c>
      <c r="I791" s="96">
        <v>1.274E-2</v>
      </c>
      <c r="J791" s="97">
        <f t="shared" si="134"/>
        <v>0.38</v>
      </c>
      <c r="L791" s="98">
        <v>30</v>
      </c>
      <c r="M791" s="99">
        <v>6.2899999999999996E-3</v>
      </c>
      <c r="N791" s="100">
        <f t="shared" si="135"/>
        <v>0.19</v>
      </c>
    </row>
    <row r="792" spans="1:30" x14ac:dyDescent="0.2">
      <c r="A792" s="89" t="s">
        <v>141</v>
      </c>
      <c r="B792" s="90">
        <v>2.61</v>
      </c>
      <c r="C792" s="103"/>
      <c r="D792" s="92">
        <v>0.24729000000000001</v>
      </c>
      <c r="E792" s="93">
        <v>1</v>
      </c>
      <c r="F792" s="94">
        <f t="shared" si="133"/>
        <v>2.61</v>
      </c>
      <c r="H792" s="95">
        <v>4.22</v>
      </c>
      <c r="I792" s="96">
        <v>1</v>
      </c>
      <c r="J792" s="97">
        <f t="shared" si="134"/>
        <v>4.22</v>
      </c>
      <c r="L792" s="98">
        <v>2.83</v>
      </c>
      <c r="M792" s="99">
        <v>1</v>
      </c>
      <c r="N792" s="100">
        <f t="shared" si="135"/>
        <v>2.83</v>
      </c>
    </row>
    <row r="793" spans="1:30" x14ac:dyDescent="0.2">
      <c r="A793" s="106" t="s">
        <v>142</v>
      </c>
      <c r="F793" s="107">
        <f>ROUND((SUM(F785:F792)-F792)*1.1+F792,2)</f>
        <v>113.24</v>
      </c>
      <c r="J793" s="108">
        <f>ROUND(SUM(J785:J792),2)</f>
        <v>113.95</v>
      </c>
      <c r="N793" s="109">
        <f>ROUND(SUM(N785:N792),2)</f>
        <v>95.77</v>
      </c>
    </row>
    <row r="794" spans="1:30" x14ac:dyDescent="0.2">
      <c r="A794" s="78" t="s">
        <v>143</v>
      </c>
      <c r="B794" s="110">
        <f>IF((F789+F788+F787+F785+F786)=0,"",((F789+F788+F787+F785+F786)-$AB$787)/(F789+F788+F787+F785+F786))</f>
        <v>0.29998179066431035</v>
      </c>
      <c r="D794" s="139" t="str">
        <f>IF(B794="","SIN PC",IF(B794&gt;=0.3,"APROBAR",IF(B794&gt;=0.2,"REVISAR","RECHAZAR")))</f>
        <v>REVISAR</v>
      </c>
      <c r="E794" s="139"/>
      <c r="F794" s="139"/>
      <c r="AD794">
        <f>SUM(F787:F789)-35.0461</f>
        <v>10.183900000000001</v>
      </c>
    </row>
    <row r="795" spans="1:30" x14ac:dyDescent="0.2">
      <c r="A795" s="140" t="s">
        <v>743</v>
      </c>
      <c r="B795" s="140"/>
      <c r="C795" s="140"/>
      <c r="D795" s="140"/>
      <c r="E795" s="140"/>
      <c r="F795" s="140"/>
    </row>
    <row r="796" spans="1:30" x14ac:dyDescent="0.2">
      <c r="A796" s="111" t="s">
        <v>111</v>
      </c>
      <c r="B796" s="111" t="s">
        <v>744</v>
      </c>
      <c r="D796" s="111" t="s">
        <v>745</v>
      </c>
      <c r="E796" s="111" t="s">
        <v>746</v>
      </c>
      <c r="F796" s="111" t="s">
        <v>120</v>
      </c>
    </row>
    <row r="797" spans="1:30" x14ac:dyDescent="0.2">
      <c r="A797" s="112" t="s">
        <v>747</v>
      </c>
      <c r="B797" s="113">
        <v>822</v>
      </c>
      <c r="C797" s="114"/>
      <c r="D797" s="92">
        <v>0.06</v>
      </c>
      <c r="E797" s="114"/>
      <c r="F797" s="115">
        <f>ROUND(B797*D797,2)</f>
        <v>49.32</v>
      </c>
    </row>
    <row r="798" spans="1:30" x14ac:dyDescent="0.2">
      <c r="A798" s="112" t="s">
        <v>748</v>
      </c>
      <c r="B798" s="114"/>
      <c r="C798" s="114"/>
      <c r="D798" s="114"/>
      <c r="E798" s="116">
        <v>0.06</v>
      </c>
      <c r="F798" s="115">
        <v>35.049999999999997</v>
      </c>
    </row>
    <row r="799" spans="1:30" x14ac:dyDescent="0.2">
      <c r="A799" s="117" t="s">
        <v>749</v>
      </c>
      <c r="B799" s="114"/>
      <c r="C799" s="114"/>
      <c r="D799" s="114"/>
      <c r="E799" s="114"/>
      <c r="F799" s="118">
        <f>F797-F798</f>
        <v>14.270000000000003</v>
      </c>
    </row>
    <row r="801" spans="1:30" x14ac:dyDescent="0.2">
      <c r="A801" s="137" t="s">
        <v>1001</v>
      </c>
      <c r="B801" s="137"/>
      <c r="C801" s="137"/>
      <c r="D801" s="137"/>
      <c r="E801" s="137"/>
      <c r="F801" s="137"/>
      <c r="H801" s="137" t="s">
        <v>1002</v>
      </c>
      <c r="I801" s="137"/>
      <c r="J801" s="137"/>
      <c r="K801" s="137"/>
      <c r="L801" s="76">
        <v>46113</v>
      </c>
      <c r="M801" s="77" t="s">
        <v>607</v>
      </c>
      <c r="N801" s="76">
        <v>46142</v>
      </c>
      <c r="R801" s="138" t="s">
        <v>110</v>
      </c>
      <c r="S801" s="138"/>
      <c r="T801" s="138"/>
      <c r="U801" s="138"/>
      <c r="V801" s="138"/>
    </row>
    <row r="802" spans="1:30" x14ac:dyDescent="0.2">
      <c r="A802" s="78" t="s">
        <v>111</v>
      </c>
      <c r="B802" s="79" t="s">
        <v>112</v>
      </c>
      <c r="C802" s="80"/>
      <c r="D802" s="80"/>
      <c r="E802" s="80"/>
      <c r="F802" s="80"/>
      <c r="H802" s="81" t="s">
        <v>1003</v>
      </c>
      <c r="I802" s="82"/>
      <c r="J802" s="82"/>
      <c r="L802" s="83" t="s">
        <v>1004</v>
      </c>
      <c r="M802" s="84"/>
      <c r="N802" s="84"/>
      <c r="R802" s="85" t="s">
        <v>1005</v>
      </c>
    </row>
    <row r="803" spans="1:30" x14ac:dyDescent="0.2">
      <c r="B803" s="68" t="s">
        <v>116</v>
      </c>
      <c r="C803" s="68" t="s">
        <v>117</v>
      </c>
      <c r="D803" s="68" t="s">
        <v>118</v>
      </c>
      <c r="E803" s="68" t="s">
        <v>119</v>
      </c>
      <c r="F803" s="68" t="s">
        <v>120</v>
      </c>
      <c r="H803" s="86" t="s">
        <v>116</v>
      </c>
      <c r="I803" s="86" t="s">
        <v>119</v>
      </c>
      <c r="J803" s="86" t="s">
        <v>120</v>
      </c>
      <c r="L803" s="87" t="s">
        <v>116</v>
      </c>
      <c r="M803" s="87" t="s">
        <v>119</v>
      </c>
      <c r="N803" s="87" t="s">
        <v>120</v>
      </c>
      <c r="R803" s="88" t="s">
        <v>1006</v>
      </c>
    </row>
    <row r="804" spans="1:30" x14ac:dyDescent="0.2">
      <c r="A804" s="89" t="s">
        <v>122</v>
      </c>
      <c r="B804" s="90">
        <v>5.5</v>
      </c>
      <c r="C804" s="91">
        <f>$N$801-$L$801+1</f>
        <v>30</v>
      </c>
      <c r="D804" s="92">
        <v>3.4085999999999999</v>
      </c>
      <c r="E804" s="93">
        <v>4.17</v>
      </c>
      <c r="F804" s="94">
        <f t="shared" ref="F804:F811" si="136">ROUND(B804*E804,2)</f>
        <v>22.94</v>
      </c>
      <c r="H804" s="95">
        <v>5.5</v>
      </c>
      <c r="I804" s="96">
        <v>4.17</v>
      </c>
      <c r="J804" s="97">
        <f t="shared" ref="J804:J811" si="137">ROUND(H804*I804,2)</f>
        <v>22.94</v>
      </c>
      <c r="L804" s="98">
        <v>5.5</v>
      </c>
      <c r="M804" s="99">
        <v>4.17</v>
      </c>
      <c r="N804" s="100">
        <f t="shared" ref="N804:N811" si="138">ROUND(L804*M804,2)</f>
        <v>22.94</v>
      </c>
      <c r="R804" s="101" t="s">
        <v>1007</v>
      </c>
    </row>
    <row r="805" spans="1:30" x14ac:dyDescent="0.2">
      <c r="A805" s="89" t="s">
        <v>124</v>
      </c>
      <c r="B805" s="90">
        <v>5.5</v>
      </c>
      <c r="C805" s="91">
        <f>$N$801-$L$801+1</f>
        <v>30</v>
      </c>
      <c r="D805" s="92">
        <v>1.09728</v>
      </c>
      <c r="E805" s="93">
        <v>1.37</v>
      </c>
      <c r="F805" s="94">
        <f t="shared" si="136"/>
        <v>7.54</v>
      </c>
      <c r="H805" s="95">
        <v>5.5</v>
      </c>
      <c r="I805" s="96">
        <v>1.37</v>
      </c>
      <c r="J805" s="97">
        <f t="shared" si="137"/>
        <v>7.54</v>
      </c>
      <c r="L805" s="98">
        <v>5.5</v>
      </c>
      <c r="M805" s="99">
        <v>1.37</v>
      </c>
      <c r="N805" s="100">
        <f t="shared" si="138"/>
        <v>7.54</v>
      </c>
      <c r="R805" s="102" t="s">
        <v>1008</v>
      </c>
    </row>
    <row r="806" spans="1:30" x14ac:dyDescent="0.2">
      <c r="A806" s="89" t="s">
        <v>614</v>
      </c>
      <c r="B806" s="90">
        <f>IF($P$806&lt;&gt;"",ROUND(AA806*(($AB$806/(1-$P$806))-30.47)/15.6756,2),IF('Resumen 2.0TD'!$D$3="OPTIMIZAR",ROUND(MAX(AA806,MIN(AA806*(($AB$806/(1-'Resumen 2.0TD'!$F$3))-30.47)/15.6756,AA806*(99.0778)/15.6756)),3),AA806))</f>
        <v>62.981999999999999</v>
      </c>
      <c r="C806" s="103"/>
      <c r="D806" s="92">
        <v>0.110306</v>
      </c>
      <c r="E806" s="93">
        <v>0.14937</v>
      </c>
      <c r="F806" s="94">
        <f t="shared" si="136"/>
        <v>9.41</v>
      </c>
      <c r="H806" s="95">
        <v>35.292999999999999</v>
      </c>
      <c r="I806" s="96">
        <v>0.14937</v>
      </c>
      <c r="J806" s="97">
        <f t="shared" si="137"/>
        <v>5.27</v>
      </c>
      <c r="L806" s="98">
        <v>62.841000000000001</v>
      </c>
      <c r="M806" s="99">
        <v>0.14937</v>
      </c>
      <c r="N806" s="100">
        <f t="shared" si="138"/>
        <v>9.39</v>
      </c>
      <c r="O806" s="104" t="s">
        <v>615</v>
      </c>
      <c r="P806" s="67"/>
      <c r="R806" s="102" t="s">
        <v>1009</v>
      </c>
      <c r="AA806">
        <v>45.982999999999997</v>
      </c>
      <c r="AB806">
        <f>B804*D804+B805*D805+AA806*D806+AA807*D807+AA808*D808</f>
        <v>36.358403169999995</v>
      </c>
    </row>
    <row r="807" spans="1:30" x14ac:dyDescent="0.2">
      <c r="A807" s="89" t="s">
        <v>617</v>
      </c>
      <c r="B807" s="90">
        <f>IF($P$806&lt;&gt;"",ROUND(AA807*(($AB$806/(1-$P$806))-30.47)/15.6756,2),IF('Resumen 2.0TD'!$D$3="OPTIMIZAR",ROUND(MAX(AA807,MIN(AA807*(($AB$806/(1-'Resumen 2.0TD'!$F$3))-30.47)/15.6756,AA807*(99.0778)/15.6756)),3),AA807))</f>
        <v>28.707000000000001</v>
      </c>
      <c r="C807" s="103"/>
      <c r="D807" s="92">
        <v>0.110306</v>
      </c>
      <c r="E807" s="93">
        <v>0.14937</v>
      </c>
      <c r="F807" s="94">
        <f t="shared" si="136"/>
        <v>4.29</v>
      </c>
      <c r="H807" s="95">
        <v>8.875</v>
      </c>
      <c r="I807" s="96">
        <v>0.14937</v>
      </c>
      <c r="J807" s="97">
        <f t="shared" si="137"/>
        <v>1.33</v>
      </c>
      <c r="L807" s="98">
        <v>47.220999999999997</v>
      </c>
      <c r="M807" s="99">
        <v>0.14937</v>
      </c>
      <c r="N807" s="100">
        <f t="shared" si="138"/>
        <v>7.05</v>
      </c>
      <c r="O807" s="105" t="s">
        <v>618</v>
      </c>
      <c r="R807" s="102" t="s">
        <v>619</v>
      </c>
      <c r="AA807">
        <v>20.959</v>
      </c>
    </row>
    <row r="808" spans="1:30" x14ac:dyDescent="0.2">
      <c r="A808" s="89" t="s">
        <v>620</v>
      </c>
      <c r="B808" s="90">
        <f>IF($P$806&lt;&gt;"",ROUND(AA808*(($AB$806/(1-$P$806))-30.47)/15.6756,2),IF('Resumen 2.0TD'!$D$3="OPTIMIZAR",ROUND(MAX(AA808,MIN(AA808*(($AB$806/(1-'Resumen 2.0TD'!$F$3))-30.47)/15.6756,AA808*(99.0778)/15.6756)),3),AA808))</f>
        <v>52.052</v>
      </c>
      <c r="C808" s="103"/>
      <c r="D808" s="92">
        <v>0.110306</v>
      </c>
      <c r="E808" s="93">
        <v>0.14937</v>
      </c>
      <c r="F808" s="94">
        <f t="shared" si="136"/>
        <v>7.78</v>
      </c>
      <c r="H808" s="95">
        <v>47.621000000000002</v>
      </c>
      <c r="I808" s="96">
        <v>0.14937</v>
      </c>
      <c r="J808" s="97">
        <f t="shared" si="137"/>
        <v>7.11</v>
      </c>
      <c r="L808" s="98">
        <v>112.94199999999999</v>
      </c>
      <c r="M808" s="99">
        <v>0.14937</v>
      </c>
      <c r="N808" s="100">
        <f t="shared" si="138"/>
        <v>16.87</v>
      </c>
      <c r="O808" s="105" t="s">
        <v>621</v>
      </c>
      <c r="AA808">
        <v>38.003</v>
      </c>
    </row>
    <row r="809" spans="1:30" x14ac:dyDescent="0.2">
      <c r="A809" s="89" t="s">
        <v>139</v>
      </c>
      <c r="B809" s="90">
        <v>1</v>
      </c>
      <c r="C809" s="91">
        <f>$N$801-$L$801+1</f>
        <v>30</v>
      </c>
      <c r="D809" s="92">
        <v>0.79890000000000005</v>
      </c>
      <c r="E809" s="93">
        <v>4</v>
      </c>
      <c r="F809" s="94">
        <f t="shared" si="136"/>
        <v>4</v>
      </c>
      <c r="H809" s="95">
        <v>1</v>
      </c>
      <c r="I809" s="96">
        <v>4</v>
      </c>
      <c r="J809" s="97">
        <f t="shared" si="137"/>
        <v>4</v>
      </c>
      <c r="L809" s="98">
        <v>1</v>
      </c>
      <c r="M809" s="99">
        <v>4</v>
      </c>
      <c r="N809" s="100">
        <f t="shared" si="138"/>
        <v>4</v>
      </c>
    </row>
    <row r="810" spans="1:30" x14ac:dyDescent="0.2">
      <c r="A810" s="89" t="s">
        <v>140</v>
      </c>
      <c r="B810" s="90">
        <v>30</v>
      </c>
      <c r="C810" s="91">
        <f>$N$801-$L$801+1</f>
        <v>30</v>
      </c>
      <c r="D810" s="92">
        <v>0.5736</v>
      </c>
      <c r="E810" s="93">
        <v>1.274E-2</v>
      </c>
      <c r="F810" s="94">
        <f t="shared" si="136"/>
        <v>0.38</v>
      </c>
      <c r="H810" s="95">
        <v>30</v>
      </c>
      <c r="I810" s="96">
        <v>1.274E-2</v>
      </c>
      <c r="J810" s="97">
        <f t="shared" si="137"/>
        <v>0.38</v>
      </c>
      <c r="L810" s="98">
        <v>30</v>
      </c>
      <c r="M810" s="99">
        <v>6.2899999999999996E-3</v>
      </c>
      <c r="N810" s="100">
        <f t="shared" si="138"/>
        <v>0.19</v>
      </c>
    </row>
    <row r="811" spans="1:30" x14ac:dyDescent="0.2">
      <c r="A811" s="89" t="s">
        <v>141</v>
      </c>
      <c r="B811" s="90">
        <v>1.57</v>
      </c>
      <c r="C811" s="103"/>
      <c r="D811" s="92">
        <v>0.24729000000000001</v>
      </c>
      <c r="E811" s="93">
        <v>1</v>
      </c>
      <c r="F811" s="94">
        <f t="shared" si="136"/>
        <v>1.57</v>
      </c>
      <c r="H811" s="95">
        <v>1.57</v>
      </c>
      <c r="I811" s="96">
        <v>1</v>
      </c>
      <c r="J811" s="97">
        <f t="shared" si="137"/>
        <v>1.57</v>
      </c>
      <c r="L811" s="98">
        <v>2.56</v>
      </c>
      <c r="M811" s="99">
        <v>1</v>
      </c>
      <c r="N811" s="100">
        <f t="shared" si="138"/>
        <v>2.56</v>
      </c>
    </row>
    <row r="812" spans="1:30" x14ac:dyDescent="0.2">
      <c r="A812" s="106" t="s">
        <v>142</v>
      </c>
      <c r="F812" s="107">
        <f>ROUND((SUM(F804:F811)-F811)*1.1+F811,2)</f>
        <v>63.54</v>
      </c>
      <c r="J812" s="108">
        <f>ROUND(SUM(J804:J811),2)</f>
        <v>50.14</v>
      </c>
      <c r="N812" s="109">
        <f>ROUND(SUM(N804:N811),2)</f>
        <v>70.540000000000006</v>
      </c>
    </row>
    <row r="813" spans="1:30" x14ac:dyDescent="0.2">
      <c r="A813" s="78" t="s">
        <v>143</v>
      </c>
      <c r="B813" s="110">
        <f>IF((F808+F807+F806+F804+F805)=0,"",((F808+F807+F806+F804+F805)-$AB$806)/(F808+F807+F806+F804+F805))</f>
        <v>0.30026167879137811</v>
      </c>
      <c r="D813" s="139" t="str">
        <f>IF(B813="","SIN PC",IF(B813&gt;=0.3,"APROBAR",IF(B813&gt;=0.2,"REVISAR","RECHAZAR")))</f>
        <v>APROBAR</v>
      </c>
      <c r="E813" s="139"/>
      <c r="F813" s="139"/>
      <c r="AD813">
        <f>SUM(F806:F808)-15.6756</f>
        <v>5.8044000000000011</v>
      </c>
    </row>
    <row r="814" spans="1:30" x14ac:dyDescent="0.2">
      <c r="A814" s="140" t="s">
        <v>743</v>
      </c>
      <c r="B814" s="140"/>
      <c r="C814" s="140"/>
      <c r="D814" s="140"/>
      <c r="E814" s="140"/>
      <c r="F814" s="140"/>
    </row>
    <row r="815" spans="1:30" x14ac:dyDescent="0.2">
      <c r="A815" s="111" t="s">
        <v>111</v>
      </c>
      <c r="B815" s="111" t="s">
        <v>744</v>
      </c>
      <c r="D815" s="111" t="s">
        <v>745</v>
      </c>
      <c r="E815" s="111" t="s">
        <v>746</v>
      </c>
      <c r="F815" s="111" t="s">
        <v>120</v>
      </c>
    </row>
    <row r="816" spans="1:30" x14ac:dyDescent="0.2">
      <c r="A816" s="112" t="s">
        <v>747</v>
      </c>
      <c r="B816" s="113">
        <v>389</v>
      </c>
      <c r="C816" s="114"/>
      <c r="D816" s="92">
        <v>0.06</v>
      </c>
      <c r="E816" s="114"/>
      <c r="F816" s="115">
        <f>ROUND(B816*D816,2)</f>
        <v>23.34</v>
      </c>
    </row>
    <row r="817" spans="1:30" x14ac:dyDescent="0.2">
      <c r="A817" s="112" t="s">
        <v>748</v>
      </c>
      <c r="B817" s="114"/>
      <c r="C817" s="114"/>
      <c r="D817" s="114"/>
      <c r="E817" s="116">
        <v>0.06</v>
      </c>
      <c r="F817" s="115">
        <v>15.68</v>
      </c>
    </row>
    <row r="818" spans="1:30" x14ac:dyDescent="0.2">
      <c r="A818" s="117" t="s">
        <v>749</v>
      </c>
      <c r="B818" s="114"/>
      <c r="C818" s="114"/>
      <c r="D818" s="114"/>
      <c r="E818" s="114"/>
      <c r="F818" s="118">
        <f>F816-F817</f>
        <v>7.66</v>
      </c>
    </row>
    <row r="820" spans="1:30" x14ac:dyDescent="0.2">
      <c r="A820" s="137" t="s">
        <v>1010</v>
      </c>
      <c r="B820" s="137"/>
      <c r="C820" s="137"/>
      <c r="D820" s="137"/>
      <c r="E820" s="137"/>
      <c r="F820" s="137"/>
      <c r="H820" s="137" t="s">
        <v>809</v>
      </c>
      <c r="I820" s="137"/>
      <c r="J820" s="137"/>
      <c r="K820" s="137"/>
      <c r="L820" s="76">
        <v>46113</v>
      </c>
      <c r="M820" s="77" t="s">
        <v>607</v>
      </c>
      <c r="N820" s="76">
        <v>46142</v>
      </c>
      <c r="R820" s="138" t="s">
        <v>110</v>
      </c>
      <c r="S820" s="138"/>
      <c r="T820" s="138"/>
      <c r="U820" s="138"/>
      <c r="V820" s="138"/>
    </row>
    <row r="821" spans="1:30" x14ac:dyDescent="0.2">
      <c r="A821" s="78" t="s">
        <v>111</v>
      </c>
      <c r="B821" s="79" t="s">
        <v>112</v>
      </c>
      <c r="C821" s="80"/>
      <c r="D821" s="80"/>
      <c r="E821" s="80"/>
      <c r="F821" s="80"/>
      <c r="H821" s="81" t="s">
        <v>810</v>
      </c>
      <c r="I821" s="82"/>
      <c r="J821" s="82"/>
      <c r="L821" s="83" t="s">
        <v>811</v>
      </c>
      <c r="M821" s="84"/>
      <c r="N821" s="84"/>
      <c r="R821" s="85" t="s">
        <v>812</v>
      </c>
    </row>
    <row r="822" spans="1:30" x14ac:dyDescent="0.2">
      <c r="B822" s="68" t="s">
        <v>116</v>
      </c>
      <c r="C822" s="68" t="s">
        <v>117</v>
      </c>
      <c r="D822" s="68" t="s">
        <v>118</v>
      </c>
      <c r="E822" s="68" t="s">
        <v>119</v>
      </c>
      <c r="F822" s="68" t="s">
        <v>120</v>
      </c>
      <c r="H822" s="86" t="s">
        <v>116</v>
      </c>
      <c r="I822" s="86" t="s">
        <v>119</v>
      </c>
      <c r="J822" s="86" t="s">
        <v>120</v>
      </c>
      <c r="L822" s="87" t="s">
        <v>116</v>
      </c>
      <c r="M822" s="87" t="s">
        <v>119</v>
      </c>
      <c r="N822" s="87" t="s">
        <v>120</v>
      </c>
      <c r="R822" s="88" t="s">
        <v>813</v>
      </c>
    </row>
    <row r="823" spans="1:30" x14ac:dyDescent="0.2">
      <c r="A823" s="89" t="s">
        <v>122</v>
      </c>
      <c r="B823" s="90">
        <v>4.9000000000000004</v>
      </c>
      <c r="C823" s="91">
        <f>$N$820-$L$820+1</f>
        <v>30</v>
      </c>
      <c r="D823" s="92">
        <v>3.4085999999999999</v>
      </c>
      <c r="E823" s="93">
        <v>3.85</v>
      </c>
      <c r="F823" s="94">
        <f t="shared" ref="F823:F830" si="139">ROUND(B823*E823,2)</f>
        <v>18.87</v>
      </c>
      <c r="H823" s="95">
        <v>4.9000000000000004</v>
      </c>
      <c r="I823" s="96">
        <v>3.85</v>
      </c>
      <c r="J823" s="97">
        <f t="shared" ref="J823:J830" si="140">ROUND(H823*I823,2)</f>
        <v>18.87</v>
      </c>
      <c r="L823" s="98">
        <v>4.9000000000000004</v>
      </c>
      <c r="M823" s="99">
        <v>3.85</v>
      </c>
      <c r="N823" s="100">
        <f t="shared" ref="N823:N830" si="141">ROUND(L823*M823,2)</f>
        <v>18.87</v>
      </c>
      <c r="R823" s="101" t="s">
        <v>814</v>
      </c>
    </row>
    <row r="824" spans="1:30" x14ac:dyDescent="0.2">
      <c r="A824" s="89" t="s">
        <v>124</v>
      </c>
      <c r="B824" s="90">
        <v>4.9000000000000004</v>
      </c>
      <c r="C824" s="91">
        <f>$N$820-$L$820+1</f>
        <v>30</v>
      </c>
      <c r="D824" s="92">
        <v>1.09728</v>
      </c>
      <c r="E824" s="93">
        <v>1.33</v>
      </c>
      <c r="F824" s="94">
        <f t="shared" si="139"/>
        <v>6.52</v>
      </c>
      <c r="H824" s="95">
        <v>4.9000000000000004</v>
      </c>
      <c r="I824" s="96">
        <v>1.33</v>
      </c>
      <c r="J824" s="97">
        <f t="shared" si="140"/>
        <v>6.52</v>
      </c>
      <c r="L824" s="98">
        <v>4.9000000000000004</v>
      </c>
      <c r="M824" s="99">
        <v>1.33</v>
      </c>
      <c r="N824" s="100">
        <f t="shared" si="141"/>
        <v>6.52</v>
      </c>
      <c r="R824" s="102" t="s">
        <v>815</v>
      </c>
    </row>
    <row r="825" spans="1:30" x14ac:dyDescent="0.2">
      <c r="A825" s="89" t="s">
        <v>614</v>
      </c>
      <c r="B825" s="90">
        <f>IF($P$825&lt;&gt;"",ROUND(AA825*(($AB$825/(1-$P$825))-25.382)/1.3591,2),IF('Resumen 2.0TD'!$D$3="OPTIMIZAR",ROUND(MAX(AA825,MIN(AA825*(($AB$825/(1-'Resumen 2.0TD'!$F$3))-25.382)/1.3591,AA825*(37.4458)/1.3591)),3),AA825))</f>
        <v>20.434000000000001</v>
      </c>
      <c r="C825" s="103"/>
      <c r="D825" s="92">
        <v>0.110306</v>
      </c>
      <c r="E825" s="93">
        <v>0.13788</v>
      </c>
      <c r="F825" s="94">
        <f t="shared" si="139"/>
        <v>2.82</v>
      </c>
      <c r="H825" s="95">
        <v>0.79600000000000004</v>
      </c>
      <c r="I825" s="96">
        <v>0.13788</v>
      </c>
      <c r="J825" s="97">
        <f t="shared" si="140"/>
        <v>0.11</v>
      </c>
      <c r="L825" s="98">
        <v>1.331</v>
      </c>
      <c r="M825" s="99">
        <v>0.13788</v>
      </c>
      <c r="N825" s="100">
        <f t="shared" si="141"/>
        <v>0.18</v>
      </c>
      <c r="O825" s="104" t="s">
        <v>615</v>
      </c>
      <c r="P825" s="67"/>
      <c r="R825" s="102" t="s">
        <v>816</v>
      </c>
      <c r="AA825">
        <v>3.601</v>
      </c>
      <c r="AB825">
        <f>B823*D823+B824*D824+AA825*D825+AA826*D826+AA827*D827</f>
        <v>23.166098242</v>
      </c>
    </row>
    <row r="826" spans="1:30" x14ac:dyDescent="0.2">
      <c r="A826" s="89" t="s">
        <v>617</v>
      </c>
      <c r="B826" s="90">
        <f>IF($P$825&lt;&gt;"",ROUND(AA826*(($AB$825/(1-$P$825))-25.382)/1.3591,2),IF('Resumen 2.0TD'!$D$3="OPTIMIZAR",ROUND(MAX(AA826,MIN(AA826*(($AB$825/(1-'Resumen 2.0TD'!$F$3))-25.382)/1.3591,AA826*(37.4458)/1.3591)),3),AA826))</f>
        <v>12.025</v>
      </c>
      <c r="C826" s="103"/>
      <c r="D826" s="92">
        <v>0.110306</v>
      </c>
      <c r="E826" s="93">
        <v>0.13788</v>
      </c>
      <c r="F826" s="94">
        <f t="shared" si="139"/>
        <v>1.66</v>
      </c>
      <c r="H826" s="95">
        <v>0.61699999999999999</v>
      </c>
      <c r="I826" s="96">
        <v>0.13788</v>
      </c>
      <c r="J826" s="97">
        <f t="shared" si="140"/>
        <v>0.09</v>
      </c>
      <c r="L826" s="98">
        <v>1.534</v>
      </c>
      <c r="M826" s="99">
        <v>0.13788</v>
      </c>
      <c r="N826" s="100">
        <f t="shared" si="141"/>
        <v>0.21</v>
      </c>
      <c r="O826" s="105" t="s">
        <v>618</v>
      </c>
      <c r="R826" s="102" t="s">
        <v>619</v>
      </c>
      <c r="AA826">
        <v>2.1190000000000002</v>
      </c>
    </row>
    <row r="827" spans="1:30" x14ac:dyDescent="0.2">
      <c r="A827" s="89" t="s">
        <v>620</v>
      </c>
      <c r="B827" s="90">
        <f>IF($P$825&lt;&gt;"",ROUND(AA827*(($AB$825/(1-$P$825))-25.382)/1.3591,2),IF('Resumen 2.0TD'!$D$3="OPTIMIZAR",ROUND(MAX(AA827,MIN(AA827*(($AB$825/(1-'Resumen 2.0TD'!$F$3))-25.382)/1.3591,AA827*(37.4458)/1.3591)),3),AA827))</f>
        <v>23.475999999999999</v>
      </c>
      <c r="C827" s="103"/>
      <c r="D827" s="92">
        <v>0.110306</v>
      </c>
      <c r="E827" s="93">
        <v>0.13788</v>
      </c>
      <c r="F827" s="94">
        <f t="shared" si="139"/>
        <v>3.24</v>
      </c>
      <c r="H827" s="95">
        <v>5.0359999999999996</v>
      </c>
      <c r="I827" s="96">
        <v>0.13788</v>
      </c>
      <c r="J827" s="97">
        <f t="shared" si="140"/>
        <v>0.69</v>
      </c>
      <c r="L827" s="98">
        <v>12.478999999999999</v>
      </c>
      <c r="M827" s="99">
        <v>0.13788</v>
      </c>
      <c r="N827" s="100">
        <f t="shared" si="141"/>
        <v>1.72</v>
      </c>
      <c r="O827" s="105" t="s">
        <v>621</v>
      </c>
      <c r="AA827">
        <v>4.1369999999999996</v>
      </c>
    </row>
    <row r="828" spans="1:30" x14ac:dyDescent="0.2">
      <c r="A828" s="89" t="s">
        <v>139</v>
      </c>
      <c r="B828" s="90">
        <v>1</v>
      </c>
      <c r="C828" s="91">
        <f>$N$820-$L$820+1</f>
        <v>30</v>
      </c>
      <c r="D828" s="92">
        <v>1.3413999999999999</v>
      </c>
      <c r="E828" s="93">
        <v>3</v>
      </c>
      <c r="F828" s="94">
        <f t="shared" si="139"/>
        <v>3</v>
      </c>
      <c r="H828" s="95">
        <v>1</v>
      </c>
      <c r="I828" s="96">
        <v>3</v>
      </c>
      <c r="J828" s="97">
        <f t="shared" si="140"/>
        <v>3</v>
      </c>
      <c r="L828" s="98">
        <v>1</v>
      </c>
      <c r="M828" s="99">
        <v>3</v>
      </c>
      <c r="N828" s="100">
        <f t="shared" si="141"/>
        <v>3</v>
      </c>
    </row>
    <row r="829" spans="1:30" x14ac:dyDescent="0.2">
      <c r="A829" s="89" t="s">
        <v>140</v>
      </c>
      <c r="B829" s="90">
        <v>30</v>
      </c>
      <c r="C829" s="91">
        <f>$N$820-$L$820+1</f>
        <v>30</v>
      </c>
      <c r="D829" s="92">
        <v>0.5736</v>
      </c>
      <c r="E829" s="93">
        <v>1.274E-2</v>
      </c>
      <c r="F829" s="94">
        <f t="shared" si="139"/>
        <v>0.38</v>
      </c>
      <c r="H829" s="95">
        <v>30</v>
      </c>
      <c r="I829" s="96">
        <v>1.9120000000000002E-2</v>
      </c>
      <c r="J829" s="97">
        <f t="shared" si="140"/>
        <v>0.56999999999999995</v>
      </c>
      <c r="L829" s="98">
        <v>30</v>
      </c>
      <c r="M829" s="99">
        <v>6.2899999999999996E-3</v>
      </c>
      <c r="N829" s="100">
        <f t="shared" si="141"/>
        <v>0.19</v>
      </c>
    </row>
    <row r="830" spans="1:30" x14ac:dyDescent="0.2">
      <c r="A830" s="89" t="s">
        <v>141</v>
      </c>
      <c r="B830" s="90">
        <v>1.31</v>
      </c>
      <c r="C830" s="103"/>
      <c r="D830" s="92">
        <v>0.24729000000000001</v>
      </c>
      <c r="E830" s="93">
        <v>1</v>
      </c>
      <c r="F830" s="94">
        <f t="shared" si="139"/>
        <v>1.31</v>
      </c>
      <c r="H830" s="95">
        <v>1.31</v>
      </c>
      <c r="I830" s="96">
        <v>1</v>
      </c>
      <c r="J830" s="97">
        <f t="shared" si="140"/>
        <v>1.31</v>
      </c>
      <c r="L830" s="98">
        <v>1.31</v>
      </c>
      <c r="M830" s="99">
        <v>1</v>
      </c>
      <c r="N830" s="100">
        <f t="shared" si="141"/>
        <v>1.31</v>
      </c>
    </row>
    <row r="831" spans="1:30" x14ac:dyDescent="0.2">
      <c r="A831" s="106" t="s">
        <v>142</v>
      </c>
      <c r="F831" s="107">
        <f>ROUND((SUM(F823:F830)-F830)*1.1+F830,2)</f>
        <v>41.45</v>
      </c>
      <c r="J831" s="108">
        <f>ROUND(SUM(J823:J830),2)</f>
        <v>31.16</v>
      </c>
      <c r="N831" s="109">
        <f>ROUND(SUM(N823:N830),2)</f>
        <v>32</v>
      </c>
    </row>
    <row r="832" spans="1:30" x14ac:dyDescent="0.2">
      <c r="A832" s="78" t="s">
        <v>143</v>
      </c>
      <c r="B832" s="110">
        <f>IF((F827+F826+F825+F823+F824)=0,"",((F827+F826+F825+F823+F824)-$AB$825)/(F827+F826+F825+F823+F824))</f>
        <v>0.30032925877378436</v>
      </c>
      <c r="D832" s="139" t="str">
        <f>IF(B832="","SIN PC",IF(B832&gt;=0.3,"APROBAR",IF(B832&gt;=0.2,"REVISAR","RECHAZAR")))</f>
        <v>APROBAR</v>
      </c>
      <c r="E832" s="139"/>
      <c r="F832" s="139"/>
      <c r="AD832">
        <f>SUM(F825:F827)-1.3591</f>
        <v>6.3609</v>
      </c>
    </row>
    <row r="833" spans="1:28" x14ac:dyDescent="0.2">
      <c r="A833" s="140" t="s">
        <v>743</v>
      </c>
      <c r="B833" s="140"/>
      <c r="C833" s="140"/>
      <c r="D833" s="140"/>
      <c r="E833" s="140"/>
      <c r="F833" s="140"/>
    </row>
    <row r="834" spans="1:28" x14ac:dyDescent="0.2">
      <c r="A834" s="111" t="s">
        <v>111</v>
      </c>
      <c r="B834" s="111" t="s">
        <v>744</v>
      </c>
      <c r="D834" s="111" t="s">
        <v>745</v>
      </c>
      <c r="E834" s="111" t="s">
        <v>746</v>
      </c>
      <c r="F834" s="111" t="s">
        <v>120</v>
      </c>
    </row>
    <row r="835" spans="1:28" x14ac:dyDescent="0.2">
      <c r="A835" s="112" t="s">
        <v>747</v>
      </c>
      <c r="B835" s="113">
        <v>193</v>
      </c>
      <c r="C835" s="114"/>
      <c r="D835" s="92">
        <v>0.06</v>
      </c>
      <c r="E835" s="114"/>
      <c r="F835" s="115">
        <f>ROUND(B835*D835,2)</f>
        <v>11.58</v>
      </c>
    </row>
    <row r="836" spans="1:28" x14ac:dyDescent="0.2">
      <c r="A836" s="112" t="s">
        <v>748</v>
      </c>
      <c r="B836" s="114"/>
      <c r="C836" s="114"/>
      <c r="D836" s="114"/>
      <c r="E836" s="116">
        <v>0.1</v>
      </c>
      <c r="F836" s="115">
        <v>1.36</v>
      </c>
    </row>
    <row r="837" spans="1:28" x14ac:dyDescent="0.2">
      <c r="A837" s="117" t="s">
        <v>749</v>
      </c>
      <c r="B837" s="114"/>
      <c r="C837" s="114"/>
      <c r="D837" s="114"/>
      <c r="E837" s="114"/>
      <c r="F837" s="118">
        <f>F835-F836</f>
        <v>10.220000000000001</v>
      </c>
    </row>
    <row r="839" spans="1:28" x14ac:dyDescent="0.2">
      <c r="A839" s="137" t="s">
        <v>1011</v>
      </c>
      <c r="B839" s="137"/>
      <c r="C839" s="137"/>
      <c r="D839" s="137"/>
      <c r="E839" s="137"/>
      <c r="F839" s="137"/>
      <c r="H839" s="137" t="s">
        <v>1012</v>
      </c>
      <c r="I839" s="137"/>
      <c r="J839" s="137"/>
      <c r="K839" s="137"/>
      <c r="L839" s="76">
        <v>46113</v>
      </c>
      <c r="M839" s="77" t="s">
        <v>607</v>
      </c>
      <c r="N839" s="76">
        <v>46142</v>
      </c>
      <c r="R839" s="138" t="s">
        <v>110</v>
      </c>
      <c r="S839" s="138"/>
      <c r="T839" s="138"/>
      <c r="U839" s="138"/>
      <c r="V839" s="138"/>
    </row>
    <row r="840" spans="1:28" x14ac:dyDescent="0.2">
      <c r="A840" s="78" t="s">
        <v>111</v>
      </c>
      <c r="B840" s="79" t="s">
        <v>112</v>
      </c>
      <c r="C840" s="80"/>
      <c r="D840" s="80"/>
      <c r="E840" s="80"/>
      <c r="F840" s="80"/>
      <c r="H840" s="81" t="s">
        <v>1013</v>
      </c>
      <c r="I840" s="82"/>
      <c r="J840" s="82"/>
      <c r="L840" s="83" t="s">
        <v>1014</v>
      </c>
      <c r="M840" s="84"/>
      <c r="N840" s="84"/>
      <c r="R840" s="85" t="s">
        <v>1015</v>
      </c>
    </row>
    <row r="841" spans="1:28" x14ac:dyDescent="0.2">
      <c r="B841" s="68" t="s">
        <v>116</v>
      </c>
      <c r="C841" s="68" t="s">
        <v>117</v>
      </c>
      <c r="D841" s="68" t="s">
        <v>118</v>
      </c>
      <c r="E841" s="68" t="s">
        <v>119</v>
      </c>
      <c r="F841" s="68" t="s">
        <v>120</v>
      </c>
      <c r="H841" s="86" t="s">
        <v>116</v>
      </c>
      <c r="I841" s="86" t="s">
        <v>119</v>
      </c>
      <c r="J841" s="86" t="s">
        <v>120</v>
      </c>
      <c r="L841" s="87" t="s">
        <v>116</v>
      </c>
      <c r="M841" s="87" t="s">
        <v>119</v>
      </c>
      <c r="N841" s="87" t="s">
        <v>120</v>
      </c>
      <c r="R841" s="88" t="s">
        <v>1016</v>
      </c>
    </row>
    <row r="842" spans="1:28" x14ac:dyDescent="0.2">
      <c r="A842" s="89" t="s">
        <v>122</v>
      </c>
      <c r="B842" s="90">
        <v>10.391999999999999</v>
      </c>
      <c r="C842" s="91">
        <f>$N$839-$L$839+1</f>
        <v>30</v>
      </c>
      <c r="D842" s="92">
        <v>3.4085999999999999</v>
      </c>
      <c r="E842" s="93">
        <v>4.82</v>
      </c>
      <c r="F842" s="94">
        <f t="shared" ref="F842:F849" si="142">ROUND(B842*E842,2)</f>
        <v>50.09</v>
      </c>
      <c r="H842" s="95">
        <v>10.391999999999999</v>
      </c>
      <c r="I842" s="96">
        <v>4.82</v>
      </c>
      <c r="J842" s="97">
        <f t="shared" ref="J842:J849" si="143">ROUND(H842*I842,2)</f>
        <v>50.09</v>
      </c>
      <c r="L842" s="98">
        <v>10.391999999999999</v>
      </c>
      <c r="M842" s="99">
        <v>4.82</v>
      </c>
      <c r="N842" s="100">
        <f t="shared" ref="N842:N849" si="144">ROUND(L842*M842,2)</f>
        <v>50.09</v>
      </c>
      <c r="R842" s="101" t="s">
        <v>1017</v>
      </c>
    </row>
    <row r="843" spans="1:28" x14ac:dyDescent="0.2">
      <c r="A843" s="89" t="s">
        <v>124</v>
      </c>
      <c r="B843" s="90">
        <v>10.391999999999999</v>
      </c>
      <c r="C843" s="91">
        <f>$N$839-$L$839+1</f>
        <v>30</v>
      </c>
      <c r="D843" s="92">
        <v>1.09728</v>
      </c>
      <c r="E843" s="93">
        <v>2.3744000000000001</v>
      </c>
      <c r="F843" s="94">
        <f t="shared" si="142"/>
        <v>24.67</v>
      </c>
      <c r="H843" s="95">
        <v>10.391999999999999</v>
      </c>
      <c r="I843" s="96">
        <v>2.3744000000000001</v>
      </c>
      <c r="J843" s="97">
        <f t="shared" si="143"/>
        <v>24.67</v>
      </c>
      <c r="L843" s="98">
        <v>10.391999999999999</v>
      </c>
      <c r="M843" s="99">
        <v>2.3744000000000001</v>
      </c>
      <c r="N843" s="100">
        <f t="shared" si="144"/>
        <v>24.67</v>
      </c>
      <c r="R843" s="102" t="s">
        <v>1018</v>
      </c>
    </row>
    <row r="844" spans="1:28" x14ac:dyDescent="0.2">
      <c r="A844" s="89" t="s">
        <v>614</v>
      </c>
      <c r="B844" s="90">
        <f>IF($P$844&lt;&gt;"",ROUND(AA844*(($AB$844/(1-$P$844))-74.7642)/172.2702,2),IF('Resumen 2.0TD'!$D$3="OPTIMIZAR",ROUND(MAX(AA844,MIN(AA844*(($AB$844/(1-'Resumen 2.0TD'!$F$3))-74.7642)/172.2702,AA844*(377.5036)/172.2702)),3),AA844))</f>
        <v>248.72</v>
      </c>
      <c r="C844" s="103"/>
      <c r="D844" s="92">
        <v>0.110306</v>
      </c>
      <c r="E844" s="93">
        <v>0.1724</v>
      </c>
      <c r="F844" s="94">
        <f t="shared" si="142"/>
        <v>42.88</v>
      </c>
      <c r="H844" s="95">
        <v>307.62400000000002</v>
      </c>
      <c r="I844" s="96">
        <v>0.1724</v>
      </c>
      <c r="J844" s="97">
        <f t="shared" si="143"/>
        <v>53.03</v>
      </c>
      <c r="L844" s="98">
        <v>126.994</v>
      </c>
      <c r="M844" s="99">
        <v>0.1724</v>
      </c>
      <c r="N844" s="100">
        <f t="shared" si="144"/>
        <v>21.89</v>
      </c>
      <c r="O844" s="104" t="s">
        <v>615</v>
      </c>
      <c r="P844" s="67"/>
      <c r="R844" s="102" t="s">
        <v>1019</v>
      </c>
      <c r="AA844">
        <v>248.72</v>
      </c>
      <c r="AB844">
        <f>B842*D842+B843*D843+AA844*D844+AA845*D845+AA846*D846</f>
        <v>157.04804454200001</v>
      </c>
    </row>
    <row r="845" spans="1:28" x14ac:dyDescent="0.2">
      <c r="A845" s="89" t="s">
        <v>617</v>
      </c>
      <c r="B845" s="90">
        <f>IF($P$844&lt;&gt;"",ROUND(AA845*(($AB$844/(1-$P$844))-74.7642)/172.2702,2),IF('Resumen 2.0TD'!$D$3="OPTIMIZAR",ROUND(MAX(AA845,MIN(AA845*(($AB$844/(1-'Resumen 2.0TD'!$F$3))-74.7642)/172.2702,AA845*(377.5036)/172.2702)),3),AA845))</f>
        <v>127.873</v>
      </c>
      <c r="C845" s="103"/>
      <c r="D845" s="92">
        <v>0.110306</v>
      </c>
      <c r="E845" s="93">
        <v>0.1724</v>
      </c>
      <c r="F845" s="94">
        <f t="shared" si="142"/>
        <v>22.05</v>
      </c>
      <c r="H845" s="95">
        <v>184.631</v>
      </c>
      <c r="I845" s="96">
        <v>0.1724</v>
      </c>
      <c r="J845" s="97">
        <f t="shared" si="143"/>
        <v>31.83</v>
      </c>
      <c r="L845" s="98">
        <v>94.513000000000005</v>
      </c>
      <c r="M845" s="99">
        <v>0.1724</v>
      </c>
      <c r="N845" s="100">
        <f t="shared" si="144"/>
        <v>16.29</v>
      </c>
      <c r="O845" s="105" t="s">
        <v>618</v>
      </c>
      <c r="R845" s="102" t="s">
        <v>619</v>
      </c>
      <c r="AA845">
        <v>127.873</v>
      </c>
    </row>
    <row r="846" spans="1:28" x14ac:dyDescent="0.2">
      <c r="A846" s="89" t="s">
        <v>620</v>
      </c>
      <c r="B846" s="90">
        <f>IF($P$844&lt;&gt;"",ROUND(AA846*(($AB$844/(1-$P$844))-74.7642)/172.2702,2),IF('Resumen 2.0TD'!$D$3="OPTIMIZAR",ROUND(MAX(AA846,MIN(AA846*(($AB$844/(1-'Resumen 2.0TD'!$F$3))-74.7642)/172.2702,AA846*(377.5036)/172.2702)),3),AA846))</f>
        <v>622.654</v>
      </c>
      <c r="C846" s="103"/>
      <c r="D846" s="92">
        <v>0.110306</v>
      </c>
      <c r="E846" s="93">
        <v>0.1724</v>
      </c>
      <c r="F846" s="94">
        <f t="shared" si="142"/>
        <v>107.35</v>
      </c>
      <c r="H846" s="95">
        <v>644.92399999999998</v>
      </c>
      <c r="I846" s="96">
        <v>0.1724</v>
      </c>
      <c r="J846" s="97">
        <f t="shared" si="143"/>
        <v>111.18</v>
      </c>
      <c r="L846" s="98">
        <v>402.404</v>
      </c>
      <c r="M846" s="99">
        <v>0.1724</v>
      </c>
      <c r="N846" s="100">
        <f t="shared" si="144"/>
        <v>69.37</v>
      </c>
      <c r="O846" s="105" t="s">
        <v>621</v>
      </c>
      <c r="AA846">
        <v>622.654</v>
      </c>
    </row>
    <row r="847" spans="1:28" x14ac:dyDescent="0.2">
      <c r="A847" s="89" t="s">
        <v>139</v>
      </c>
      <c r="B847" s="90">
        <v>1</v>
      </c>
      <c r="C847" s="91">
        <f>$N$839-$L$839+1</f>
        <v>30</v>
      </c>
      <c r="D847" s="92">
        <v>1.3413999999999999</v>
      </c>
      <c r="E847" s="93">
        <v>6</v>
      </c>
      <c r="F847" s="94">
        <f t="shared" si="142"/>
        <v>6</v>
      </c>
      <c r="H847" s="95">
        <v>1</v>
      </c>
      <c r="I847" s="96">
        <v>6</v>
      </c>
      <c r="J847" s="97">
        <f t="shared" si="143"/>
        <v>6</v>
      </c>
      <c r="L847" s="98">
        <v>1</v>
      </c>
      <c r="M847" s="99">
        <v>6</v>
      </c>
      <c r="N847" s="100">
        <f t="shared" si="144"/>
        <v>6</v>
      </c>
    </row>
    <row r="848" spans="1:28" x14ac:dyDescent="0.2">
      <c r="A848" s="89" t="s">
        <v>140</v>
      </c>
      <c r="B848" s="90">
        <v>30</v>
      </c>
      <c r="C848" s="91">
        <f>$N$839-$L$839+1</f>
        <v>30</v>
      </c>
      <c r="D848" s="92">
        <v>0.5736</v>
      </c>
      <c r="E848" s="93">
        <v>1.274E-2</v>
      </c>
      <c r="F848" s="94">
        <f t="shared" si="142"/>
        <v>0.38</v>
      </c>
      <c r="H848" s="95">
        <v>30</v>
      </c>
      <c r="I848" s="96">
        <v>1.274E-2</v>
      </c>
      <c r="J848" s="97">
        <f t="shared" si="143"/>
        <v>0.38</v>
      </c>
      <c r="L848" s="98">
        <v>30</v>
      </c>
      <c r="M848" s="99">
        <v>6.2899999999999996E-3</v>
      </c>
      <c r="N848" s="100">
        <f t="shared" si="144"/>
        <v>0.19</v>
      </c>
    </row>
    <row r="849" spans="1:30" x14ac:dyDescent="0.2">
      <c r="A849" s="89" t="s">
        <v>141</v>
      </c>
      <c r="B849" s="90">
        <v>11.94</v>
      </c>
      <c r="C849" s="103"/>
      <c r="D849" s="92">
        <v>0.24729000000000001</v>
      </c>
      <c r="E849" s="93">
        <v>1</v>
      </c>
      <c r="F849" s="94">
        <f t="shared" si="142"/>
        <v>11.94</v>
      </c>
      <c r="H849" s="95">
        <v>13.32</v>
      </c>
      <c r="I849" s="96">
        <v>1</v>
      </c>
      <c r="J849" s="97">
        <f t="shared" si="143"/>
        <v>13.32</v>
      </c>
      <c r="L849" s="98">
        <v>8.56</v>
      </c>
      <c r="M849" s="99">
        <v>1</v>
      </c>
      <c r="N849" s="100">
        <f t="shared" si="144"/>
        <v>8.56</v>
      </c>
    </row>
    <row r="850" spans="1:30" x14ac:dyDescent="0.2">
      <c r="A850" s="106" t="s">
        <v>142</v>
      </c>
      <c r="F850" s="107">
        <f>ROUND((SUM(F842:F849)-F849)*1.1+F849,2)</f>
        <v>290.7</v>
      </c>
      <c r="J850" s="108">
        <f>ROUND(SUM(J842:J849),2)</f>
        <v>290.5</v>
      </c>
      <c r="N850" s="109">
        <f>ROUND(SUM(N842:N849),2)</f>
        <v>197.06</v>
      </c>
    </row>
    <row r="851" spans="1:30" x14ac:dyDescent="0.2">
      <c r="A851" s="78" t="s">
        <v>143</v>
      </c>
      <c r="B851" s="110">
        <f>IF((F846+F845+F844+F842+F843)=0,"",((F846+F845+F844+F842+F843)-$AB$844)/(F846+F845+F844+F842+F843))</f>
        <v>0.36428090778011657</v>
      </c>
      <c r="D851" s="139" t="str">
        <f>IF(B851="","SIN PC",IF(B851&gt;=0.3,"APROBAR",IF(B851&gt;=0.2,"REVISAR","RECHAZAR")))</f>
        <v>APROBAR</v>
      </c>
      <c r="E851" s="139"/>
      <c r="F851" s="139"/>
      <c r="AD851">
        <f>SUM(F844:F846)-172.2702</f>
        <v>9.8000000000126875E-3</v>
      </c>
    </row>
    <row r="852" spans="1:30" x14ac:dyDescent="0.2">
      <c r="A852" s="140" t="s">
        <v>743</v>
      </c>
      <c r="B852" s="140"/>
      <c r="C852" s="140"/>
      <c r="D852" s="140"/>
      <c r="E852" s="140"/>
      <c r="F852" s="140"/>
    </row>
    <row r="853" spans="1:30" x14ac:dyDescent="0.2">
      <c r="A853" s="111" t="s">
        <v>111</v>
      </c>
      <c r="B853" s="111" t="s">
        <v>744</v>
      </c>
      <c r="D853" s="111" t="s">
        <v>745</v>
      </c>
      <c r="E853" s="111" t="s">
        <v>746</v>
      </c>
      <c r="F853" s="111" t="s">
        <v>120</v>
      </c>
    </row>
    <row r="854" spans="1:30" x14ac:dyDescent="0.2">
      <c r="A854" s="112" t="s">
        <v>747</v>
      </c>
      <c r="B854" s="113">
        <v>368</v>
      </c>
      <c r="C854" s="114"/>
      <c r="D854" s="92">
        <v>0.06</v>
      </c>
      <c r="E854" s="114"/>
      <c r="F854" s="115">
        <f>ROUND(B854*D854,2)</f>
        <v>22.08</v>
      </c>
    </row>
    <row r="855" spans="1:30" x14ac:dyDescent="0.2">
      <c r="A855" s="112" t="s">
        <v>748</v>
      </c>
      <c r="B855" s="114"/>
      <c r="C855" s="114"/>
      <c r="D855" s="114"/>
      <c r="E855" s="116">
        <v>0.06</v>
      </c>
      <c r="F855" s="115">
        <v>13.63</v>
      </c>
    </row>
    <row r="856" spans="1:30" x14ac:dyDescent="0.2">
      <c r="A856" s="117" t="s">
        <v>749</v>
      </c>
      <c r="B856" s="114"/>
      <c r="C856" s="114"/>
      <c r="D856" s="114"/>
      <c r="E856" s="114"/>
      <c r="F856" s="118">
        <f>F854-F855</f>
        <v>8.4499999999999975</v>
      </c>
    </row>
    <row r="858" spans="1:30" x14ac:dyDescent="0.2">
      <c r="A858" s="137" t="s">
        <v>1020</v>
      </c>
      <c r="B858" s="137"/>
      <c r="C858" s="137"/>
      <c r="D858" s="137"/>
      <c r="E858" s="137"/>
      <c r="F858" s="137"/>
      <c r="H858" s="137" t="s">
        <v>735</v>
      </c>
      <c r="I858" s="137"/>
      <c r="J858" s="137"/>
      <c r="K858" s="137"/>
      <c r="L858" s="76">
        <v>46113</v>
      </c>
      <c r="M858" s="77" t="s">
        <v>607</v>
      </c>
      <c r="N858" s="76">
        <v>46142</v>
      </c>
      <c r="R858" s="138" t="s">
        <v>110</v>
      </c>
      <c r="S858" s="138"/>
      <c r="T858" s="138"/>
      <c r="U858" s="138"/>
      <c r="V858" s="138"/>
    </row>
    <row r="859" spans="1:30" x14ac:dyDescent="0.2">
      <c r="A859" s="78" t="s">
        <v>111</v>
      </c>
      <c r="B859" s="79" t="s">
        <v>112</v>
      </c>
      <c r="C859" s="80"/>
      <c r="D859" s="80"/>
      <c r="E859" s="80"/>
      <c r="F859" s="80"/>
      <c r="H859" s="81" t="s">
        <v>736</v>
      </c>
      <c r="I859" s="82"/>
      <c r="J859" s="82"/>
      <c r="L859" s="83" t="s">
        <v>737</v>
      </c>
      <c r="M859" s="84"/>
      <c r="N859" s="84"/>
      <c r="R859" s="85" t="s">
        <v>738</v>
      </c>
    </row>
    <row r="860" spans="1:30" x14ac:dyDescent="0.2">
      <c r="B860" s="68" t="s">
        <v>116</v>
      </c>
      <c r="C860" s="68" t="s">
        <v>117</v>
      </c>
      <c r="D860" s="68" t="s">
        <v>118</v>
      </c>
      <c r="E860" s="68" t="s">
        <v>119</v>
      </c>
      <c r="F860" s="68" t="s">
        <v>120</v>
      </c>
      <c r="H860" s="86" t="s">
        <v>116</v>
      </c>
      <c r="I860" s="86" t="s">
        <v>119</v>
      </c>
      <c r="J860" s="86" t="s">
        <v>120</v>
      </c>
      <c r="L860" s="87" t="s">
        <v>116</v>
      </c>
      <c r="M860" s="87" t="s">
        <v>119</v>
      </c>
      <c r="N860" s="87" t="s">
        <v>120</v>
      </c>
      <c r="R860" s="88" t="s">
        <v>739</v>
      </c>
    </row>
    <row r="861" spans="1:30" x14ac:dyDescent="0.2">
      <c r="A861" s="89" t="s">
        <v>122</v>
      </c>
      <c r="B861" s="90">
        <v>9.1999999999999993</v>
      </c>
      <c r="C861" s="91">
        <f>$N$858-$L$858+1</f>
        <v>30</v>
      </c>
      <c r="D861" s="92">
        <v>3.4085999999999999</v>
      </c>
      <c r="E861" s="93">
        <v>4.17</v>
      </c>
      <c r="F861" s="94">
        <f t="shared" ref="F861:F868" si="145">ROUND(B861*E861,2)</f>
        <v>38.36</v>
      </c>
      <c r="H861" s="95">
        <v>9.1999999999999993</v>
      </c>
      <c r="I861" s="96">
        <v>4.17</v>
      </c>
      <c r="J861" s="97">
        <f t="shared" ref="J861:J868" si="146">ROUND(H861*I861,2)</f>
        <v>38.36</v>
      </c>
      <c r="L861" s="98">
        <v>9.1999999999999993</v>
      </c>
      <c r="M861" s="99">
        <v>4.17</v>
      </c>
      <c r="N861" s="100">
        <f t="shared" ref="N861:N868" si="147">ROUND(L861*M861,2)</f>
        <v>38.36</v>
      </c>
      <c r="R861" s="101" t="s">
        <v>740</v>
      </c>
    </row>
    <row r="862" spans="1:30" x14ac:dyDescent="0.2">
      <c r="A862" s="89" t="s">
        <v>124</v>
      </c>
      <c r="B862" s="90">
        <v>9.1999999999999993</v>
      </c>
      <c r="C862" s="91">
        <f>$N$858-$L$858+1</f>
        <v>30</v>
      </c>
      <c r="D862" s="92">
        <v>1.09728</v>
      </c>
      <c r="E862" s="93">
        <v>1.37</v>
      </c>
      <c r="F862" s="94">
        <f t="shared" si="145"/>
        <v>12.6</v>
      </c>
      <c r="H862" s="95">
        <v>9.1999999999999993</v>
      </c>
      <c r="I862" s="96">
        <v>1.37</v>
      </c>
      <c r="J862" s="97">
        <f t="shared" si="146"/>
        <v>12.6</v>
      </c>
      <c r="L862" s="98">
        <v>9.1999999999999993</v>
      </c>
      <c r="M862" s="99">
        <v>1.37</v>
      </c>
      <c r="N862" s="100">
        <f t="shared" si="147"/>
        <v>12.6</v>
      </c>
      <c r="R862" s="102" t="s">
        <v>741</v>
      </c>
    </row>
    <row r="863" spans="1:30" x14ac:dyDescent="0.2">
      <c r="A863" s="89" t="s">
        <v>614</v>
      </c>
      <c r="B863" s="90">
        <f>IF($P$863&lt;&gt;"",ROUND(AA863*(($AB$863/(1-$P$863))-50.968)/151.1427,2),IF('Resumen 2.0TD'!$D$3="OPTIMIZAR",ROUND(MAX(AA863,MIN(AA863*(($AB$863/(1-'Resumen 2.0TD'!$F$3))-50.968)/151.1427,AA863*(171.1098)/151.1427)),3),AA863))</f>
        <v>126.446</v>
      </c>
      <c r="C863" s="103"/>
      <c r="D863" s="92">
        <v>0.110306</v>
      </c>
      <c r="E863" s="93">
        <v>0.14937</v>
      </c>
      <c r="F863" s="94">
        <f t="shared" si="145"/>
        <v>18.89</v>
      </c>
      <c r="H863" s="95">
        <v>96.081999999999994</v>
      </c>
      <c r="I863" s="96">
        <v>0.14937</v>
      </c>
      <c r="J863" s="97">
        <f t="shared" si="146"/>
        <v>14.35</v>
      </c>
      <c r="L863" s="98">
        <v>106.42100000000001</v>
      </c>
      <c r="M863" s="99">
        <v>0.14937</v>
      </c>
      <c r="N863" s="100">
        <f t="shared" si="147"/>
        <v>15.9</v>
      </c>
      <c r="O863" s="104" t="s">
        <v>615</v>
      </c>
      <c r="P863" s="67"/>
      <c r="R863" s="102" t="s">
        <v>742</v>
      </c>
      <c r="AA863">
        <v>113.96</v>
      </c>
      <c r="AB863">
        <f>B861*D861+B862*D862+AA863*D863+AA864*D864+AA865*D865</f>
        <v>153.069207608</v>
      </c>
    </row>
    <row r="864" spans="1:30" x14ac:dyDescent="0.2">
      <c r="A864" s="89" t="s">
        <v>617</v>
      </c>
      <c r="B864" s="90">
        <f>IF($P$863&lt;&gt;"",ROUND(AA864*(($AB$863/(1-$P$863))-50.968)/151.1427,2),IF('Resumen 2.0TD'!$D$3="OPTIMIZAR",ROUND(MAX(AA864,MIN(AA864*(($AB$863/(1-'Resumen 2.0TD'!$F$3))-50.968)/151.1427,AA864*(171.1098)/151.1427)),3),AA864))</f>
        <v>213.494</v>
      </c>
      <c r="C864" s="103"/>
      <c r="D864" s="92">
        <v>0.110306</v>
      </c>
      <c r="E864" s="93">
        <v>0.14937</v>
      </c>
      <c r="F864" s="94">
        <f t="shared" si="145"/>
        <v>31.89</v>
      </c>
      <c r="H864" s="95">
        <v>96.138000000000005</v>
      </c>
      <c r="I864" s="96">
        <v>0.14937</v>
      </c>
      <c r="J864" s="97">
        <f t="shared" si="146"/>
        <v>14.36</v>
      </c>
      <c r="L864" s="98">
        <v>134.85</v>
      </c>
      <c r="M864" s="99">
        <v>0.14937</v>
      </c>
      <c r="N864" s="100">
        <f t="shared" si="147"/>
        <v>20.14</v>
      </c>
      <c r="O864" s="105" t="s">
        <v>618</v>
      </c>
      <c r="R864" s="102" t="s">
        <v>619</v>
      </c>
      <c r="AA864">
        <v>192.41300000000001</v>
      </c>
    </row>
    <row r="865" spans="1:30" x14ac:dyDescent="0.2">
      <c r="A865" s="89" t="s">
        <v>620</v>
      </c>
      <c r="B865" s="90">
        <f>IF($P$863&lt;&gt;"",ROUND(AA865*(($AB$863/(1-$P$863))-50.968)/151.1427,2),IF('Resumen 2.0TD'!$D$3="OPTIMIZAR",ROUND(MAX(AA865,MIN(AA865*(($AB$863/(1-'Resumen 2.0TD'!$F$3))-50.968)/151.1427,AA865*(171.1098)/151.1427)),3),AA865))</f>
        <v>782.79100000000005</v>
      </c>
      <c r="C865" s="103"/>
      <c r="D865" s="92">
        <v>0.110306</v>
      </c>
      <c r="E865" s="93">
        <v>0.14937</v>
      </c>
      <c r="F865" s="94">
        <f t="shared" si="145"/>
        <v>116.93</v>
      </c>
      <c r="H865" s="95">
        <v>293.98899999999998</v>
      </c>
      <c r="I865" s="96">
        <v>0.14937</v>
      </c>
      <c r="J865" s="97">
        <f t="shared" si="146"/>
        <v>43.91</v>
      </c>
      <c r="L865" s="98">
        <v>432.12099999999998</v>
      </c>
      <c r="M865" s="99">
        <v>0.14937</v>
      </c>
      <c r="N865" s="100">
        <f t="shared" si="147"/>
        <v>64.55</v>
      </c>
      <c r="O865" s="105" t="s">
        <v>621</v>
      </c>
      <c r="AA865">
        <v>705.495</v>
      </c>
    </row>
    <row r="866" spans="1:30" x14ac:dyDescent="0.2">
      <c r="A866" s="89" t="s">
        <v>139</v>
      </c>
      <c r="B866" s="90">
        <v>1</v>
      </c>
      <c r="C866" s="91">
        <f>$N$858-$L$858+1</f>
        <v>30</v>
      </c>
      <c r="D866" s="92">
        <v>0.79890000000000005</v>
      </c>
      <c r="E866" s="93">
        <v>4</v>
      </c>
      <c r="F866" s="94">
        <f t="shared" si="145"/>
        <v>4</v>
      </c>
      <c r="H866" s="95">
        <v>1</v>
      </c>
      <c r="I866" s="96">
        <v>4</v>
      </c>
      <c r="J866" s="97">
        <f t="shared" si="146"/>
        <v>4</v>
      </c>
      <c r="L866" s="98">
        <v>1</v>
      </c>
      <c r="M866" s="99">
        <v>4</v>
      </c>
      <c r="N866" s="100">
        <f t="shared" si="147"/>
        <v>4</v>
      </c>
    </row>
    <row r="867" spans="1:30" x14ac:dyDescent="0.2">
      <c r="A867" s="89" t="s">
        <v>140</v>
      </c>
      <c r="B867" s="90">
        <v>30</v>
      </c>
      <c r="C867" s="91">
        <f>$N$858-$L$858+1</f>
        <v>30</v>
      </c>
      <c r="D867" s="92">
        <v>0.5736</v>
      </c>
      <c r="E867" s="93">
        <v>1.274E-2</v>
      </c>
      <c r="F867" s="94">
        <f t="shared" si="145"/>
        <v>0.38</v>
      </c>
      <c r="H867" s="95">
        <v>30</v>
      </c>
      <c r="I867" s="96">
        <v>1.274E-2</v>
      </c>
      <c r="J867" s="97">
        <f t="shared" si="146"/>
        <v>0.38</v>
      </c>
      <c r="L867" s="98">
        <v>30</v>
      </c>
      <c r="M867" s="99">
        <v>6.2899999999999996E-3</v>
      </c>
      <c r="N867" s="100">
        <f t="shared" si="147"/>
        <v>0.19</v>
      </c>
    </row>
    <row r="868" spans="1:30" x14ac:dyDescent="0.2">
      <c r="A868" s="89" t="s">
        <v>141</v>
      </c>
      <c r="B868" s="90">
        <v>10.210000000000001</v>
      </c>
      <c r="C868" s="103"/>
      <c r="D868" s="92">
        <v>0.24729000000000001</v>
      </c>
      <c r="E868" s="93">
        <v>1</v>
      </c>
      <c r="F868" s="94">
        <f t="shared" si="145"/>
        <v>10.210000000000001</v>
      </c>
      <c r="H868" s="95">
        <v>6.2</v>
      </c>
      <c r="I868" s="96">
        <v>1</v>
      </c>
      <c r="J868" s="97">
        <f t="shared" si="146"/>
        <v>6.2</v>
      </c>
      <c r="L868" s="98">
        <v>7.41</v>
      </c>
      <c r="M868" s="99">
        <v>1</v>
      </c>
      <c r="N868" s="100">
        <f t="shared" si="147"/>
        <v>7.41</v>
      </c>
    </row>
    <row r="869" spans="1:30" x14ac:dyDescent="0.2">
      <c r="A869" s="106" t="s">
        <v>142</v>
      </c>
      <c r="F869" s="107">
        <f>ROUND((SUM(F861:F868)-F868)*1.1+F868,2)</f>
        <v>255.57</v>
      </c>
      <c r="J869" s="108">
        <f>ROUND(SUM(J861:J868),2)</f>
        <v>134.16</v>
      </c>
      <c r="N869" s="109">
        <f>ROUND(SUM(N861:N868),2)</f>
        <v>163.15</v>
      </c>
    </row>
    <row r="870" spans="1:30" x14ac:dyDescent="0.2">
      <c r="A870" s="78" t="s">
        <v>143</v>
      </c>
      <c r="B870" s="110">
        <f>IF((F865+F864+F863+F861+F862)=0,"",((F865+F864+F863+F861+F862)-$AB$863)/(F865+F864+F863+F861+F862))</f>
        <v>0.29999905058764342</v>
      </c>
      <c r="D870" s="139" t="str">
        <f>IF(B870="","SIN PC",IF(B870&gt;=0.3,"APROBAR",IF(B870&gt;=0.2,"REVISAR","RECHAZAR")))</f>
        <v>REVISAR</v>
      </c>
      <c r="E870" s="139"/>
      <c r="F870" s="139"/>
      <c r="AD870">
        <f>SUM(F863:F865)-151.1427</f>
        <v>16.567300000000017</v>
      </c>
    </row>
    <row r="871" spans="1:30" x14ac:dyDescent="0.2">
      <c r="A871" s="140" t="s">
        <v>743</v>
      </c>
      <c r="B871" s="140"/>
      <c r="C871" s="140"/>
      <c r="D871" s="140"/>
      <c r="E871" s="140"/>
      <c r="F871" s="140"/>
    </row>
    <row r="872" spans="1:30" x14ac:dyDescent="0.2">
      <c r="A872" s="111" t="s">
        <v>111</v>
      </c>
      <c r="B872" s="111" t="s">
        <v>744</v>
      </c>
      <c r="D872" s="111" t="s">
        <v>745</v>
      </c>
      <c r="E872" s="111" t="s">
        <v>746</v>
      </c>
      <c r="F872" s="111" t="s">
        <v>120</v>
      </c>
    </row>
    <row r="873" spans="1:30" x14ac:dyDescent="0.2">
      <c r="A873" s="112" t="s">
        <v>747</v>
      </c>
      <c r="B873" s="113">
        <v>43</v>
      </c>
      <c r="C873" s="114"/>
      <c r="D873" s="92">
        <v>0.06</v>
      </c>
      <c r="E873" s="114"/>
      <c r="F873" s="115">
        <f>ROUND(B873*D873,2)</f>
        <v>2.58</v>
      </c>
    </row>
    <row r="874" spans="1:30" x14ac:dyDescent="0.2">
      <c r="A874" s="112" t="s">
        <v>748</v>
      </c>
      <c r="B874" s="114"/>
      <c r="C874" s="114"/>
      <c r="D874" s="114"/>
      <c r="E874" s="116">
        <v>0.06</v>
      </c>
      <c r="F874" s="115">
        <v>2.5299999999999998</v>
      </c>
    </row>
    <row r="875" spans="1:30" x14ac:dyDescent="0.2">
      <c r="A875" s="117" t="s">
        <v>749</v>
      </c>
      <c r="B875" s="114"/>
      <c r="C875" s="114"/>
      <c r="D875" s="114"/>
      <c r="E875" s="114"/>
      <c r="F875" s="118">
        <f>F873-F874</f>
        <v>5.0000000000000266E-2</v>
      </c>
    </row>
    <row r="877" spans="1:30" x14ac:dyDescent="0.2">
      <c r="A877" s="137" t="s">
        <v>1021</v>
      </c>
      <c r="B877" s="137"/>
      <c r="C877" s="137"/>
      <c r="D877" s="137"/>
      <c r="E877" s="137"/>
      <c r="F877" s="137"/>
      <c r="H877" s="137" t="s">
        <v>1022</v>
      </c>
      <c r="I877" s="137"/>
      <c r="J877" s="137"/>
      <c r="K877" s="137"/>
      <c r="L877" s="76">
        <v>46113</v>
      </c>
      <c r="M877" s="77" t="s">
        <v>607</v>
      </c>
      <c r="N877" s="76">
        <v>46142</v>
      </c>
      <c r="R877" s="138" t="s">
        <v>110</v>
      </c>
      <c r="S877" s="138"/>
      <c r="T877" s="138"/>
      <c r="U877" s="138"/>
      <c r="V877" s="138"/>
    </row>
    <row r="878" spans="1:30" x14ac:dyDescent="0.2">
      <c r="A878" s="78" t="s">
        <v>111</v>
      </c>
      <c r="B878" s="79" t="s">
        <v>112</v>
      </c>
      <c r="C878" s="80"/>
      <c r="D878" s="80"/>
      <c r="E878" s="80"/>
      <c r="F878" s="80"/>
      <c r="H878" s="81" t="s">
        <v>1023</v>
      </c>
      <c r="I878" s="82"/>
      <c r="J878" s="82"/>
      <c r="L878" s="83" t="s">
        <v>1024</v>
      </c>
      <c r="M878" s="84"/>
      <c r="N878" s="84"/>
      <c r="R878" s="85" t="s">
        <v>1025</v>
      </c>
    </row>
    <row r="879" spans="1:30" x14ac:dyDescent="0.2">
      <c r="B879" s="68" t="s">
        <v>116</v>
      </c>
      <c r="C879" s="68" t="s">
        <v>117</v>
      </c>
      <c r="D879" s="68" t="s">
        <v>118</v>
      </c>
      <c r="E879" s="68" t="s">
        <v>119</v>
      </c>
      <c r="F879" s="68" t="s">
        <v>120</v>
      </c>
      <c r="H879" s="86" t="s">
        <v>116</v>
      </c>
      <c r="I879" s="86" t="s">
        <v>119</v>
      </c>
      <c r="J879" s="86" t="s">
        <v>120</v>
      </c>
      <c r="L879" s="87" t="s">
        <v>116</v>
      </c>
      <c r="M879" s="87" t="s">
        <v>119</v>
      </c>
      <c r="N879" s="87" t="s">
        <v>120</v>
      </c>
      <c r="R879" s="88" t="s">
        <v>1026</v>
      </c>
    </row>
    <row r="880" spans="1:30" x14ac:dyDescent="0.2">
      <c r="A880" s="89" t="s">
        <v>122</v>
      </c>
      <c r="B880" s="90">
        <v>5.75</v>
      </c>
      <c r="C880" s="91">
        <f>$N$877-$L$877+1</f>
        <v>30</v>
      </c>
      <c r="D880" s="92">
        <v>3.68919</v>
      </c>
      <c r="E880" s="93">
        <v>3.85</v>
      </c>
      <c r="F880" s="94">
        <f t="shared" ref="F880:F887" si="148">ROUND(B880*E880,2)</f>
        <v>22.14</v>
      </c>
      <c r="H880" s="95">
        <v>5.75</v>
      </c>
      <c r="I880" s="96">
        <v>3.85</v>
      </c>
      <c r="J880" s="97">
        <f t="shared" ref="J880:J887" si="149">ROUND(H880*I880,2)</f>
        <v>22.14</v>
      </c>
      <c r="L880" s="98">
        <v>5.75</v>
      </c>
      <c r="M880" s="99">
        <v>3.85</v>
      </c>
      <c r="N880" s="100">
        <f t="shared" ref="N880:N887" si="150">ROUND(L880*M880,2)</f>
        <v>22.14</v>
      </c>
      <c r="R880" s="101" t="s">
        <v>1027</v>
      </c>
    </row>
    <row r="881" spans="1:30" x14ac:dyDescent="0.2">
      <c r="A881" s="89" t="s">
        <v>124</v>
      </c>
      <c r="B881" s="90">
        <v>5.75</v>
      </c>
      <c r="C881" s="91">
        <f>$N$877-$L$877+1</f>
        <v>30</v>
      </c>
      <c r="D881" s="92">
        <v>1.31928</v>
      </c>
      <c r="E881" s="93">
        <v>1.33</v>
      </c>
      <c r="F881" s="94">
        <f t="shared" si="148"/>
        <v>7.65</v>
      </c>
      <c r="H881" s="95">
        <v>5.75</v>
      </c>
      <c r="I881" s="96">
        <v>1.33</v>
      </c>
      <c r="J881" s="97">
        <f t="shared" si="149"/>
        <v>7.65</v>
      </c>
      <c r="L881" s="98">
        <v>5.75</v>
      </c>
      <c r="M881" s="99">
        <v>1.33</v>
      </c>
      <c r="N881" s="100">
        <f t="shared" si="150"/>
        <v>7.65</v>
      </c>
      <c r="R881" s="102" t="s">
        <v>1028</v>
      </c>
    </row>
    <row r="882" spans="1:30" x14ac:dyDescent="0.2">
      <c r="A882" s="89" t="s">
        <v>614</v>
      </c>
      <c r="B882" s="90">
        <f>IF($P$882&lt;&gt;"",ROUND(AA882*(($AB$882/(1-$P$882))-29.785)/26.9981,2),IF('Resumen 2.0TD'!$D$3="OPTIMIZAR",ROUND(MAX(AA882,MIN(AA882*(($AB$882/(1-'Resumen 2.0TD'!$F$3))-29.785)/26.9981,AA882*(239.6028)/26.9981)),3),AA882))</f>
        <v>70.055999999999997</v>
      </c>
      <c r="C882" s="103"/>
      <c r="D882" s="92">
        <v>0.11117100000000001</v>
      </c>
      <c r="E882" s="93">
        <v>0.13788</v>
      </c>
      <c r="F882" s="94">
        <f t="shared" si="148"/>
        <v>9.66</v>
      </c>
      <c r="H882" s="95">
        <v>202.672</v>
      </c>
      <c r="I882" s="96">
        <v>0.13788</v>
      </c>
      <c r="J882" s="97">
        <f t="shared" si="149"/>
        <v>27.94</v>
      </c>
      <c r="L882" s="98">
        <v>219.602</v>
      </c>
      <c r="M882" s="99">
        <v>0.13788</v>
      </c>
      <c r="N882" s="100">
        <f t="shared" si="150"/>
        <v>30.28</v>
      </c>
      <c r="O882" s="104" t="s">
        <v>615</v>
      </c>
      <c r="P882" s="67"/>
      <c r="R882" s="102" t="s">
        <v>1029</v>
      </c>
      <c r="AA882">
        <v>44.552</v>
      </c>
      <c r="AB882">
        <f>B880*D880+B881*D881+AA882*D882+AA883*D883+AA884*D884</f>
        <v>50.566984839000007</v>
      </c>
    </row>
    <row r="883" spans="1:30" x14ac:dyDescent="0.2">
      <c r="A883" s="89" t="s">
        <v>617</v>
      </c>
      <c r="B883" s="90">
        <f>IF($P$882&lt;&gt;"",ROUND(AA883*(($AB$882/(1-$P$882))-29.785)/26.9981,2),IF('Resumen 2.0TD'!$D$3="OPTIMIZAR",ROUND(MAX(AA883,MIN(AA883*(($AB$882/(1-'Resumen 2.0TD'!$F$3))-29.785)/26.9981,AA883*(239.6028)/26.9981)),3),AA883))</f>
        <v>60.301000000000002</v>
      </c>
      <c r="C883" s="103"/>
      <c r="D883" s="92">
        <v>0.11117100000000001</v>
      </c>
      <c r="E883" s="93">
        <v>0.13788</v>
      </c>
      <c r="F883" s="94">
        <f t="shared" si="148"/>
        <v>8.31</v>
      </c>
      <c r="H883" s="95">
        <v>153.524</v>
      </c>
      <c r="I883" s="96">
        <v>0.13788</v>
      </c>
      <c r="J883" s="97">
        <f t="shared" si="149"/>
        <v>21.17</v>
      </c>
      <c r="L883" s="98">
        <v>170.548</v>
      </c>
      <c r="M883" s="99">
        <v>0.13788</v>
      </c>
      <c r="N883" s="100">
        <f t="shared" si="150"/>
        <v>23.52</v>
      </c>
      <c r="O883" s="105" t="s">
        <v>618</v>
      </c>
      <c r="R883" s="102" t="s">
        <v>619</v>
      </c>
      <c r="AA883">
        <v>38.347999999999999</v>
      </c>
    </row>
    <row r="884" spans="1:30" x14ac:dyDescent="0.2">
      <c r="A884" s="89" t="s">
        <v>620</v>
      </c>
      <c r="B884" s="90">
        <f>IF($P$882&lt;&gt;"",ROUND(AA884*(($AB$882/(1-$P$882))-29.785)/26.9981,2),IF('Resumen 2.0TD'!$D$3="OPTIMIZAR",ROUND(MAX(AA884,MIN(AA884*(($AB$882/(1-'Resumen 2.0TD'!$F$3))-29.785)/26.9981,AA884*(239.6028)/26.9981)),3),AA884))</f>
        <v>177.54499999999999</v>
      </c>
      <c r="C884" s="103"/>
      <c r="D884" s="92">
        <v>0.11117100000000001</v>
      </c>
      <c r="E884" s="93">
        <v>0.13788</v>
      </c>
      <c r="F884" s="94">
        <f t="shared" si="148"/>
        <v>24.48</v>
      </c>
      <c r="H884" s="95">
        <v>347.57400000000001</v>
      </c>
      <c r="I884" s="96">
        <v>0.13788</v>
      </c>
      <c r="J884" s="97">
        <f t="shared" si="149"/>
        <v>47.92</v>
      </c>
      <c r="L884" s="98">
        <v>460.10700000000003</v>
      </c>
      <c r="M884" s="99">
        <v>0.13788</v>
      </c>
      <c r="N884" s="100">
        <f t="shared" si="150"/>
        <v>63.44</v>
      </c>
      <c r="O884" s="105" t="s">
        <v>621</v>
      </c>
      <c r="AA884">
        <v>112.90900000000001</v>
      </c>
    </row>
    <row r="885" spans="1:30" x14ac:dyDescent="0.2">
      <c r="A885" s="89" t="s">
        <v>139</v>
      </c>
      <c r="B885" s="90">
        <v>1</v>
      </c>
      <c r="C885" s="91">
        <f>$N$877-$L$877+1</f>
        <v>30</v>
      </c>
      <c r="D885" s="92">
        <v>0.79890000000000005</v>
      </c>
      <c r="E885" s="93">
        <v>3</v>
      </c>
      <c r="F885" s="94">
        <f t="shared" si="148"/>
        <v>3</v>
      </c>
      <c r="H885" s="95">
        <v>1</v>
      </c>
      <c r="I885" s="96">
        <v>3</v>
      </c>
      <c r="J885" s="97">
        <f t="shared" si="149"/>
        <v>3</v>
      </c>
      <c r="L885" s="98">
        <v>1</v>
      </c>
      <c r="M885" s="99">
        <v>3</v>
      </c>
      <c r="N885" s="100">
        <f t="shared" si="150"/>
        <v>3</v>
      </c>
    </row>
    <row r="886" spans="1:30" x14ac:dyDescent="0.2">
      <c r="A886" s="89" t="s">
        <v>140</v>
      </c>
      <c r="B886" s="90">
        <v>30</v>
      </c>
      <c r="C886" s="91">
        <f>$N$877-$L$877+1</f>
        <v>30</v>
      </c>
      <c r="D886" s="92">
        <v>0.5736</v>
      </c>
      <c r="E886" s="93">
        <v>1.274E-2</v>
      </c>
      <c r="F886" s="94">
        <f t="shared" si="148"/>
        <v>0.38</v>
      </c>
      <c r="H886" s="95">
        <v>30</v>
      </c>
      <c r="I886" s="96">
        <v>1.274E-2</v>
      </c>
      <c r="J886" s="97">
        <f t="shared" si="149"/>
        <v>0.38</v>
      </c>
      <c r="L886" s="98">
        <v>30</v>
      </c>
      <c r="M886" s="99">
        <v>6.2899999999999996E-3</v>
      </c>
      <c r="N886" s="100">
        <f t="shared" si="150"/>
        <v>0.19</v>
      </c>
    </row>
    <row r="887" spans="1:30" x14ac:dyDescent="0.2">
      <c r="A887" s="89" t="s">
        <v>141</v>
      </c>
      <c r="B887" s="90">
        <v>2.91</v>
      </c>
      <c r="C887" s="103"/>
      <c r="D887" s="92">
        <v>0.27311999999999997</v>
      </c>
      <c r="E887" s="93">
        <v>1</v>
      </c>
      <c r="F887" s="94">
        <f t="shared" si="148"/>
        <v>2.91</v>
      </c>
      <c r="H887" s="95">
        <v>6.49</v>
      </c>
      <c r="I887" s="96">
        <v>1</v>
      </c>
      <c r="J887" s="97">
        <f t="shared" si="149"/>
        <v>6.49</v>
      </c>
      <c r="L887" s="98">
        <v>7.52</v>
      </c>
      <c r="M887" s="99">
        <v>1</v>
      </c>
      <c r="N887" s="100">
        <f t="shared" si="150"/>
        <v>7.52</v>
      </c>
    </row>
    <row r="888" spans="1:30" x14ac:dyDescent="0.2">
      <c r="A888" s="106" t="s">
        <v>142</v>
      </c>
      <c r="F888" s="107">
        <f>ROUND((SUM(F880:F887)-F887)*1.1+F887,2)</f>
        <v>86.09</v>
      </c>
      <c r="J888" s="108">
        <f>ROUND(SUM(J880:J887),2)</f>
        <v>136.69</v>
      </c>
      <c r="N888" s="109">
        <f>ROUND(SUM(N880:N887),2)</f>
        <v>157.74</v>
      </c>
    </row>
    <row r="889" spans="1:30" x14ac:dyDescent="0.2">
      <c r="A889" s="78" t="s">
        <v>143</v>
      </c>
      <c r="B889" s="110">
        <f>IF((F884+F883+F882+F880+F881)=0,"",((F884+F883+F882+F880+F881)-$AB$882)/(F884+F883+F882+F880+F881))</f>
        <v>0.30001405261627906</v>
      </c>
      <c r="D889" s="139" t="str">
        <f>IF(B889="","SIN PC",IF(B889&gt;=0.3,"APROBAR",IF(B889&gt;=0.2,"REVISAR","RECHAZAR")))</f>
        <v>APROBAR</v>
      </c>
      <c r="E889" s="139"/>
      <c r="F889" s="139"/>
      <c r="AD889">
        <f>SUM(F882:F884)-26.9981</f>
        <v>15.451900000000002</v>
      </c>
    </row>
    <row r="891" spans="1:30" x14ac:dyDescent="0.2">
      <c r="A891" s="137" t="s">
        <v>1030</v>
      </c>
      <c r="B891" s="137"/>
      <c r="C891" s="137"/>
      <c r="D891" s="137"/>
      <c r="E891" s="137"/>
      <c r="F891" s="137"/>
      <c r="H891" s="137" t="s">
        <v>1031</v>
      </c>
      <c r="I891" s="137"/>
      <c r="J891" s="137"/>
      <c r="K891" s="137"/>
      <c r="L891" s="76">
        <v>46113</v>
      </c>
      <c r="M891" s="77" t="s">
        <v>607</v>
      </c>
      <c r="N891" s="76">
        <v>46142</v>
      </c>
      <c r="R891" s="138" t="s">
        <v>110</v>
      </c>
      <c r="S891" s="138"/>
      <c r="T891" s="138"/>
      <c r="U891" s="138"/>
      <c r="V891" s="138"/>
    </row>
    <row r="892" spans="1:30" x14ac:dyDescent="0.2">
      <c r="A892" s="78" t="s">
        <v>111</v>
      </c>
      <c r="B892" s="79" t="s">
        <v>112</v>
      </c>
      <c r="C892" s="80"/>
      <c r="D892" s="80"/>
      <c r="E892" s="80"/>
      <c r="F892" s="80"/>
      <c r="H892" s="81" t="s">
        <v>1032</v>
      </c>
      <c r="I892" s="82"/>
      <c r="J892" s="82"/>
      <c r="L892" s="83" t="s">
        <v>1033</v>
      </c>
      <c r="M892" s="84"/>
      <c r="N892" s="84"/>
      <c r="R892" s="85" t="s">
        <v>1034</v>
      </c>
    </row>
    <row r="893" spans="1:30" x14ac:dyDescent="0.2">
      <c r="B893" s="68" t="s">
        <v>116</v>
      </c>
      <c r="C893" s="68" t="s">
        <v>117</v>
      </c>
      <c r="D893" s="68" t="s">
        <v>118</v>
      </c>
      <c r="E893" s="68" t="s">
        <v>119</v>
      </c>
      <c r="F893" s="68" t="s">
        <v>120</v>
      </c>
      <c r="H893" s="86" t="s">
        <v>116</v>
      </c>
      <c r="I893" s="86" t="s">
        <v>119</v>
      </c>
      <c r="J893" s="86" t="s">
        <v>120</v>
      </c>
      <c r="L893" s="87" t="s">
        <v>116</v>
      </c>
      <c r="M893" s="87" t="s">
        <v>119</v>
      </c>
      <c r="N893" s="87" t="s">
        <v>120</v>
      </c>
      <c r="R893" s="88" t="s">
        <v>1035</v>
      </c>
    </row>
    <row r="894" spans="1:30" x14ac:dyDescent="0.2">
      <c r="A894" s="89" t="s">
        <v>122</v>
      </c>
      <c r="B894" s="90">
        <v>5.75</v>
      </c>
      <c r="C894" s="91">
        <f>$N$891-$L$891+1</f>
        <v>30</v>
      </c>
      <c r="D894" s="92">
        <v>3.68919</v>
      </c>
      <c r="E894" s="93">
        <v>3.85</v>
      </c>
      <c r="F894" s="94">
        <f t="shared" ref="F894:F901" si="151">ROUND(B894*E894,2)</f>
        <v>22.14</v>
      </c>
      <c r="H894" s="95">
        <v>5.75</v>
      </c>
      <c r="I894" s="96">
        <v>3.85</v>
      </c>
      <c r="J894" s="97">
        <f t="shared" ref="J894:J901" si="152">ROUND(H894*I894,2)</f>
        <v>22.14</v>
      </c>
      <c r="L894" s="98">
        <v>5.75</v>
      </c>
      <c r="M894" s="99">
        <v>3.85</v>
      </c>
      <c r="N894" s="100">
        <f t="shared" ref="N894:N901" si="153">ROUND(L894*M894,2)</f>
        <v>22.14</v>
      </c>
      <c r="R894" s="101" t="s">
        <v>1036</v>
      </c>
    </row>
    <row r="895" spans="1:30" x14ac:dyDescent="0.2">
      <c r="A895" s="89" t="s">
        <v>124</v>
      </c>
      <c r="B895" s="90">
        <v>5.75</v>
      </c>
      <c r="C895" s="91">
        <f>$N$891-$L$891+1</f>
        <v>30</v>
      </c>
      <c r="D895" s="92">
        <v>1.31928</v>
      </c>
      <c r="E895" s="93">
        <v>1.33</v>
      </c>
      <c r="F895" s="94">
        <f t="shared" si="151"/>
        <v>7.65</v>
      </c>
      <c r="H895" s="95">
        <v>5.75</v>
      </c>
      <c r="I895" s="96">
        <v>1.33</v>
      </c>
      <c r="J895" s="97">
        <f t="shared" si="152"/>
        <v>7.65</v>
      </c>
      <c r="L895" s="98">
        <v>5.75</v>
      </c>
      <c r="M895" s="99">
        <v>1.33</v>
      </c>
      <c r="N895" s="100">
        <f t="shared" si="153"/>
        <v>7.65</v>
      </c>
      <c r="R895" s="102" t="s">
        <v>1037</v>
      </c>
    </row>
    <row r="896" spans="1:30" x14ac:dyDescent="0.2">
      <c r="A896" s="89" t="s">
        <v>614</v>
      </c>
      <c r="B896" s="90">
        <f>IF($P$896&lt;&gt;"",ROUND(AA896*(($AB$896/(1-$P$896))-29.785)/31.0224,2),IF('Resumen 2.0TD'!$D$3="OPTIMIZAR",ROUND(MAX(AA896,MIN(AA896*(($AB$896/(1-'Resumen 2.0TD'!$F$3))-29.785)/31.0224,AA896*(98.4128)/31.0224)),3),AA896))</f>
        <v>106.976</v>
      </c>
      <c r="C896" s="103"/>
      <c r="D896" s="92">
        <v>0.11117100000000001</v>
      </c>
      <c r="E896" s="93">
        <v>0.13788</v>
      </c>
      <c r="F896" s="94">
        <f t="shared" si="151"/>
        <v>14.75</v>
      </c>
      <c r="H896" s="95">
        <v>78.587999999999994</v>
      </c>
      <c r="I896" s="96">
        <v>0.13788</v>
      </c>
      <c r="J896" s="97">
        <f t="shared" si="152"/>
        <v>10.84</v>
      </c>
      <c r="L896" s="98">
        <v>54.722999999999999</v>
      </c>
      <c r="M896" s="99">
        <v>0.13788</v>
      </c>
      <c r="N896" s="100">
        <f t="shared" si="153"/>
        <v>7.55</v>
      </c>
      <c r="O896" s="104" t="s">
        <v>615</v>
      </c>
      <c r="P896" s="67"/>
      <c r="R896" s="102" t="s">
        <v>1038</v>
      </c>
      <c r="AA896">
        <v>70.475999999999999</v>
      </c>
      <c r="AB896">
        <f>B894*D894+B895*D895+AA896*D896+AA897*D897+AA898*D898</f>
        <v>53.81173281600001</v>
      </c>
    </row>
    <row r="897" spans="1:30" x14ac:dyDescent="0.2">
      <c r="A897" s="89" t="s">
        <v>617</v>
      </c>
      <c r="B897" s="90">
        <f>IF($P$896&lt;&gt;"",ROUND(AA897*(($AB$896/(1-$P$896))-29.785)/31.0224,2),IF('Resumen 2.0TD'!$D$3="OPTIMIZAR",ROUND(MAX(AA897,MIN(AA897*(($AB$896/(1-'Resumen 2.0TD'!$F$3))-29.785)/31.0224,AA897*(98.4128)/31.0224)),3),AA897))</f>
        <v>85.247</v>
      </c>
      <c r="C897" s="103"/>
      <c r="D897" s="92">
        <v>0.11117100000000001</v>
      </c>
      <c r="E897" s="93">
        <v>0.13788</v>
      </c>
      <c r="F897" s="94">
        <f t="shared" si="151"/>
        <v>11.75</v>
      </c>
      <c r="H897" s="95">
        <v>64.724999999999994</v>
      </c>
      <c r="I897" s="96">
        <v>0.13788</v>
      </c>
      <c r="J897" s="97">
        <f t="shared" si="152"/>
        <v>8.92</v>
      </c>
      <c r="L897" s="98">
        <v>44.247</v>
      </c>
      <c r="M897" s="99">
        <v>0.13788</v>
      </c>
      <c r="N897" s="100">
        <f t="shared" si="153"/>
        <v>6.1</v>
      </c>
      <c r="O897" s="105" t="s">
        <v>618</v>
      </c>
      <c r="R897" s="102" t="s">
        <v>619</v>
      </c>
      <c r="AA897">
        <v>56.161000000000001</v>
      </c>
    </row>
    <row r="898" spans="1:30" x14ac:dyDescent="0.2">
      <c r="A898" s="89" t="s">
        <v>620</v>
      </c>
      <c r="B898" s="90">
        <f>IF($P$896&lt;&gt;"",ROUND(AA898*(($AB$896/(1-$P$896))-29.785)/31.0224,2),IF('Resumen 2.0TD'!$D$3="OPTIMIZAR",ROUND(MAX(AA898,MIN(AA898*(($AB$896/(1-'Resumen 2.0TD'!$F$3))-29.785)/31.0224,AA898*(98.4128)/31.0224)),3),AA898))</f>
        <v>149.29900000000001</v>
      </c>
      <c r="C898" s="103"/>
      <c r="D898" s="92">
        <v>0.11117100000000001</v>
      </c>
      <c r="E898" s="93">
        <v>0.13788</v>
      </c>
      <c r="F898" s="94">
        <f t="shared" si="151"/>
        <v>20.59</v>
      </c>
      <c r="H898" s="95">
        <v>98.77</v>
      </c>
      <c r="I898" s="96">
        <v>0.13788</v>
      </c>
      <c r="J898" s="97">
        <f t="shared" si="152"/>
        <v>13.62</v>
      </c>
      <c r="L898" s="98">
        <v>97.561000000000007</v>
      </c>
      <c r="M898" s="99">
        <v>0.13788</v>
      </c>
      <c r="N898" s="100">
        <f t="shared" si="153"/>
        <v>13.45</v>
      </c>
      <c r="O898" s="105" t="s">
        <v>621</v>
      </c>
      <c r="AA898">
        <v>98.358999999999995</v>
      </c>
    </row>
    <row r="899" spans="1:30" x14ac:dyDescent="0.2">
      <c r="A899" s="89" t="s">
        <v>139</v>
      </c>
      <c r="B899" s="90">
        <v>1</v>
      </c>
      <c r="C899" s="91">
        <f>$N$891-$L$891+1</f>
        <v>30</v>
      </c>
      <c r="D899" s="92">
        <v>0.79890000000000005</v>
      </c>
      <c r="E899" s="93">
        <v>3</v>
      </c>
      <c r="F899" s="94">
        <f t="shared" si="151"/>
        <v>3</v>
      </c>
      <c r="H899" s="95">
        <v>1</v>
      </c>
      <c r="I899" s="96">
        <v>3</v>
      </c>
      <c r="J899" s="97">
        <f t="shared" si="152"/>
        <v>3</v>
      </c>
      <c r="L899" s="98">
        <v>1</v>
      </c>
      <c r="M899" s="99">
        <v>3</v>
      </c>
      <c r="N899" s="100">
        <f t="shared" si="153"/>
        <v>3</v>
      </c>
    </row>
    <row r="900" spans="1:30" x14ac:dyDescent="0.2">
      <c r="A900" s="89" t="s">
        <v>140</v>
      </c>
      <c r="B900" s="90">
        <v>30</v>
      </c>
      <c r="C900" s="91">
        <f>$N$891-$L$891+1</f>
        <v>30</v>
      </c>
      <c r="D900" s="92">
        <v>0.5736</v>
      </c>
      <c r="E900" s="93">
        <v>1.274E-2</v>
      </c>
      <c r="F900" s="94">
        <f t="shared" si="151"/>
        <v>0.38</v>
      </c>
      <c r="H900" s="95">
        <v>30</v>
      </c>
      <c r="I900" s="96">
        <v>1.274E-2</v>
      </c>
      <c r="J900" s="97">
        <f t="shared" si="152"/>
        <v>0.38</v>
      </c>
      <c r="L900" s="98">
        <v>30</v>
      </c>
      <c r="M900" s="99">
        <v>6.2899999999999996E-3</v>
      </c>
      <c r="N900" s="100">
        <f t="shared" si="153"/>
        <v>0.19</v>
      </c>
    </row>
    <row r="901" spans="1:30" x14ac:dyDescent="0.2">
      <c r="A901" s="89" t="s">
        <v>141</v>
      </c>
      <c r="B901" s="90">
        <v>3.12</v>
      </c>
      <c r="C901" s="103"/>
      <c r="D901" s="92">
        <v>2.6710000000000001E-2</v>
      </c>
      <c r="E901" s="93">
        <v>1</v>
      </c>
      <c r="F901" s="94">
        <f t="shared" si="151"/>
        <v>3.12</v>
      </c>
      <c r="H901" s="95">
        <v>3.24</v>
      </c>
      <c r="I901" s="96">
        <v>1</v>
      </c>
      <c r="J901" s="97">
        <f t="shared" si="152"/>
        <v>3.24</v>
      </c>
      <c r="L901" s="98">
        <v>2.92</v>
      </c>
      <c r="M901" s="99">
        <v>1</v>
      </c>
      <c r="N901" s="100">
        <f t="shared" si="153"/>
        <v>2.92</v>
      </c>
    </row>
    <row r="902" spans="1:30" x14ac:dyDescent="0.2">
      <c r="A902" s="106" t="s">
        <v>142</v>
      </c>
      <c r="F902" s="107">
        <f>ROUND((SUM(F894:F901)-F901)*1.1+F901,2)</f>
        <v>91.41</v>
      </c>
      <c r="J902" s="108">
        <f>ROUND(SUM(J894:J901),2)</f>
        <v>69.790000000000006</v>
      </c>
      <c r="N902" s="109">
        <f>ROUND(SUM(N894:N901),2)</f>
        <v>63</v>
      </c>
    </row>
    <row r="903" spans="1:30" x14ac:dyDescent="0.2">
      <c r="A903" s="78" t="s">
        <v>143</v>
      </c>
      <c r="B903" s="110">
        <f>IF((F898+F897+F896+F894+F895)=0,"",((F898+F897+F896+F894+F895)-$AB$896)/(F898+F897+F896+F894+F895))</f>
        <v>0.30005550447450569</v>
      </c>
      <c r="D903" s="139" t="str">
        <f>IF(B903="","SIN PC",IF(B903&gt;=0.3,"APROBAR",IF(B903&gt;=0.2,"REVISAR","RECHAZAR")))</f>
        <v>APROBAR</v>
      </c>
      <c r="E903" s="139"/>
      <c r="F903" s="139"/>
      <c r="AD903">
        <f>SUM(F896:F898)-31.0224</f>
        <v>16.067600000000002</v>
      </c>
    </row>
    <row r="905" spans="1:30" x14ac:dyDescent="0.2">
      <c r="A905" s="137" t="s">
        <v>1039</v>
      </c>
      <c r="B905" s="137"/>
      <c r="C905" s="137"/>
      <c r="D905" s="137"/>
      <c r="E905" s="137"/>
      <c r="F905" s="137"/>
      <c r="H905" s="137" t="s">
        <v>1040</v>
      </c>
      <c r="I905" s="137"/>
      <c r="J905" s="137"/>
      <c r="K905" s="137"/>
      <c r="L905" s="76">
        <v>46113</v>
      </c>
      <c r="M905" s="77" t="s">
        <v>607</v>
      </c>
      <c r="N905" s="76">
        <v>46142</v>
      </c>
      <c r="R905" s="138" t="s">
        <v>110</v>
      </c>
      <c r="S905" s="138"/>
      <c r="T905" s="138"/>
      <c r="U905" s="138"/>
      <c r="V905" s="138"/>
    </row>
    <row r="906" spans="1:30" x14ac:dyDescent="0.2">
      <c r="A906" s="78" t="s">
        <v>111</v>
      </c>
      <c r="B906" s="79" t="s">
        <v>112</v>
      </c>
      <c r="C906" s="80"/>
      <c r="D906" s="80"/>
      <c r="E906" s="80"/>
      <c r="F906" s="80"/>
      <c r="H906" s="81" t="s">
        <v>1041</v>
      </c>
      <c r="I906" s="82"/>
      <c r="J906" s="82"/>
      <c r="L906" s="83" t="s">
        <v>1042</v>
      </c>
      <c r="M906" s="84"/>
      <c r="N906" s="84"/>
      <c r="R906" s="85" t="s">
        <v>1043</v>
      </c>
    </row>
    <row r="907" spans="1:30" x14ac:dyDescent="0.2">
      <c r="B907" s="68" t="s">
        <v>116</v>
      </c>
      <c r="C907" s="68" t="s">
        <v>117</v>
      </c>
      <c r="D907" s="68" t="s">
        <v>118</v>
      </c>
      <c r="E907" s="68" t="s">
        <v>119</v>
      </c>
      <c r="F907" s="68" t="s">
        <v>120</v>
      </c>
      <c r="H907" s="86" t="s">
        <v>116</v>
      </c>
      <c r="I907" s="86" t="s">
        <v>119</v>
      </c>
      <c r="J907" s="86" t="s">
        <v>120</v>
      </c>
      <c r="L907" s="87" t="s">
        <v>116</v>
      </c>
      <c r="M907" s="87" t="s">
        <v>119</v>
      </c>
      <c r="N907" s="87" t="s">
        <v>120</v>
      </c>
      <c r="R907" s="88" t="s">
        <v>1044</v>
      </c>
    </row>
    <row r="908" spans="1:30" x14ac:dyDescent="0.2">
      <c r="A908" s="89" t="s">
        <v>122</v>
      </c>
      <c r="B908" s="90">
        <v>8</v>
      </c>
      <c r="C908" s="91">
        <f>$N$905-$L$905+1</f>
        <v>30</v>
      </c>
      <c r="D908" s="92">
        <v>3.68919</v>
      </c>
      <c r="E908" s="93">
        <v>4.17</v>
      </c>
      <c r="F908" s="94">
        <f t="shared" ref="F908:F915" si="154">ROUND(B908*E908,2)</f>
        <v>33.36</v>
      </c>
      <c r="H908" s="95">
        <v>8</v>
      </c>
      <c r="I908" s="96">
        <v>4.17</v>
      </c>
      <c r="J908" s="97">
        <f t="shared" ref="J908:J915" si="155">ROUND(H908*I908,2)</f>
        <v>33.36</v>
      </c>
      <c r="L908" s="98">
        <v>8</v>
      </c>
      <c r="M908" s="99">
        <v>4.17</v>
      </c>
      <c r="N908" s="100">
        <f t="shared" ref="N908:N915" si="156">ROUND(L908*M908,2)</f>
        <v>33.36</v>
      </c>
      <c r="R908" s="101" t="s">
        <v>1045</v>
      </c>
    </row>
    <row r="909" spans="1:30" x14ac:dyDescent="0.2">
      <c r="A909" s="89" t="s">
        <v>124</v>
      </c>
      <c r="B909" s="90">
        <v>8</v>
      </c>
      <c r="C909" s="91">
        <f>$N$905-$L$905+1</f>
        <v>30</v>
      </c>
      <c r="D909" s="92">
        <v>1.31928</v>
      </c>
      <c r="E909" s="93">
        <v>1.37</v>
      </c>
      <c r="F909" s="94">
        <f t="shared" si="154"/>
        <v>10.96</v>
      </c>
      <c r="H909" s="95">
        <v>8</v>
      </c>
      <c r="I909" s="96">
        <v>1.37</v>
      </c>
      <c r="J909" s="97">
        <f t="shared" si="155"/>
        <v>10.96</v>
      </c>
      <c r="L909" s="98">
        <v>8</v>
      </c>
      <c r="M909" s="99">
        <v>1.37</v>
      </c>
      <c r="N909" s="100">
        <f t="shared" si="156"/>
        <v>10.96</v>
      </c>
      <c r="R909" s="102" t="s">
        <v>1046</v>
      </c>
    </row>
    <row r="910" spans="1:30" x14ac:dyDescent="0.2">
      <c r="A910" s="89" t="s">
        <v>614</v>
      </c>
      <c r="B910" s="90">
        <f>IF($P$910&lt;&gt;"",ROUND(AA910*(($AB$910/(1-$P$910))-44.32)/10.3071,2),IF('Resumen 2.0TD'!$D$3="OPTIMIZAR",ROUND(MAX(AA910,MIN(AA910*(($AB$910/(1-'Resumen 2.0TD'!$F$3))-44.32)/10.3071,AA910*(42.4378)/10.3071)),3),AA910))</f>
        <v>43.326999999999998</v>
      </c>
      <c r="C910" s="103"/>
      <c r="D910" s="92">
        <v>0.11117100000000001</v>
      </c>
      <c r="E910" s="93">
        <v>0.14937</v>
      </c>
      <c r="F910" s="94">
        <f t="shared" si="154"/>
        <v>6.47</v>
      </c>
      <c r="H910" s="95">
        <v>10.161</v>
      </c>
      <c r="I910" s="96">
        <v>0.14937</v>
      </c>
      <c r="J910" s="97">
        <f t="shared" si="155"/>
        <v>1.52</v>
      </c>
      <c r="L910" s="98">
        <v>16.125</v>
      </c>
      <c r="M910" s="99">
        <v>0.14937</v>
      </c>
      <c r="N910" s="100">
        <f t="shared" si="156"/>
        <v>2.41</v>
      </c>
      <c r="O910" s="104" t="s">
        <v>615</v>
      </c>
      <c r="P910" s="67"/>
      <c r="R910" s="102" t="s">
        <v>1047</v>
      </c>
      <c r="AA910">
        <v>18.702000000000002</v>
      </c>
      <c r="AB910">
        <f>B908*D908+B909*D909+AA910*D910+AA911*D911+AA912*D912</f>
        <v>47.739003684000004</v>
      </c>
    </row>
    <row r="911" spans="1:30" x14ac:dyDescent="0.2">
      <c r="A911" s="89" t="s">
        <v>617</v>
      </c>
      <c r="B911" s="90">
        <f>IF($P$910&lt;&gt;"",ROUND(AA911*(($AB$910/(1-$P$910))-44.32)/10.3071,2),IF('Resumen 2.0TD'!$D$3="OPTIMIZAR",ROUND(MAX(AA911,MIN(AA911*(($AB$910/(1-'Resumen 2.0TD'!$F$3))-44.32)/10.3071,AA911*(42.4378)/10.3071)),3),AA911))</f>
        <v>26.241</v>
      </c>
      <c r="C911" s="103"/>
      <c r="D911" s="92">
        <v>0.11117100000000001</v>
      </c>
      <c r="E911" s="93">
        <v>0.14937</v>
      </c>
      <c r="F911" s="94">
        <f t="shared" si="154"/>
        <v>3.92</v>
      </c>
      <c r="H911" s="95">
        <v>5.62</v>
      </c>
      <c r="I911" s="96">
        <v>0.14937</v>
      </c>
      <c r="J911" s="97">
        <f t="shared" si="155"/>
        <v>0.84</v>
      </c>
      <c r="L911" s="98">
        <v>32.409999999999997</v>
      </c>
      <c r="M911" s="99">
        <v>0.14937</v>
      </c>
      <c r="N911" s="100">
        <f t="shared" si="156"/>
        <v>4.84</v>
      </c>
      <c r="O911" s="105" t="s">
        <v>618</v>
      </c>
      <c r="R911" s="102" t="s">
        <v>619</v>
      </c>
      <c r="AA911">
        <v>11.327</v>
      </c>
    </row>
    <row r="912" spans="1:30" x14ac:dyDescent="0.2">
      <c r="A912" s="89" t="s">
        <v>620</v>
      </c>
      <c r="B912" s="90">
        <f>IF($P$910&lt;&gt;"",ROUND(AA912*(($AB$910/(1-$P$910))-44.32)/10.3071,2),IF('Resumen 2.0TD'!$D$3="OPTIMIZAR",ROUND(MAX(AA912,MIN(AA912*(($AB$910/(1-'Resumen 2.0TD'!$F$3))-44.32)/10.3071,AA912*(42.4378)/10.3071)),3),AA912))</f>
        <v>90.293999999999997</v>
      </c>
      <c r="C912" s="103"/>
      <c r="D912" s="92">
        <v>0.11117100000000001</v>
      </c>
      <c r="E912" s="93">
        <v>0.14937</v>
      </c>
      <c r="F912" s="94">
        <f t="shared" si="154"/>
        <v>13.49</v>
      </c>
      <c r="H912" s="95">
        <v>8.7149999999999999</v>
      </c>
      <c r="I912" s="96">
        <v>0.14937</v>
      </c>
      <c r="J912" s="97">
        <f t="shared" si="155"/>
        <v>1.3</v>
      </c>
      <c r="L912" s="98">
        <v>76.933000000000007</v>
      </c>
      <c r="M912" s="99">
        <v>0.14937</v>
      </c>
      <c r="N912" s="100">
        <f t="shared" si="156"/>
        <v>11.49</v>
      </c>
      <c r="O912" s="105" t="s">
        <v>621</v>
      </c>
      <c r="AA912">
        <v>38.975000000000001</v>
      </c>
    </row>
    <row r="913" spans="1:30" x14ac:dyDescent="0.2">
      <c r="A913" s="89" t="s">
        <v>139</v>
      </c>
      <c r="B913" s="90">
        <v>1</v>
      </c>
      <c r="C913" s="91">
        <f>$N$905-$L$905+1</f>
        <v>30</v>
      </c>
      <c r="D913" s="92">
        <v>1.3413999999999999</v>
      </c>
      <c r="E913" s="93">
        <v>4</v>
      </c>
      <c r="F913" s="94">
        <f t="shared" si="154"/>
        <v>4</v>
      </c>
      <c r="H913" s="95">
        <v>1</v>
      </c>
      <c r="I913" s="96">
        <v>4</v>
      </c>
      <c r="J913" s="97">
        <f t="shared" si="155"/>
        <v>4</v>
      </c>
      <c r="L913" s="98">
        <v>1</v>
      </c>
      <c r="M913" s="99">
        <v>4</v>
      </c>
      <c r="N913" s="100">
        <f t="shared" si="156"/>
        <v>4</v>
      </c>
    </row>
    <row r="914" spans="1:30" x14ac:dyDescent="0.2">
      <c r="A914" s="89" t="s">
        <v>140</v>
      </c>
      <c r="B914" s="90">
        <v>30</v>
      </c>
      <c r="C914" s="91">
        <f>$N$905-$L$905+1</f>
        <v>30</v>
      </c>
      <c r="D914" s="92">
        <v>0.5736</v>
      </c>
      <c r="E914" s="93">
        <v>1.274E-2</v>
      </c>
      <c r="F914" s="94">
        <f t="shared" si="154"/>
        <v>0.38</v>
      </c>
      <c r="H914" s="95">
        <v>30</v>
      </c>
      <c r="I914" s="96">
        <v>1.274E-2</v>
      </c>
      <c r="J914" s="97">
        <f t="shared" si="155"/>
        <v>0.38</v>
      </c>
      <c r="L914" s="98">
        <v>30</v>
      </c>
      <c r="M914" s="99">
        <v>6.2899999999999996E-3</v>
      </c>
      <c r="N914" s="100">
        <f t="shared" si="156"/>
        <v>0.19</v>
      </c>
    </row>
    <row r="915" spans="1:30" x14ac:dyDescent="0.2">
      <c r="A915" s="89" t="s">
        <v>141</v>
      </c>
      <c r="B915" s="90">
        <v>2.27</v>
      </c>
      <c r="C915" s="103"/>
      <c r="D915" s="92">
        <v>0.27311999999999997</v>
      </c>
      <c r="E915" s="93">
        <v>1</v>
      </c>
      <c r="F915" s="94">
        <f t="shared" si="154"/>
        <v>2.27</v>
      </c>
      <c r="H915" s="95">
        <v>2.27</v>
      </c>
      <c r="I915" s="96">
        <v>1</v>
      </c>
      <c r="J915" s="97">
        <f t="shared" si="155"/>
        <v>2.27</v>
      </c>
      <c r="L915" s="98">
        <v>2.27</v>
      </c>
      <c r="M915" s="99">
        <v>1</v>
      </c>
      <c r="N915" s="100">
        <f t="shared" si="156"/>
        <v>2.27</v>
      </c>
    </row>
    <row r="916" spans="1:30" x14ac:dyDescent="0.2">
      <c r="A916" s="106" t="s">
        <v>142</v>
      </c>
      <c r="F916" s="107">
        <f>ROUND((SUM(F908:F915)-F915)*1.1+F915,2)</f>
        <v>82.11</v>
      </c>
      <c r="J916" s="108">
        <f>ROUND(SUM(J908:J915),2)</f>
        <v>54.63</v>
      </c>
      <c r="N916" s="109">
        <f>ROUND(SUM(N908:N915),2)</f>
        <v>69.52</v>
      </c>
    </row>
    <row r="917" spans="1:30" x14ac:dyDescent="0.2">
      <c r="A917" s="78" t="s">
        <v>143</v>
      </c>
      <c r="B917" s="110">
        <f>IF((F912+F911+F910+F908+F909)=0,"",((F912+F911+F910+F908+F909)-$AB$910)/(F912+F911+F910+F908+F909))</f>
        <v>0.30001460873900276</v>
      </c>
      <c r="D917" s="139" t="str">
        <f>IF(B917="","SIN PC",IF(B917&gt;=0.3,"APROBAR",IF(B917&gt;=0.2,"REVISAR","RECHAZAR")))</f>
        <v>APROBAR</v>
      </c>
      <c r="E917" s="139"/>
      <c r="F917" s="139"/>
      <c r="AD917">
        <f>SUM(F910:F912)-10.3071</f>
        <v>13.572900000000002</v>
      </c>
    </row>
    <row r="918" spans="1:30" x14ac:dyDescent="0.2">
      <c r="A918" s="140" t="s">
        <v>743</v>
      </c>
      <c r="B918" s="140"/>
      <c r="C918" s="140"/>
      <c r="D918" s="140"/>
      <c r="E918" s="140"/>
      <c r="F918" s="140"/>
    </row>
    <row r="919" spans="1:30" x14ac:dyDescent="0.2">
      <c r="A919" s="111" t="s">
        <v>111</v>
      </c>
      <c r="B919" s="111" t="s">
        <v>744</v>
      </c>
      <c r="D919" s="111" t="s">
        <v>745</v>
      </c>
      <c r="E919" s="111" t="s">
        <v>746</v>
      </c>
      <c r="F919" s="111" t="s">
        <v>120</v>
      </c>
    </row>
    <row r="920" spans="1:30" x14ac:dyDescent="0.2">
      <c r="A920" s="112" t="s">
        <v>747</v>
      </c>
      <c r="B920" s="113">
        <v>497</v>
      </c>
      <c r="C920" s="114"/>
      <c r="D920" s="92">
        <v>0.06</v>
      </c>
      <c r="E920" s="114"/>
      <c r="F920" s="115">
        <f>ROUND(B920*D920,2)</f>
        <v>29.82</v>
      </c>
    </row>
    <row r="921" spans="1:30" x14ac:dyDescent="0.2">
      <c r="A921" s="112" t="s">
        <v>748</v>
      </c>
      <c r="B921" s="114"/>
      <c r="C921" s="114"/>
      <c r="D921" s="114"/>
      <c r="E921" s="116">
        <v>0.06</v>
      </c>
      <c r="F921" s="115">
        <v>10.3</v>
      </c>
    </row>
    <row r="922" spans="1:30" x14ac:dyDescent="0.2">
      <c r="A922" s="117" t="s">
        <v>749</v>
      </c>
      <c r="B922" s="114"/>
      <c r="C922" s="114"/>
      <c r="D922" s="114"/>
      <c r="E922" s="114"/>
      <c r="F922" s="118">
        <f>F920-F921</f>
        <v>19.52</v>
      </c>
    </row>
    <row r="924" spans="1:30" x14ac:dyDescent="0.2">
      <c r="A924" s="137" t="s">
        <v>1048</v>
      </c>
      <c r="B924" s="137"/>
      <c r="C924" s="137"/>
      <c r="D924" s="137"/>
      <c r="E924" s="137"/>
      <c r="F924" s="137"/>
      <c r="H924" s="137" t="s">
        <v>1049</v>
      </c>
      <c r="I924" s="137"/>
      <c r="J924" s="137"/>
      <c r="K924" s="137"/>
      <c r="L924" s="76">
        <v>46113</v>
      </c>
      <c r="M924" s="77" t="s">
        <v>607</v>
      </c>
      <c r="N924" s="76">
        <v>46142</v>
      </c>
      <c r="R924" s="138" t="s">
        <v>110</v>
      </c>
      <c r="S924" s="138"/>
      <c r="T924" s="138"/>
      <c r="U924" s="138"/>
      <c r="V924" s="138"/>
    </row>
    <row r="925" spans="1:30" x14ac:dyDescent="0.2">
      <c r="A925" s="78" t="s">
        <v>111</v>
      </c>
      <c r="B925" s="79" t="s">
        <v>112</v>
      </c>
      <c r="C925" s="80"/>
      <c r="D925" s="80"/>
      <c r="E925" s="80"/>
      <c r="F925" s="80"/>
      <c r="H925" s="81" t="s">
        <v>1050</v>
      </c>
      <c r="I925" s="82"/>
      <c r="J925" s="82"/>
      <c r="L925" s="83" t="s">
        <v>1051</v>
      </c>
      <c r="M925" s="84"/>
      <c r="N925" s="84"/>
      <c r="R925" s="85" t="s">
        <v>1052</v>
      </c>
    </row>
    <row r="926" spans="1:30" x14ac:dyDescent="0.2">
      <c r="B926" s="68" t="s">
        <v>116</v>
      </c>
      <c r="C926" s="68" t="s">
        <v>117</v>
      </c>
      <c r="D926" s="68" t="s">
        <v>118</v>
      </c>
      <c r="E926" s="68" t="s">
        <v>119</v>
      </c>
      <c r="F926" s="68" t="s">
        <v>120</v>
      </c>
      <c r="H926" s="86" t="s">
        <v>116</v>
      </c>
      <c r="I926" s="86" t="s">
        <v>119</v>
      </c>
      <c r="J926" s="86" t="s">
        <v>120</v>
      </c>
      <c r="L926" s="87" t="s">
        <v>116</v>
      </c>
      <c r="M926" s="87" t="s">
        <v>119</v>
      </c>
      <c r="N926" s="87" t="s">
        <v>120</v>
      </c>
      <c r="R926" s="88" t="s">
        <v>1053</v>
      </c>
    </row>
    <row r="927" spans="1:30" x14ac:dyDescent="0.2">
      <c r="A927" s="89" t="s">
        <v>122</v>
      </c>
      <c r="B927" s="90">
        <v>5.75</v>
      </c>
      <c r="C927" s="91">
        <f>$N$924-$L$924+1</f>
        <v>30</v>
      </c>
      <c r="D927" s="92">
        <v>3.4085999999999999</v>
      </c>
      <c r="E927" s="93">
        <v>3.85</v>
      </c>
      <c r="F927" s="94">
        <f t="shared" ref="F927:F934" si="157">ROUND(B927*E927,2)</f>
        <v>22.14</v>
      </c>
      <c r="H927" s="95">
        <v>5.75</v>
      </c>
      <c r="I927" s="96">
        <v>3.85</v>
      </c>
      <c r="J927" s="97">
        <f t="shared" ref="J927:J934" si="158">ROUND(H927*I927,2)</f>
        <v>22.14</v>
      </c>
      <c r="L927" s="98">
        <v>5.75</v>
      </c>
      <c r="M927" s="99">
        <v>3.85</v>
      </c>
      <c r="N927" s="100">
        <f t="shared" ref="N927:N934" si="159">ROUND(L927*M927,2)</f>
        <v>22.14</v>
      </c>
      <c r="R927" s="101" t="s">
        <v>1054</v>
      </c>
    </row>
    <row r="928" spans="1:30" x14ac:dyDescent="0.2">
      <c r="A928" s="89" t="s">
        <v>124</v>
      </c>
      <c r="B928" s="90">
        <v>5.75</v>
      </c>
      <c r="C928" s="91">
        <f>$N$924-$L$924+1</f>
        <v>30</v>
      </c>
      <c r="D928" s="92">
        <v>1.09728</v>
      </c>
      <c r="E928" s="93">
        <v>1.33</v>
      </c>
      <c r="F928" s="94">
        <f t="shared" si="157"/>
        <v>7.65</v>
      </c>
      <c r="H928" s="95">
        <v>5.75</v>
      </c>
      <c r="I928" s="96">
        <v>1.33</v>
      </c>
      <c r="J928" s="97">
        <f t="shared" si="158"/>
        <v>7.65</v>
      </c>
      <c r="L928" s="98">
        <v>5.75</v>
      </c>
      <c r="M928" s="99">
        <v>1.33</v>
      </c>
      <c r="N928" s="100">
        <f t="shared" si="159"/>
        <v>7.65</v>
      </c>
      <c r="R928" s="102" t="s">
        <v>1055</v>
      </c>
    </row>
    <row r="929" spans="1:30" x14ac:dyDescent="0.2">
      <c r="A929" s="89" t="s">
        <v>614</v>
      </c>
      <c r="B929" s="90">
        <f>IF($P$929&lt;&gt;"",ROUND(AA929*(($AB$929/(1-$P$929))-29.785)/22.5536,2),IF('Resumen 2.0TD'!$D$3="OPTIMIZAR",ROUND(MAX(AA929,MIN(AA929*(($AB$929/(1-'Resumen 2.0TD'!$F$3))-29.785)/22.5536,AA929*(99.4728)/22.5536)),3),AA929))</f>
        <v>40.652999999999999</v>
      </c>
      <c r="C929" s="103"/>
      <c r="D929" s="92">
        <v>0.110306</v>
      </c>
      <c r="E929" s="93">
        <v>0.13788</v>
      </c>
      <c r="F929" s="94">
        <f t="shared" si="157"/>
        <v>5.61</v>
      </c>
      <c r="H929" s="95">
        <v>143.791</v>
      </c>
      <c r="I929" s="96">
        <v>0.13788</v>
      </c>
      <c r="J929" s="97">
        <f t="shared" si="158"/>
        <v>19.829999999999998</v>
      </c>
      <c r="L929" s="98">
        <v>47.398000000000003</v>
      </c>
      <c r="M929" s="99">
        <v>0.13788</v>
      </c>
      <c r="N929" s="100">
        <f t="shared" si="159"/>
        <v>6.54</v>
      </c>
      <c r="O929" s="104" t="s">
        <v>615</v>
      </c>
      <c r="P929" s="67"/>
      <c r="R929" s="102" t="s">
        <v>1056</v>
      </c>
      <c r="AA929">
        <v>27.780999999999999</v>
      </c>
      <c r="AB929">
        <f>B927*D927+B928*D928+AA929*D929+AA930*D930+AA931*D931</f>
        <v>43.952003643999994</v>
      </c>
    </row>
    <row r="930" spans="1:30" x14ac:dyDescent="0.2">
      <c r="A930" s="89" t="s">
        <v>617</v>
      </c>
      <c r="B930" s="90">
        <f>IF($P$929&lt;&gt;"",ROUND(AA930*(($AB$929/(1-$P$929))-29.785)/22.5536,2),IF('Resumen 2.0TD'!$D$3="OPTIMIZAR",ROUND(MAX(AA930,MIN(AA930*(($AB$929/(1-'Resumen 2.0TD'!$F$3))-29.785)/22.5536,AA930*(99.4728)/22.5536)),3),AA930))</f>
        <v>36.234000000000002</v>
      </c>
      <c r="C930" s="103"/>
      <c r="D930" s="92">
        <v>0.110306</v>
      </c>
      <c r="E930" s="93">
        <v>0.13788</v>
      </c>
      <c r="F930" s="94">
        <f t="shared" si="157"/>
        <v>5</v>
      </c>
      <c r="H930" s="95">
        <v>150.30699999999999</v>
      </c>
      <c r="I930" s="96">
        <v>0.13788</v>
      </c>
      <c r="J930" s="97">
        <f t="shared" si="158"/>
        <v>20.72</v>
      </c>
      <c r="L930" s="98">
        <v>43.539000000000001</v>
      </c>
      <c r="M930" s="99">
        <v>0.13788</v>
      </c>
      <c r="N930" s="100">
        <f t="shared" si="159"/>
        <v>6</v>
      </c>
      <c r="O930" s="105" t="s">
        <v>618</v>
      </c>
      <c r="R930" s="102" t="s">
        <v>619</v>
      </c>
      <c r="AA930">
        <v>24.760999999999999</v>
      </c>
    </row>
    <row r="931" spans="1:30" x14ac:dyDescent="0.2">
      <c r="A931" s="89" t="s">
        <v>620</v>
      </c>
      <c r="B931" s="90">
        <f>IF($P$929&lt;&gt;"",ROUND(AA931*(($AB$929/(1-$P$929))-29.785)/22.5536,2),IF('Resumen 2.0TD'!$D$3="OPTIMIZAR",ROUND(MAX(AA931,MIN(AA931*(($AB$929/(1-'Resumen 2.0TD'!$F$3))-29.785)/22.5536,AA931*(99.4728)/22.5536)),3),AA931))</f>
        <v>162.47800000000001</v>
      </c>
      <c r="C931" s="103"/>
      <c r="D931" s="92">
        <v>0.110306</v>
      </c>
      <c r="E931" s="93">
        <v>0.13788</v>
      </c>
      <c r="F931" s="94">
        <f t="shared" si="157"/>
        <v>22.4</v>
      </c>
      <c r="H931" s="95">
        <v>318.11099999999999</v>
      </c>
      <c r="I931" s="96">
        <v>0.13788</v>
      </c>
      <c r="J931" s="97">
        <f t="shared" si="158"/>
        <v>43.86</v>
      </c>
      <c r="L931" s="98">
        <v>128.62799999999999</v>
      </c>
      <c r="M931" s="99">
        <v>0.13788</v>
      </c>
      <c r="N931" s="100">
        <f t="shared" si="159"/>
        <v>17.739999999999998</v>
      </c>
      <c r="O931" s="105" t="s">
        <v>621</v>
      </c>
      <c r="AA931">
        <v>111.032</v>
      </c>
    </row>
    <row r="932" spans="1:30" x14ac:dyDescent="0.2">
      <c r="A932" s="89" t="s">
        <v>139</v>
      </c>
      <c r="B932" s="90">
        <v>1</v>
      </c>
      <c r="C932" s="91">
        <f>$N$924-$L$924+1</f>
        <v>30</v>
      </c>
      <c r="D932" s="92">
        <v>0.79890000000000005</v>
      </c>
      <c r="E932" s="93">
        <v>3</v>
      </c>
      <c r="F932" s="94">
        <f t="shared" si="157"/>
        <v>3</v>
      </c>
      <c r="H932" s="95">
        <v>1</v>
      </c>
      <c r="I932" s="96">
        <v>3</v>
      </c>
      <c r="J932" s="97">
        <f t="shared" si="158"/>
        <v>3</v>
      </c>
      <c r="L932" s="98">
        <v>1</v>
      </c>
      <c r="M932" s="99">
        <v>3</v>
      </c>
      <c r="N932" s="100">
        <f t="shared" si="159"/>
        <v>3</v>
      </c>
    </row>
    <row r="933" spans="1:30" x14ac:dyDescent="0.2">
      <c r="A933" s="89" t="s">
        <v>140</v>
      </c>
      <c r="B933" s="90">
        <v>30</v>
      </c>
      <c r="C933" s="91">
        <f>$N$924-$L$924+1</f>
        <v>30</v>
      </c>
      <c r="D933" s="92">
        <v>0.5736</v>
      </c>
      <c r="E933" s="93">
        <v>1.274E-2</v>
      </c>
      <c r="F933" s="94">
        <f t="shared" si="157"/>
        <v>0.38</v>
      </c>
      <c r="H933" s="95">
        <v>30</v>
      </c>
      <c r="I933" s="96">
        <v>1.274E-2</v>
      </c>
      <c r="J933" s="97">
        <f t="shared" si="158"/>
        <v>0.38</v>
      </c>
      <c r="L933" s="98">
        <v>30</v>
      </c>
      <c r="M933" s="99">
        <v>6.2899999999999996E-3</v>
      </c>
      <c r="N933" s="100">
        <f t="shared" si="159"/>
        <v>0.19</v>
      </c>
    </row>
    <row r="934" spans="1:30" x14ac:dyDescent="0.2">
      <c r="A934" s="89" t="s">
        <v>141</v>
      </c>
      <c r="B934" s="90">
        <v>1.53</v>
      </c>
      <c r="C934" s="103"/>
      <c r="D934" s="92">
        <v>0.24729000000000001</v>
      </c>
      <c r="E934" s="93">
        <v>1</v>
      </c>
      <c r="F934" s="94">
        <f t="shared" si="157"/>
        <v>1.53</v>
      </c>
      <c r="H934" s="95">
        <v>4.75</v>
      </c>
      <c r="I934" s="96">
        <v>1</v>
      </c>
      <c r="J934" s="97">
        <f t="shared" si="158"/>
        <v>4.75</v>
      </c>
      <c r="L934" s="98">
        <v>1.79</v>
      </c>
      <c r="M934" s="99">
        <v>1</v>
      </c>
      <c r="N934" s="100">
        <f t="shared" si="159"/>
        <v>1.79</v>
      </c>
    </row>
    <row r="935" spans="1:30" x14ac:dyDescent="0.2">
      <c r="A935" s="106" t="s">
        <v>142</v>
      </c>
      <c r="F935" s="107">
        <f>ROUND((SUM(F927:F934)-F934)*1.1+F934,2)</f>
        <v>74.33</v>
      </c>
      <c r="J935" s="108">
        <f>ROUND(SUM(J927:J934),2)</f>
        <v>122.33</v>
      </c>
      <c r="N935" s="109">
        <f>ROUND(SUM(N927:N934),2)</f>
        <v>65.05</v>
      </c>
    </row>
    <row r="936" spans="1:30" x14ac:dyDescent="0.2">
      <c r="A936" s="78" t="s">
        <v>143</v>
      </c>
      <c r="B936" s="110">
        <f>IF((F931+F930+F929+F927+F928)=0,"",((F931+F930+F929+F927+F928)-$AB$929)/(F931+F930+F929+F927+F928))</f>
        <v>0.3001273305095542</v>
      </c>
      <c r="D936" s="139" t="str">
        <f>IF(B936="","SIN PC",IF(B936&gt;=0.3,"APROBAR",IF(B936&gt;=0.2,"REVISAR","RECHAZAR")))</f>
        <v>APROBAR</v>
      </c>
      <c r="E936" s="139"/>
      <c r="F936" s="139"/>
      <c r="AD936">
        <f>SUM(F929:F931)-22.5536</f>
        <v>10.456399999999999</v>
      </c>
    </row>
    <row r="937" spans="1:30" x14ac:dyDescent="0.2">
      <c r="A937" s="140" t="s">
        <v>743</v>
      </c>
      <c r="B937" s="140"/>
      <c r="C937" s="140"/>
      <c r="D937" s="140"/>
      <c r="E937" s="140"/>
      <c r="F937" s="140"/>
    </row>
    <row r="938" spans="1:30" x14ac:dyDescent="0.2">
      <c r="A938" s="111" t="s">
        <v>111</v>
      </c>
      <c r="B938" s="111" t="s">
        <v>744</v>
      </c>
      <c r="D938" s="111" t="s">
        <v>745</v>
      </c>
      <c r="E938" s="111" t="s">
        <v>746</v>
      </c>
      <c r="F938" s="111" t="s">
        <v>120</v>
      </c>
    </row>
    <row r="939" spans="1:30" x14ac:dyDescent="0.2">
      <c r="A939" s="112" t="s">
        <v>747</v>
      </c>
      <c r="B939" s="113">
        <v>696</v>
      </c>
      <c r="C939" s="114"/>
      <c r="D939" s="92">
        <v>0.06</v>
      </c>
      <c r="E939" s="114"/>
      <c r="F939" s="115">
        <f>ROUND(B939*D939,2)</f>
        <v>41.76</v>
      </c>
    </row>
    <row r="940" spans="1:30" x14ac:dyDescent="0.2">
      <c r="A940" s="112" t="s">
        <v>748</v>
      </c>
      <c r="B940" s="114"/>
      <c r="C940" s="114"/>
      <c r="D940" s="114"/>
      <c r="E940" s="116">
        <v>0.06</v>
      </c>
      <c r="F940" s="115">
        <v>22.55</v>
      </c>
    </row>
    <row r="941" spans="1:30" x14ac:dyDescent="0.2">
      <c r="A941" s="117" t="s">
        <v>749</v>
      </c>
      <c r="B941" s="114"/>
      <c r="C941" s="114"/>
      <c r="D941" s="114"/>
      <c r="E941" s="114"/>
      <c r="F941" s="118">
        <f>F939-F940</f>
        <v>19.209999999999997</v>
      </c>
    </row>
    <row r="943" spans="1:30" x14ac:dyDescent="0.2">
      <c r="A943" s="137" t="s">
        <v>1057</v>
      </c>
      <c r="B943" s="137"/>
      <c r="C943" s="137"/>
      <c r="D943" s="137"/>
      <c r="E943" s="137"/>
      <c r="F943" s="137"/>
      <c r="H943" s="137" t="s">
        <v>1058</v>
      </c>
      <c r="I943" s="137"/>
      <c r="J943" s="137"/>
      <c r="K943" s="137"/>
      <c r="L943" s="76">
        <v>46113</v>
      </c>
      <c r="M943" s="77" t="s">
        <v>607</v>
      </c>
      <c r="N943" s="76">
        <v>46142</v>
      </c>
      <c r="R943" s="138" t="s">
        <v>110</v>
      </c>
      <c r="S943" s="138"/>
      <c r="T943" s="138"/>
      <c r="U943" s="138"/>
      <c r="V943" s="138"/>
    </row>
    <row r="944" spans="1:30" x14ac:dyDescent="0.2">
      <c r="A944" s="78" t="s">
        <v>111</v>
      </c>
      <c r="B944" s="79" t="s">
        <v>112</v>
      </c>
      <c r="C944" s="80"/>
      <c r="D944" s="80"/>
      <c r="E944" s="80"/>
      <c r="F944" s="80"/>
      <c r="H944" s="81" t="s">
        <v>1059</v>
      </c>
      <c r="I944" s="82"/>
      <c r="J944" s="82"/>
      <c r="L944" s="83" t="s">
        <v>1060</v>
      </c>
      <c r="M944" s="84"/>
      <c r="N944" s="84"/>
      <c r="R944" s="85" t="s">
        <v>1061</v>
      </c>
    </row>
    <row r="945" spans="1:30" x14ac:dyDescent="0.2">
      <c r="B945" s="68" t="s">
        <v>116</v>
      </c>
      <c r="C945" s="68" t="s">
        <v>117</v>
      </c>
      <c r="D945" s="68" t="s">
        <v>118</v>
      </c>
      <c r="E945" s="68" t="s">
        <v>119</v>
      </c>
      <c r="F945" s="68" t="s">
        <v>120</v>
      </c>
      <c r="H945" s="86" t="s">
        <v>116</v>
      </c>
      <c r="I945" s="86" t="s">
        <v>119</v>
      </c>
      <c r="J945" s="86" t="s">
        <v>120</v>
      </c>
      <c r="L945" s="87" t="s">
        <v>116</v>
      </c>
      <c r="M945" s="87" t="s">
        <v>119</v>
      </c>
      <c r="N945" s="87" t="s">
        <v>120</v>
      </c>
      <c r="R945" s="88" t="s">
        <v>1062</v>
      </c>
    </row>
    <row r="946" spans="1:30" x14ac:dyDescent="0.2">
      <c r="A946" s="89" t="s">
        <v>122</v>
      </c>
      <c r="B946" s="90">
        <v>6.9</v>
      </c>
      <c r="C946" s="91">
        <f>$N$943-$L$943+1</f>
        <v>30</v>
      </c>
      <c r="D946" s="92">
        <v>3.68919</v>
      </c>
      <c r="E946" s="93">
        <v>3.85</v>
      </c>
      <c r="F946" s="94">
        <f t="shared" ref="F946:F953" si="160">ROUND(B946*E946,2)</f>
        <v>26.57</v>
      </c>
      <c r="H946" s="95">
        <v>6.9</v>
      </c>
      <c r="I946" s="96">
        <v>3.85</v>
      </c>
      <c r="J946" s="97">
        <f t="shared" ref="J946:J953" si="161">ROUND(H946*I946,2)</f>
        <v>26.57</v>
      </c>
      <c r="L946" s="98">
        <v>6.9</v>
      </c>
      <c r="M946" s="99">
        <v>3.85</v>
      </c>
      <c r="N946" s="100">
        <f t="shared" ref="N946:N953" si="162">ROUND(L946*M946,2)</f>
        <v>26.57</v>
      </c>
      <c r="R946" s="101" t="s">
        <v>1063</v>
      </c>
    </row>
    <row r="947" spans="1:30" x14ac:dyDescent="0.2">
      <c r="A947" s="89" t="s">
        <v>124</v>
      </c>
      <c r="B947" s="90">
        <v>6.9</v>
      </c>
      <c r="C947" s="91">
        <f>$N$943-$L$943+1</f>
        <v>30</v>
      </c>
      <c r="D947" s="92">
        <v>1.31928</v>
      </c>
      <c r="E947" s="93">
        <v>1.33</v>
      </c>
      <c r="F947" s="94">
        <f t="shared" si="160"/>
        <v>9.18</v>
      </c>
      <c r="H947" s="95">
        <v>6.9</v>
      </c>
      <c r="I947" s="96">
        <v>1.33</v>
      </c>
      <c r="J947" s="97">
        <f t="shared" si="161"/>
        <v>9.18</v>
      </c>
      <c r="L947" s="98">
        <v>6.9</v>
      </c>
      <c r="M947" s="99">
        <v>1.33</v>
      </c>
      <c r="N947" s="100">
        <f t="shared" si="162"/>
        <v>9.18</v>
      </c>
      <c r="R947" s="102" t="s">
        <v>1064</v>
      </c>
    </row>
    <row r="948" spans="1:30" x14ac:dyDescent="0.2">
      <c r="A948" s="89" t="s">
        <v>614</v>
      </c>
      <c r="B948" s="90">
        <f>IF($P$948&lt;&gt;"",ROUND(AA948*(($AB$948/(1-$P$948))-35.742)/76.417,2),IF('Resumen 2.0TD'!$D$3="OPTIMIZAR",ROUND(MAX(AA948,MIN(AA948*(($AB$948/(1-'Resumen 2.0TD'!$F$3))-35.742)/76.417,AA948*(189.8258)/76.417)),3),AA948))</f>
        <v>181.91800000000001</v>
      </c>
      <c r="C948" s="103"/>
      <c r="D948" s="92">
        <v>0.11117100000000001</v>
      </c>
      <c r="E948" s="93">
        <v>0.13788</v>
      </c>
      <c r="F948" s="94">
        <f t="shared" si="160"/>
        <v>25.08</v>
      </c>
      <c r="H948" s="95">
        <v>139.124</v>
      </c>
      <c r="I948" s="96">
        <v>0.13788</v>
      </c>
      <c r="J948" s="97">
        <f t="shared" si="161"/>
        <v>19.18</v>
      </c>
      <c r="L948" s="98">
        <v>132.822</v>
      </c>
      <c r="M948" s="99">
        <v>0.13788</v>
      </c>
      <c r="N948" s="100">
        <f t="shared" si="162"/>
        <v>18.309999999999999</v>
      </c>
      <c r="O948" s="104" t="s">
        <v>615</v>
      </c>
      <c r="P948" s="67"/>
      <c r="R948" s="102" t="s">
        <v>1065</v>
      </c>
      <c r="AA948">
        <v>136.76300000000001</v>
      </c>
      <c r="AB948">
        <f>B946*D946+B947*D947+AA948*D948+AA949*D949+AA950*D950</f>
        <v>96.172523988000009</v>
      </c>
    </row>
    <row r="949" spans="1:30" x14ac:dyDescent="0.2">
      <c r="A949" s="89" t="s">
        <v>617</v>
      </c>
      <c r="B949" s="90">
        <f>IF($P$948&lt;&gt;"",ROUND(AA949*(($AB$948/(1-$P$948))-35.742)/76.417,2),IF('Resumen 2.0TD'!$D$3="OPTIMIZAR",ROUND(MAX(AA949,MIN(AA949*(($AB$948/(1-'Resumen 2.0TD'!$F$3))-35.742)/76.417,AA949*(189.8258)/76.417)),3),AA949))</f>
        <v>197.39</v>
      </c>
      <c r="C949" s="103"/>
      <c r="D949" s="92">
        <v>0.11117100000000001</v>
      </c>
      <c r="E949" s="93">
        <v>0.13788</v>
      </c>
      <c r="F949" s="94">
        <f t="shared" si="160"/>
        <v>27.22</v>
      </c>
      <c r="H949" s="95">
        <v>191.74199999999999</v>
      </c>
      <c r="I949" s="96">
        <v>0.13788</v>
      </c>
      <c r="J949" s="97">
        <f t="shared" si="161"/>
        <v>26.44</v>
      </c>
      <c r="L949" s="98">
        <v>135.01599999999999</v>
      </c>
      <c r="M949" s="99">
        <v>0.13788</v>
      </c>
      <c r="N949" s="100">
        <f t="shared" si="162"/>
        <v>18.62</v>
      </c>
      <c r="O949" s="105" t="s">
        <v>618</v>
      </c>
      <c r="R949" s="102" t="s">
        <v>619</v>
      </c>
      <c r="AA949">
        <v>148.39500000000001</v>
      </c>
    </row>
    <row r="950" spans="1:30" x14ac:dyDescent="0.2">
      <c r="A950" s="89" t="s">
        <v>620</v>
      </c>
      <c r="B950" s="90">
        <f>IF($P$948&lt;&gt;"",ROUND(AA950*(($AB$948/(1-$P$948))-35.742)/76.417,2),IF('Resumen 2.0TD'!$D$3="OPTIMIZAR",ROUND(MAX(AA950,MIN(AA950*(($AB$948/(1-'Resumen 2.0TD'!$F$3))-35.742)/76.417,AA950*(189.8258)/76.417)),3),AA950))</f>
        <v>357.90800000000002</v>
      </c>
      <c r="C950" s="103"/>
      <c r="D950" s="92">
        <v>0.11117100000000001</v>
      </c>
      <c r="E950" s="93">
        <v>0.13788</v>
      </c>
      <c r="F950" s="94">
        <f t="shared" si="160"/>
        <v>49.35</v>
      </c>
      <c r="H950" s="95">
        <v>358.56099999999998</v>
      </c>
      <c r="I950" s="96">
        <v>0.13788</v>
      </c>
      <c r="J950" s="97">
        <f t="shared" si="161"/>
        <v>49.44</v>
      </c>
      <c r="L950" s="98">
        <v>286.38299999999998</v>
      </c>
      <c r="M950" s="99">
        <v>0.13788</v>
      </c>
      <c r="N950" s="100">
        <f t="shared" si="162"/>
        <v>39.49</v>
      </c>
      <c r="O950" s="105" t="s">
        <v>621</v>
      </c>
      <c r="AA950">
        <v>269.07</v>
      </c>
    </row>
    <row r="951" spans="1:30" x14ac:dyDescent="0.2">
      <c r="A951" s="89" t="s">
        <v>139</v>
      </c>
      <c r="B951" s="90">
        <v>1</v>
      </c>
      <c r="C951" s="91">
        <f>$N$943-$L$943+1</f>
        <v>30</v>
      </c>
      <c r="D951" s="92">
        <v>0.79890000000000005</v>
      </c>
      <c r="E951" s="93">
        <v>3</v>
      </c>
      <c r="F951" s="94">
        <f t="shared" si="160"/>
        <v>3</v>
      </c>
      <c r="H951" s="95">
        <v>1</v>
      </c>
      <c r="I951" s="96">
        <v>3</v>
      </c>
      <c r="J951" s="97">
        <f t="shared" si="161"/>
        <v>3</v>
      </c>
      <c r="L951" s="98">
        <v>1</v>
      </c>
      <c r="M951" s="99">
        <v>3</v>
      </c>
      <c r="N951" s="100">
        <f t="shared" si="162"/>
        <v>3</v>
      </c>
    </row>
    <row r="952" spans="1:30" x14ac:dyDescent="0.2">
      <c r="A952" s="89" t="s">
        <v>140</v>
      </c>
      <c r="B952" s="90">
        <v>30</v>
      </c>
      <c r="C952" s="91">
        <f>$N$943-$L$943+1</f>
        <v>30</v>
      </c>
      <c r="D952" s="92">
        <v>0.5736</v>
      </c>
      <c r="E952" s="93">
        <v>1.274E-2</v>
      </c>
      <c r="F952" s="94">
        <f t="shared" si="160"/>
        <v>0.38</v>
      </c>
      <c r="H952" s="95">
        <v>30</v>
      </c>
      <c r="I952" s="96">
        <v>1.274E-2</v>
      </c>
      <c r="J952" s="97">
        <f t="shared" si="161"/>
        <v>0.38</v>
      </c>
      <c r="L952" s="98">
        <v>30</v>
      </c>
      <c r="M952" s="99">
        <v>6.2899999999999996E-3</v>
      </c>
      <c r="N952" s="100">
        <f t="shared" si="162"/>
        <v>0.19</v>
      </c>
    </row>
    <row r="953" spans="1:30" x14ac:dyDescent="0.2">
      <c r="A953" s="89" t="s">
        <v>141</v>
      </c>
      <c r="B953" s="90">
        <v>5.74</v>
      </c>
      <c r="C953" s="103"/>
      <c r="D953" s="92">
        <v>0.27311999999999997</v>
      </c>
      <c r="E953" s="93">
        <v>1</v>
      </c>
      <c r="F953" s="94">
        <f t="shared" si="160"/>
        <v>5.74</v>
      </c>
      <c r="H953" s="95">
        <v>6.69</v>
      </c>
      <c r="I953" s="96">
        <v>1</v>
      </c>
      <c r="J953" s="97">
        <f t="shared" si="161"/>
        <v>6.69</v>
      </c>
      <c r="L953" s="98">
        <v>5.74</v>
      </c>
      <c r="M953" s="99">
        <v>1</v>
      </c>
      <c r="N953" s="100">
        <f t="shared" si="162"/>
        <v>5.74</v>
      </c>
    </row>
    <row r="954" spans="1:30" x14ac:dyDescent="0.2">
      <c r="A954" s="106" t="s">
        <v>142</v>
      </c>
      <c r="F954" s="107">
        <f>ROUND((SUM(F946:F953)-F953)*1.1+F953,2)</f>
        <v>160.6</v>
      </c>
      <c r="J954" s="108">
        <f>ROUND(SUM(J946:J953),2)</f>
        <v>140.88</v>
      </c>
      <c r="N954" s="109">
        <f>ROUND(SUM(N946:N953),2)</f>
        <v>121.1</v>
      </c>
    </row>
    <row r="955" spans="1:30" x14ac:dyDescent="0.2">
      <c r="A955" s="78" t="s">
        <v>143</v>
      </c>
      <c r="B955" s="110">
        <f>IF((F950+F949+F948+F946+F947)=0,"",((F950+F949+F948+F946+F947)-$AB$948)/(F950+F949+F948+F946+F947))</f>
        <v>0.30005441056768556</v>
      </c>
      <c r="D955" s="139" t="str">
        <f>IF(B955="","SIN PC",IF(B955&gt;=0.3,"APROBAR",IF(B955&gt;=0.2,"REVISAR","RECHAZAR")))</f>
        <v>APROBAR</v>
      </c>
      <c r="E955" s="139"/>
      <c r="F955" s="139"/>
      <c r="AD955">
        <f>SUM(F948:F950)-76.417</f>
        <v>25.233000000000004</v>
      </c>
    </row>
    <row r="957" spans="1:30" x14ac:dyDescent="0.2">
      <c r="A957" s="137" t="s">
        <v>1066</v>
      </c>
      <c r="B957" s="137"/>
      <c r="C957" s="137"/>
      <c r="D957" s="137"/>
      <c r="E957" s="137"/>
      <c r="F957" s="137"/>
      <c r="H957" s="137" t="s">
        <v>1067</v>
      </c>
      <c r="I957" s="137"/>
      <c r="J957" s="137"/>
      <c r="K957" s="137"/>
      <c r="L957" s="76">
        <v>46113</v>
      </c>
      <c r="M957" s="77" t="s">
        <v>607</v>
      </c>
      <c r="N957" s="76">
        <v>46142</v>
      </c>
      <c r="R957" s="138" t="s">
        <v>110</v>
      </c>
      <c r="S957" s="138"/>
      <c r="T957" s="138"/>
      <c r="U957" s="138"/>
      <c r="V957" s="138"/>
    </row>
    <row r="958" spans="1:30" x14ac:dyDescent="0.2">
      <c r="A958" s="78" t="s">
        <v>111</v>
      </c>
      <c r="B958" s="79" t="s">
        <v>112</v>
      </c>
      <c r="C958" s="80"/>
      <c r="D958" s="80"/>
      <c r="E958" s="80"/>
      <c r="F958" s="80"/>
      <c r="H958" s="81" t="s">
        <v>1068</v>
      </c>
      <c r="I958" s="82"/>
      <c r="J958" s="82"/>
      <c r="L958" s="83" t="s">
        <v>1069</v>
      </c>
      <c r="M958" s="84"/>
      <c r="N958" s="84"/>
      <c r="R958" s="85" t="s">
        <v>1070</v>
      </c>
    </row>
    <row r="959" spans="1:30" x14ac:dyDescent="0.2">
      <c r="B959" s="68" t="s">
        <v>116</v>
      </c>
      <c r="C959" s="68" t="s">
        <v>117</v>
      </c>
      <c r="D959" s="68" t="s">
        <v>118</v>
      </c>
      <c r="E959" s="68" t="s">
        <v>119</v>
      </c>
      <c r="F959" s="68" t="s">
        <v>120</v>
      </c>
      <c r="H959" s="86" t="s">
        <v>116</v>
      </c>
      <c r="I959" s="86" t="s">
        <v>119</v>
      </c>
      <c r="J959" s="86" t="s">
        <v>120</v>
      </c>
      <c r="L959" s="87" t="s">
        <v>116</v>
      </c>
      <c r="M959" s="87" t="s">
        <v>119</v>
      </c>
      <c r="N959" s="87" t="s">
        <v>120</v>
      </c>
      <c r="R959" s="88" t="s">
        <v>1071</v>
      </c>
    </row>
    <row r="960" spans="1:30" x14ac:dyDescent="0.2">
      <c r="A960" s="89" t="s">
        <v>122</v>
      </c>
      <c r="B960" s="90">
        <v>6.9</v>
      </c>
      <c r="C960" s="91">
        <f>$N$957-$L$957+1</f>
        <v>30</v>
      </c>
      <c r="D960" s="92">
        <v>3.4085999999999999</v>
      </c>
      <c r="E960" s="93">
        <v>4.17</v>
      </c>
      <c r="F960" s="94">
        <f t="shared" ref="F960:F967" si="163">ROUND(B960*E960,2)</f>
        <v>28.77</v>
      </c>
      <c r="H960" s="95">
        <v>6.9</v>
      </c>
      <c r="I960" s="96">
        <v>4.17</v>
      </c>
      <c r="J960" s="97">
        <f t="shared" ref="J960:J967" si="164">ROUND(H960*I960,2)</f>
        <v>28.77</v>
      </c>
      <c r="L960" s="98">
        <v>6.9</v>
      </c>
      <c r="M960" s="99">
        <v>4.17</v>
      </c>
      <c r="N960" s="100">
        <f t="shared" ref="N960:N967" si="165">ROUND(L960*M960,2)</f>
        <v>28.77</v>
      </c>
      <c r="R960" s="101" t="s">
        <v>1072</v>
      </c>
    </row>
    <row r="961" spans="1:30" x14ac:dyDescent="0.2">
      <c r="A961" s="89" t="s">
        <v>124</v>
      </c>
      <c r="B961" s="90">
        <v>6.9</v>
      </c>
      <c r="C961" s="91">
        <f>$N$957-$L$957+1</f>
        <v>30</v>
      </c>
      <c r="D961" s="92">
        <v>1.09728</v>
      </c>
      <c r="E961" s="93">
        <v>1.37</v>
      </c>
      <c r="F961" s="94">
        <f t="shared" si="163"/>
        <v>9.4499999999999993</v>
      </c>
      <c r="H961" s="95">
        <v>6.9</v>
      </c>
      <c r="I961" s="96">
        <v>1.37</v>
      </c>
      <c r="J961" s="97">
        <f t="shared" si="164"/>
        <v>9.4499999999999993</v>
      </c>
      <c r="L961" s="98">
        <v>6.9</v>
      </c>
      <c r="M961" s="99">
        <v>1.37</v>
      </c>
      <c r="N961" s="100">
        <f t="shared" si="165"/>
        <v>9.4499999999999993</v>
      </c>
      <c r="R961" s="102" t="s">
        <v>1073</v>
      </c>
    </row>
    <row r="962" spans="1:30" x14ac:dyDescent="0.2">
      <c r="A962" s="89" t="s">
        <v>614</v>
      </c>
      <c r="B962" s="90">
        <f>IF($P$962&lt;&gt;"",ROUND(AA962*(($AB$962/(1-$P$962))-38.226)/60.5407,2),IF('Resumen 2.0TD'!$D$3="OPTIMIZAR",ROUND(MAX(AA962,MIN(AA962*(($AB$962/(1-'Resumen 2.0TD'!$F$3))-38.226)/60.5407,AA962*(183.5918)/60.5407)),3),AA962))</f>
        <v>120.864</v>
      </c>
      <c r="C962" s="103"/>
      <c r="D962" s="92">
        <v>0.110306</v>
      </c>
      <c r="E962" s="93">
        <v>0.14937</v>
      </c>
      <c r="F962" s="94">
        <f t="shared" si="163"/>
        <v>18.05</v>
      </c>
      <c r="H962" s="95">
        <v>270.04599999999999</v>
      </c>
      <c r="I962" s="96">
        <v>0.14937</v>
      </c>
      <c r="J962" s="97">
        <f t="shared" si="164"/>
        <v>40.340000000000003</v>
      </c>
      <c r="L962" s="98">
        <v>94.716999999999999</v>
      </c>
      <c r="M962" s="99">
        <v>0.14937</v>
      </c>
      <c r="N962" s="100">
        <f t="shared" si="165"/>
        <v>14.15</v>
      </c>
      <c r="O962" s="104" t="s">
        <v>615</v>
      </c>
      <c r="P962" s="67"/>
      <c r="R962" s="102" t="s">
        <v>1074</v>
      </c>
      <c r="AA962">
        <v>104.446</v>
      </c>
      <c r="AB962">
        <f>B960*D960+B961*D961+AA962*D962+AA963*D963+AA964*D964</f>
        <v>75.798365942000004</v>
      </c>
    </row>
    <row r="963" spans="1:30" x14ac:dyDescent="0.2">
      <c r="A963" s="89" t="s">
        <v>617</v>
      </c>
      <c r="B963" s="90">
        <f>IF($P$962&lt;&gt;"",ROUND(AA963*(($AB$962/(1-$P$962))-38.226)/60.5407,2),IF('Resumen 2.0TD'!$D$3="OPTIMIZAR",ROUND(MAX(AA963,MIN(AA963*(($AB$962/(1-'Resumen 2.0TD'!$F$3))-38.226)/60.5407,AA963*(183.5918)/60.5407)),3),AA963))</f>
        <v>85.171000000000006</v>
      </c>
      <c r="C963" s="103"/>
      <c r="D963" s="92">
        <v>0.110306</v>
      </c>
      <c r="E963" s="93">
        <v>0.14937</v>
      </c>
      <c r="F963" s="94">
        <f t="shared" si="163"/>
        <v>12.72</v>
      </c>
      <c r="H963" s="95">
        <v>255.74700000000001</v>
      </c>
      <c r="I963" s="96">
        <v>0.14937</v>
      </c>
      <c r="J963" s="97">
        <f t="shared" si="164"/>
        <v>38.200000000000003</v>
      </c>
      <c r="L963" s="98">
        <v>78.590999999999994</v>
      </c>
      <c r="M963" s="99">
        <v>0.14937</v>
      </c>
      <c r="N963" s="100">
        <f t="shared" si="165"/>
        <v>11.74</v>
      </c>
      <c r="O963" s="105" t="s">
        <v>618</v>
      </c>
      <c r="R963" s="102" t="s">
        <v>619</v>
      </c>
      <c r="AA963">
        <v>73.600999999999999</v>
      </c>
    </row>
    <row r="964" spans="1:30" x14ac:dyDescent="0.2">
      <c r="A964" s="89" t="s">
        <v>620</v>
      </c>
      <c r="B964" s="90">
        <f>IF($P$962&lt;&gt;"",ROUND(AA964*(($AB$962/(1-$P$962))-38.226)/60.5407,2),IF('Resumen 2.0TD'!$D$3="OPTIMIZAR",ROUND(MAX(AA964,MIN(AA964*(($AB$962/(1-'Resumen 2.0TD'!$F$3))-38.226)/60.5407,AA964*(183.5918)/60.5407)),3),AA964))</f>
        <v>262.98399999999998</v>
      </c>
      <c r="C964" s="103"/>
      <c r="D964" s="92">
        <v>0.110306</v>
      </c>
      <c r="E964" s="93">
        <v>0.14937</v>
      </c>
      <c r="F964" s="94">
        <f t="shared" si="163"/>
        <v>39.28</v>
      </c>
      <c r="H964" s="95">
        <v>369.09199999999998</v>
      </c>
      <c r="I964" s="96">
        <v>0.14937</v>
      </c>
      <c r="J964" s="97">
        <f t="shared" si="164"/>
        <v>55.13</v>
      </c>
      <c r="L964" s="98">
        <v>160.30500000000001</v>
      </c>
      <c r="M964" s="99">
        <v>0.14937</v>
      </c>
      <c r="N964" s="100">
        <f t="shared" si="165"/>
        <v>23.94</v>
      </c>
      <c r="O964" s="105" t="s">
        <v>621</v>
      </c>
      <c r="AA964">
        <v>227.26</v>
      </c>
    </row>
    <row r="965" spans="1:30" x14ac:dyDescent="0.2">
      <c r="A965" s="89" t="s">
        <v>139</v>
      </c>
      <c r="B965" s="90">
        <v>1</v>
      </c>
      <c r="C965" s="91">
        <f>$N$957-$L$957+1</f>
        <v>30</v>
      </c>
      <c r="D965" s="92">
        <v>0.79890000000000005</v>
      </c>
      <c r="E965" s="93">
        <v>4</v>
      </c>
      <c r="F965" s="94">
        <f t="shared" si="163"/>
        <v>4</v>
      </c>
      <c r="H965" s="95">
        <v>1</v>
      </c>
      <c r="I965" s="96">
        <v>4</v>
      </c>
      <c r="J965" s="97">
        <f t="shared" si="164"/>
        <v>4</v>
      </c>
      <c r="L965" s="98">
        <v>1</v>
      </c>
      <c r="M965" s="99">
        <v>4</v>
      </c>
      <c r="N965" s="100">
        <f t="shared" si="165"/>
        <v>4</v>
      </c>
    </row>
    <row r="966" spans="1:30" x14ac:dyDescent="0.2">
      <c r="A966" s="89" t="s">
        <v>140</v>
      </c>
      <c r="B966" s="90">
        <v>30</v>
      </c>
      <c r="C966" s="91">
        <f>$N$957-$L$957+1</f>
        <v>30</v>
      </c>
      <c r="D966" s="92">
        <v>0.5736</v>
      </c>
      <c r="E966" s="93">
        <v>1.274E-2</v>
      </c>
      <c r="F966" s="94">
        <f t="shared" si="163"/>
        <v>0.38</v>
      </c>
      <c r="H966" s="95">
        <v>30</v>
      </c>
      <c r="I966" s="96">
        <v>1.274E-2</v>
      </c>
      <c r="J966" s="97">
        <f t="shared" si="164"/>
        <v>0.38</v>
      </c>
      <c r="L966" s="98">
        <v>30</v>
      </c>
      <c r="M966" s="99">
        <v>6.2899999999999996E-3</v>
      </c>
      <c r="N966" s="100">
        <f t="shared" si="165"/>
        <v>0.19</v>
      </c>
    </row>
    <row r="967" spans="1:30" x14ac:dyDescent="0.2">
      <c r="A967" s="89" t="s">
        <v>141</v>
      </c>
      <c r="B967" s="90">
        <v>4.34</v>
      </c>
      <c r="C967" s="103"/>
      <c r="D967" s="92">
        <v>0.24729000000000001</v>
      </c>
      <c r="E967" s="93">
        <v>1</v>
      </c>
      <c r="F967" s="94">
        <f t="shared" si="163"/>
        <v>4.34</v>
      </c>
      <c r="H967" s="95">
        <v>8.4499999999999993</v>
      </c>
      <c r="I967" s="96">
        <v>1</v>
      </c>
      <c r="J967" s="97">
        <f t="shared" si="164"/>
        <v>8.4499999999999993</v>
      </c>
      <c r="L967" s="98">
        <v>3.75</v>
      </c>
      <c r="M967" s="99">
        <v>1</v>
      </c>
      <c r="N967" s="100">
        <f t="shared" si="165"/>
        <v>3.75</v>
      </c>
    </row>
    <row r="968" spans="1:30" x14ac:dyDescent="0.2">
      <c r="A968" s="106" t="s">
        <v>142</v>
      </c>
      <c r="F968" s="107">
        <f>ROUND((SUM(F960:F967)-F967)*1.1+F967,2)</f>
        <v>128.26</v>
      </c>
      <c r="J968" s="108">
        <f>ROUND(SUM(J960:J967),2)</f>
        <v>184.72</v>
      </c>
      <c r="N968" s="109">
        <f>ROUND(SUM(N960:N967),2)</f>
        <v>95.99</v>
      </c>
    </row>
    <row r="969" spans="1:30" x14ac:dyDescent="0.2">
      <c r="A969" s="78" t="s">
        <v>143</v>
      </c>
      <c r="B969" s="110">
        <f>IF((F964+F963+F962+F960+F961)=0,"",((F964+F963+F962+F960+F961)-$AB$962)/(F964+F963+F962+F960+F961))</f>
        <v>0.29991349457836886</v>
      </c>
      <c r="D969" s="139" t="str">
        <f>IF(B969="","SIN PC",IF(B969&gt;=0.3,"APROBAR",IF(B969&gt;=0.2,"REVISAR","RECHAZAR")))</f>
        <v>REVISAR</v>
      </c>
      <c r="E969" s="139"/>
      <c r="F969" s="139"/>
      <c r="AD969">
        <f>SUM(F962:F964)-60.5407</f>
        <v>9.5093000000000103</v>
      </c>
    </row>
    <row r="970" spans="1:30" x14ac:dyDescent="0.2">
      <c r="A970" s="140" t="s">
        <v>743</v>
      </c>
      <c r="B970" s="140"/>
      <c r="C970" s="140"/>
      <c r="D970" s="140"/>
      <c r="E970" s="140"/>
      <c r="F970" s="140"/>
    </row>
    <row r="971" spans="1:30" x14ac:dyDescent="0.2">
      <c r="A971" s="111" t="s">
        <v>111</v>
      </c>
      <c r="B971" s="111" t="s">
        <v>744</v>
      </c>
      <c r="D971" s="111" t="s">
        <v>745</v>
      </c>
      <c r="E971" s="111" t="s">
        <v>746</v>
      </c>
      <c r="F971" s="111" t="s">
        <v>120</v>
      </c>
    </row>
    <row r="972" spans="1:30" x14ac:dyDescent="0.2">
      <c r="A972" s="112" t="s">
        <v>747</v>
      </c>
      <c r="B972" s="113">
        <v>263</v>
      </c>
      <c r="C972" s="114"/>
      <c r="D972" s="92">
        <v>0.06</v>
      </c>
      <c r="E972" s="114"/>
      <c r="F972" s="115">
        <f>ROUND(B972*D972,2)</f>
        <v>15.78</v>
      </c>
    </row>
    <row r="973" spans="1:30" x14ac:dyDescent="0.2">
      <c r="A973" s="112" t="s">
        <v>748</v>
      </c>
      <c r="B973" s="114"/>
      <c r="C973" s="114"/>
      <c r="D973" s="114"/>
      <c r="E973" s="116">
        <v>0.06</v>
      </c>
      <c r="F973" s="115">
        <v>13.98</v>
      </c>
    </row>
    <row r="974" spans="1:30" x14ac:dyDescent="0.2">
      <c r="A974" s="117" t="s">
        <v>749</v>
      </c>
      <c r="B974" s="114"/>
      <c r="C974" s="114"/>
      <c r="D974" s="114"/>
      <c r="E974" s="114"/>
      <c r="F974" s="118">
        <f>F972-F973</f>
        <v>1.7999999999999989</v>
      </c>
    </row>
    <row r="976" spans="1:30" x14ac:dyDescent="0.2">
      <c r="A976" s="137" t="s">
        <v>1075</v>
      </c>
      <c r="B976" s="137"/>
      <c r="C976" s="137"/>
      <c r="D976" s="137"/>
      <c r="E976" s="137"/>
      <c r="F976" s="137"/>
      <c r="H976" s="137" t="s">
        <v>1076</v>
      </c>
      <c r="I976" s="137"/>
      <c r="J976" s="137"/>
      <c r="K976" s="137"/>
      <c r="L976" s="76">
        <v>46113</v>
      </c>
      <c r="M976" s="77" t="s">
        <v>607</v>
      </c>
      <c r="N976" s="76">
        <v>46142</v>
      </c>
      <c r="R976" s="138" t="s">
        <v>110</v>
      </c>
      <c r="S976" s="138"/>
      <c r="T976" s="138"/>
      <c r="U976" s="138"/>
      <c r="V976" s="138"/>
    </row>
    <row r="977" spans="1:30" x14ac:dyDescent="0.2">
      <c r="A977" s="78" t="s">
        <v>111</v>
      </c>
      <c r="B977" s="79" t="s">
        <v>112</v>
      </c>
      <c r="C977" s="80"/>
      <c r="D977" s="80"/>
      <c r="E977" s="80"/>
      <c r="F977" s="80"/>
      <c r="H977" s="81" t="s">
        <v>1077</v>
      </c>
      <c r="I977" s="82"/>
      <c r="J977" s="82"/>
      <c r="L977" s="83" t="s">
        <v>1078</v>
      </c>
      <c r="M977" s="84"/>
      <c r="N977" s="84"/>
      <c r="R977" s="85" t="s">
        <v>1079</v>
      </c>
    </row>
    <row r="978" spans="1:30" x14ac:dyDescent="0.2">
      <c r="B978" s="68" t="s">
        <v>116</v>
      </c>
      <c r="C978" s="68" t="s">
        <v>117</v>
      </c>
      <c r="D978" s="68" t="s">
        <v>118</v>
      </c>
      <c r="E978" s="68" t="s">
        <v>119</v>
      </c>
      <c r="F978" s="68" t="s">
        <v>120</v>
      </c>
      <c r="H978" s="86" t="s">
        <v>116</v>
      </c>
      <c r="I978" s="86" t="s">
        <v>119</v>
      </c>
      <c r="J978" s="86" t="s">
        <v>120</v>
      </c>
      <c r="L978" s="87" t="s">
        <v>116</v>
      </c>
      <c r="M978" s="87" t="s">
        <v>119</v>
      </c>
      <c r="N978" s="87" t="s">
        <v>120</v>
      </c>
      <c r="R978" s="88" t="s">
        <v>1080</v>
      </c>
    </row>
    <row r="979" spans="1:30" x14ac:dyDescent="0.2">
      <c r="A979" s="89" t="s">
        <v>122</v>
      </c>
      <c r="B979" s="90">
        <v>13.2</v>
      </c>
      <c r="C979" s="91">
        <f>$N$976-$L$976+1</f>
        <v>30</v>
      </c>
      <c r="D979" s="92">
        <v>3.68919</v>
      </c>
      <c r="E979" s="93">
        <v>4.17</v>
      </c>
      <c r="F979" s="94">
        <f t="shared" ref="F979:F986" si="166">ROUND(B979*E979,2)</f>
        <v>55.04</v>
      </c>
      <c r="H979" s="95">
        <v>13.2</v>
      </c>
      <c r="I979" s="96">
        <v>4.17</v>
      </c>
      <c r="J979" s="97">
        <f t="shared" ref="J979:J986" si="167">ROUND(H979*I979,2)</f>
        <v>55.04</v>
      </c>
      <c r="L979" s="98">
        <v>13.2</v>
      </c>
      <c r="M979" s="99">
        <v>4.17</v>
      </c>
      <c r="N979" s="100">
        <f t="shared" ref="N979:N986" si="168">ROUND(L979*M979,2)</f>
        <v>55.04</v>
      </c>
      <c r="R979" s="101" t="s">
        <v>1081</v>
      </c>
    </row>
    <row r="980" spans="1:30" x14ac:dyDescent="0.2">
      <c r="A980" s="89" t="s">
        <v>124</v>
      </c>
      <c r="B980" s="90">
        <v>13.2</v>
      </c>
      <c r="C980" s="91">
        <f>$N$976-$L$976+1</f>
        <v>30</v>
      </c>
      <c r="D980" s="92">
        <v>1.31928</v>
      </c>
      <c r="E980" s="93">
        <v>1.37</v>
      </c>
      <c r="F980" s="94">
        <f t="shared" si="166"/>
        <v>18.079999999999998</v>
      </c>
      <c r="H980" s="95">
        <v>13.2</v>
      </c>
      <c r="I980" s="96">
        <v>1.37</v>
      </c>
      <c r="J980" s="97">
        <f t="shared" si="167"/>
        <v>18.079999999999998</v>
      </c>
      <c r="L980" s="98">
        <v>13.2</v>
      </c>
      <c r="M980" s="99">
        <v>1.37</v>
      </c>
      <c r="N980" s="100">
        <f t="shared" si="168"/>
        <v>18.079999999999998</v>
      </c>
      <c r="R980" s="102" t="s">
        <v>1082</v>
      </c>
    </row>
    <row r="981" spans="1:30" x14ac:dyDescent="0.2">
      <c r="A981" s="89" t="s">
        <v>614</v>
      </c>
      <c r="B981" s="90">
        <f>IF($P$981&lt;&gt;"",ROUND(AA981*(($AB$981/(1-$P$981))-73.128)/337.4462,2),IF('Resumen 2.0TD'!$D$3="OPTIMIZAR",ROUND(MAX(AA981,MIN(AA981*(($AB$981/(1-'Resumen 2.0TD'!$F$3))-73.128)/337.4462,AA981*(1695.1698)/337.4462)),3),AA981))</f>
        <v>1209.95</v>
      </c>
      <c r="C981" s="103"/>
      <c r="D981" s="92">
        <v>0.11117100000000001</v>
      </c>
      <c r="E981" s="93">
        <v>0.10920000000000001</v>
      </c>
      <c r="F981" s="94">
        <f t="shared" si="166"/>
        <v>132.13</v>
      </c>
      <c r="H981" s="95">
        <v>787.09500000000003</v>
      </c>
      <c r="I981" s="96">
        <v>0.10920000000000001</v>
      </c>
      <c r="J981" s="97">
        <f t="shared" si="167"/>
        <v>85.95</v>
      </c>
      <c r="L981" s="98">
        <v>696.12199999999996</v>
      </c>
      <c r="M981" s="99">
        <v>0.14937</v>
      </c>
      <c r="N981" s="100">
        <f t="shared" si="168"/>
        <v>103.98</v>
      </c>
      <c r="O981" s="104" t="s">
        <v>615</v>
      </c>
      <c r="P981" s="67"/>
      <c r="R981" s="102" t="s">
        <v>1083</v>
      </c>
      <c r="AA981">
        <v>797.31600000000003</v>
      </c>
      <c r="AB981">
        <f>B979*D979+B980*D980+AA981*D981+AA982*D982+AA983*D983</f>
        <v>409.64875955700006</v>
      </c>
    </row>
    <row r="982" spans="1:30" x14ac:dyDescent="0.2">
      <c r="A982" s="89" t="s">
        <v>617</v>
      </c>
      <c r="B982" s="90">
        <f>IF($P$981&lt;&gt;"",ROUND(AA982*(($AB$981/(1-$P$981))-73.128)/337.4462,2),IF('Resumen 2.0TD'!$D$3="OPTIMIZAR",ROUND(MAX(AA982,MIN(AA982*(($AB$981/(1-'Resumen 2.0TD'!$F$3))-73.128)/337.4462,AA982*(1695.1698)/337.4462)),3),AA982))</f>
        <v>1109.1489999999999</v>
      </c>
      <c r="C982" s="103"/>
      <c r="D982" s="92">
        <v>0.11117100000000001</v>
      </c>
      <c r="E982" s="93">
        <v>0.10920000000000001</v>
      </c>
      <c r="F982" s="94">
        <f t="shared" si="166"/>
        <v>121.12</v>
      </c>
      <c r="H982" s="95">
        <v>706.90099999999995</v>
      </c>
      <c r="I982" s="96">
        <v>0.10920000000000001</v>
      </c>
      <c r="J982" s="97">
        <f t="shared" si="167"/>
        <v>77.19</v>
      </c>
      <c r="L982" s="98">
        <v>659.44899999999996</v>
      </c>
      <c r="M982" s="99">
        <v>0.14937</v>
      </c>
      <c r="N982" s="100">
        <f t="shared" si="168"/>
        <v>98.5</v>
      </c>
      <c r="O982" s="105" t="s">
        <v>618</v>
      </c>
      <c r="R982" s="102" t="s">
        <v>619</v>
      </c>
      <c r="AA982">
        <v>730.89099999999996</v>
      </c>
    </row>
    <row r="983" spans="1:30" x14ac:dyDescent="0.2">
      <c r="A983" s="89" t="s">
        <v>620</v>
      </c>
      <c r="B983" s="90">
        <f>IF($P$981&lt;&gt;"",ROUND(AA983*(($AB$981/(1-$P$981))-73.128)/337.4462,2),IF('Resumen 2.0TD'!$D$3="OPTIMIZAR",ROUND(MAX(AA983,MIN(AA983*(($AB$981/(1-'Resumen 2.0TD'!$F$3))-73.128)/337.4462,AA983*(1695.1698)/337.4462)),3),AA983))</f>
        <v>2370.3200000000002</v>
      </c>
      <c r="C983" s="103"/>
      <c r="D983" s="92">
        <v>0.11117100000000001</v>
      </c>
      <c r="E983" s="93">
        <v>0.10920000000000001</v>
      </c>
      <c r="F983" s="94">
        <f t="shared" si="166"/>
        <v>258.83999999999997</v>
      </c>
      <c r="H983" s="95">
        <v>1261.8699999999999</v>
      </c>
      <c r="I983" s="96">
        <v>0.10920000000000001</v>
      </c>
      <c r="J983" s="97">
        <f t="shared" si="167"/>
        <v>137.80000000000001</v>
      </c>
      <c r="L983" s="98">
        <v>1600.04</v>
      </c>
      <c r="M983" s="99">
        <v>0.14937</v>
      </c>
      <c r="N983" s="100">
        <f t="shared" si="168"/>
        <v>239</v>
      </c>
      <c r="O983" s="105" t="s">
        <v>621</v>
      </c>
      <c r="AA983">
        <v>1561.96</v>
      </c>
    </row>
    <row r="984" spans="1:30" x14ac:dyDescent="0.2">
      <c r="A984" s="89" t="s">
        <v>139</v>
      </c>
      <c r="B984" s="90">
        <v>1</v>
      </c>
      <c r="C984" s="91">
        <f>$N$976-$L$976+1</f>
        <v>30</v>
      </c>
      <c r="D984" s="92">
        <v>1.3413999999999999</v>
      </c>
      <c r="E984" s="93">
        <v>4</v>
      </c>
      <c r="F984" s="94">
        <f t="shared" si="166"/>
        <v>4</v>
      </c>
      <c r="H984" s="95">
        <v>1</v>
      </c>
      <c r="I984" s="96">
        <v>4</v>
      </c>
      <c r="J984" s="97">
        <f t="shared" si="167"/>
        <v>4</v>
      </c>
      <c r="L984" s="98">
        <v>1</v>
      </c>
      <c r="M984" s="99">
        <v>4</v>
      </c>
      <c r="N984" s="100">
        <f t="shared" si="168"/>
        <v>4</v>
      </c>
    </row>
    <row r="985" spans="1:30" x14ac:dyDescent="0.2">
      <c r="A985" s="89" t="s">
        <v>140</v>
      </c>
      <c r="B985" s="90">
        <v>30</v>
      </c>
      <c r="C985" s="91">
        <f>$N$976-$L$976+1</f>
        <v>30</v>
      </c>
      <c r="D985" s="92">
        <v>0.5736</v>
      </c>
      <c r="E985" s="93">
        <v>1.274E-2</v>
      </c>
      <c r="F985" s="94">
        <f t="shared" si="166"/>
        <v>0.38</v>
      </c>
      <c r="H985" s="95">
        <v>30</v>
      </c>
      <c r="I985" s="96">
        <v>1.274E-2</v>
      </c>
      <c r="J985" s="97">
        <f t="shared" si="167"/>
        <v>0.38</v>
      </c>
      <c r="L985" s="98">
        <v>30</v>
      </c>
      <c r="M985" s="99">
        <v>1.247E-2</v>
      </c>
      <c r="N985" s="100">
        <f t="shared" si="168"/>
        <v>0.37</v>
      </c>
    </row>
    <row r="986" spans="1:30" x14ac:dyDescent="0.2">
      <c r="A986" s="89" t="s">
        <v>141</v>
      </c>
      <c r="B986" s="90">
        <v>22.13</v>
      </c>
      <c r="C986" s="103"/>
      <c r="D986" s="92">
        <v>0.27311999999999997</v>
      </c>
      <c r="E986" s="93">
        <v>1</v>
      </c>
      <c r="F986" s="94">
        <f t="shared" si="166"/>
        <v>22.13</v>
      </c>
      <c r="H986" s="95">
        <v>20.2</v>
      </c>
      <c r="I986" s="96">
        <v>1</v>
      </c>
      <c r="J986" s="97">
        <f t="shared" si="167"/>
        <v>20.2</v>
      </c>
      <c r="L986" s="98">
        <v>25.86</v>
      </c>
      <c r="M986" s="99">
        <v>1</v>
      </c>
      <c r="N986" s="100">
        <f t="shared" si="168"/>
        <v>25.86</v>
      </c>
    </row>
    <row r="987" spans="1:30" x14ac:dyDescent="0.2">
      <c r="A987" s="106" t="s">
        <v>142</v>
      </c>
      <c r="F987" s="107">
        <f>ROUND((SUM(F979:F986)-F986)*1.1+F986,2)</f>
        <v>670.68</v>
      </c>
      <c r="J987" s="108">
        <f>ROUND(SUM(J979:J986),2)</f>
        <v>398.64</v>
      </c>
      <c r="N987" s="109">
        <f>ROUND(SUM(N979:N986),2)</f>
        <v>544.83000000000004</v>
      </c>
    </row>
    <row r="988" spans="1:30" x14ac:dyDescent="0.2">
      <c r="A988" s="78" t="s">
        <v>143</v>
      </c>
      <c r="B988" s="110">
        <f>IF((F983+F982+F981+F979+F980)=0,"",((F983+F982+F981+F979+F980)-$AB$981)/(F983+F982+F981+F979+F980))</f>
        <v>0.29999699328958818</v>
      </c>
      <c r="D988" s="139" t="str">
        <f>IF(B988="","SIN PC",IF(B988&gt;=0.3,"APROBAR",IF(B988&gt;=0.2,"REVISAR","RECHAZAR")))</f>
        <v>REVISAR</v>
      </c>
      <c r="E988" s="139"/>
      <c r="F988" s="139"/>
      <c r="AD988">
        <f>SUM(F981:F983)-337.4462</f>
        <v>174.64379999999994</v>
      </c>
    </row>
    <row r="990" spans="1:30" x14ac:dyDescent="0.2">
      <c r="A990" s="137" t="s">
        <v>1084</v>
      </c>
      <c r="B990" s="137"/>
      <c r="C990" s="137"/>
      <c r="D990" s="137"/>
      <c r="E990" s="137"/>
      <c r="F990" s="137"/>
      <c r="H990" s="137" t="s">
        <v>1085</v>
      </c>
      <c r="I990" s="137"/>
      <c r="J990" s="137"/>
      <c r="K990" s="137"/>
      <c r="L990" s="76">
        <v>46113</v>
      </c>
      <c r="M990" s="77" t="s">
        <v>607</v>
      </c>
      <c r="N990" s="76">
        <v>46142</v>
      </c>
      <c r="R990" s="138" t="s">
        <v>110</v>
      </c>
      <c r="S990" s="138"/>
      <c r="T990" s="138"/>
      <c r="U990" s="138"/>
      <c r="V990" s="138"/>
    </row>
    <row r="991" spans="1:30" x14ac:dyDescent="0.2">
      <c r="A991" s="78" t="s">
        <v>111</v>
      </c>
      <c r="B991" s="79" t="s">
        <v>112</v>
      </c>
      <c r="C991" s="80"/>
      <c r="D991" s="80"/>
      <c r="E991" s="80"/>
      <c r="F991" s="80"/>
      <c r="H991" s="81" t="s">
        <v>1086</v>
      </c>
      <c r="I991" s="82"/>
      <c r="J991" s="82"/>
      <c r="L991" s="83" t="s">
        <v>1087</v>
      </c>
      <c r="M991" s="84"/>
      <c r="N991" s="84"/>
      <c r="R991" s="85" t="s">
        <v>1088</v>
      </c>
    </row>
    <row r="992" spans="1:30" x14ac:dyDescent="0.2">
      <c r="B992" s="68" t="s">
        <v>116</v>
      </c>
      <c r="C992" s="68" t="s">
        <v>117</v>
      </c>
      <c r="D992" s="68" t="s">
        <v>118</v>
      </c>
      <c r="E992" s="68" t="s">
        <v>119</v>
      </c>
      <c r="F992" s="68" t="s">
        <v>120</v>
      </c>
      <c r="H992" s="86" t="s">
        <v>116</v>
      </c>
      <c r="I992" s="86" t="s">
        <v>119</v>
      </c>
      <c r="J992" s="86" t="s">
        <v>120</v>
      </c>
      <c r="L992" s="87" t="s">
        <v>116</v>
      </c>
      <c r="M992" s="87" t="s">
        <v>119</v>
      </c>
      <c r="N992" s="87" t="s">
        <v>120</v>
      </c>
      <c r="R992" s="88" t="s">
        <v>1089</v>
      </c>
    </row>
    <row r="993" spans="1:30" x14ac:dyDescent="0.2">
      <c r="A993" s="89" t="s">
        <v>122</v>
      </c>
      <c r="B993" s="90">
        <v>4.5999999999999996</v>
      </c>
      <c r="C993" s="91">
        <f>$N$990-$L$990+1</f>
        <v>30</v>
      </c>
      <c r="D993" s="92">
        <v>3.68919</v>
      </c>
      <c r="E993" s="93">
        <v>4.17</v>
      </c>
      <c r="F993" s="94">
        <f t="shared" ref="F993:F1000" si="169">ROUND(B993*E993,2)</f>
        <v>19.18</v>
      </c>
      <c r="H993" s="95">
        <v>4.5999999999999996</v>
      </c>
      <c r="I993" s="96">
        <v>4.17</v>
      </c>
      <c r="J993" s="97">
        <f t="shared" ref="J993:J1000" si="170">ROUND(H993*I993,2)</f>
        <v>19.18</v>
      </c>
      <c r="L993" s="98">
        <v>4.5999999999999996</v>
      </c>
      <c r="M993" s="99">
        <v>4.17</v>
      </c>
      <c r="N993" s="100">
        <f t="shared" ref="N993:N1000" si="171">ROUND(L993*M993,2)</f>
        <v>19.18</v>
      </c>
      <c r="R993" s="101" t="s">
        <v>1090</v>
      </c>
    </row>
    <row r="994" spans="1:30" x14ac:dyDescent="0.2">
      <c r="A994" s="89" t="s">
        <v>124</v>
      </c>
      <c r="B994" s="90">
        <v>4.5999999999999996</v>
      </c>
      <c r="C994" s="91">
        <f>$N$990-$L$990+1</f>
        <v>30</v>
      </c>
      <c r="D994" s="92">
        <v>1.31928</v>
      </c>
      <c r="E994" s="93">
        <v>1.37</v>
      </c>
      <c r="F994" s="94">
        <f t="shared" si="169"/>
        <v>6.3</v>
      </c>
      <c r="H994" s="95">
        <v>4.5999999999999996</v>
      </c>
      <c r="I994" s="96">
        <v>1.37</v>
      </c>
      <c r="J994" s="97">
        <f t="shared" si="170"/>
        <v>6.3</v>
      </c>
      <c r="L994" s="98">
        <v>4.5999999999999996</v>
      </c>
      <c r="M994" s="99">
        <v>1.37</v>
      </c>
      <c r="N994" s="100">
        <f t="shared" si="171"/>
        <v>6.3</v>
      </c>
      <c r="R994" s="102" t="s">
        <v>1091</v>
      </c>
    </row>
    <row r="995" spans="1:30" x14ac:dyDescent="0.2">
      <c r="A995" s="89" t="s">
        <v>614</v>
      </c>
      <c r="B995" s="90">
        <f>IF($P$995&lt;&gt;"",ROUND(AA995*(($AB$995/(1-$P$995))-25.484)/40.2116,2),IF('Resumen 2.0TD'!$D$3="OPTIMIZAR",ROUND(MAX(AA995,MIN(AA995*(($AB$995/(1-'Resumen 2.0TD'!$F$3))-25.484)/40.2116,AA995*(129.8338)/40.2116)),3),AA995))</f>
        <v>99.918000000000006</v>
      </c>
      <c r="C995" s="103"/>
      <c r="D995" s="92">
        <v>0.11117100000000001</v>
      </c>
      <c r="E995" s="93">
        <v>0.14937</v>
      </c>
      <c r="F995" s="94">
        <f t="shared" si="169"/>
        <v>14.92</v>
      </c>
      <c r="H995" s="95">
        <v>104.197</v>
      </c>
      <c r="I995" s="96">
        <v>0.14937</v>
      </c>
      <c r="J995" s="97">
        <f t="shared" si="170"/>
        <v>15.56</v>
      </c>
      <c r="L995" s="98">
        <v>65.207999999999998</v>
      </c>
      <c r="M995" s="99">
        <v>0.14937</v>
      </c>
      <c r="N995" s="100">
        <f t="shared" si="171"/>
        <v>9.74</v>
      </c>
      <c r="O995" s="104" t="s">
        <v>615</v>
      </c>
      <c r="P995" s="67"/>
      <c r="R995" s="102" t="s">
        <v>1092</v>
      </c>
      <c r="AA995">
        <v>80.063999999999993</v>
      </c>
      <c r="AB995">
        <f>B993*D993+B994*D994+AA995*D995+AA996*D996+AA997*D997</f>
        <v>52.967084567999997</v>
      </c>
    </row>
    <row r="996" spans="1:30" x14ac:dyDescent="0.2">
      <c r="A996" s="89" t="s">
        <v>617</v>
      </c>
      <c r="B996" s="90">
        <f>IF($P$995&lt;&gt;"",ROUND(AA996*(($AB$995/(1-$P$995))-25.484)/40.2116,2),IF('Resumen 2.0TD'!$D$3="OPTIMIZAR",ROUND(MAX(AA996,MIN(AA996*(($AB$995/(1-'Resumen 2.0TD'!$F$3))-25.484)/40.2116,AA996*(129.8338)/40.2116)),3),AA996))</f>
        <v>104.748</v>
      </c>
      <c r="C996" s="103"/>
      <c r="D996" s="92">
        <v>0.11117100000000001</v>
      </c>
      <c r="E996" s="93">
        <v>0.14937</v>
      </c>
      <c r="F996" s="94">
        <f t="shared" si="169"/>
        <v>15.65</v>
      </c>
      <c r="H996" s="95">
        <v>106.21</v>
      </c>
      <c r="I996" s="96">
        <v>0.14937</v>
      </c>
      <c r="J996" s="97">
        <f t="shared" si="170"/>
        <v>15.86</v>
      </c>
      <c r="L996" s="98">
        <v>66.150999999999996</v>
      </c>
      <c r="M996" s="99">
        <v>0.14937</v>
      </c>
      <c r="N996" s="100">
        <f t="shared" si="171"/>
        <v>9.8800000000000008</v>
      </c>
      <c r="O996" s="105" t="s">
        <v>618</v>
      </c>
      <c r="R996" s="102" t="s">
        <v>619</v>
      </c>
      <c r="AA996">
        <v>83.933999999999997</v>
      </c>
    </row>
    <row r="997" spans="1:30" x14ac:dyDescent="0.2">
      <c r="A997" s="89" t="s">
        <v>620</v>
      </c>
      <c r="B997" s="90">
        <f>IF($P$995&lt;&gt;"",ROUND(AA997*(($AB$995/(1-$P$995))-25.484)/40.2116,2),IF('Resumen 2.0TD'!$D$3="OPTIMIZAR",ROUND(MAX(AA997,MIN(AA997*(($AB$995/(1-'Resumen 2.0TD'!$F$3))-25.484)/40.2116,AA997*(129.8338)/40.2116)),3),AA997))</f>
        <v>131.30000000000001</v>
      </c>
      <c r="C997" s="103"/>
      <c r="D997" s="92">
        <v>0.11117100000000001</v>
      </c>
      <c r="E997" s="93">
        <v>0.14937</v>
      </c>
      <c r="F997" s="94">
        <f t="shared" si="169"/>
        <v>19.61</v>
      </c>
      <c r="H997" s="95">
        <v>139.30699999999999</v>
      </c>
      <c r="I997" s="96">
        <v>0.14937</v>
      </c>
      <c r="J997" s="97">
        <f t="shared" si="170"/>
        <v>20.81</v>
      </c>
      <c r="L997" s="98">
        <v>91.495000000000005</v>
      </c>
      <c r="M997" s="99">
        <v>0.14937</v>
      </c>
      <c r="N997" s="100">
        <f t="shared" si="171"/>
        <v>13.67</v>
      </c>
      <c r="O997" s="105" t="s">
        <v>621</v>
      </c>
      <c r="AA997">
        <v>105.21</v>
      </c>
    </row>
    <row r="998" spans="1:30" x14ac:dyDescent="0.2">
      <c r="A998" s="89" t="s">
        <v>139</v>
      </c>
      <c r="B998" s="90">
        <v>1</v>
      </c>
      <c r="C998" s="91">
        <f>$N$990-$L$990+1</f>
        <v>30</v>
      </c>
      <c r="D998" s="92">
        <v>0.79890000000000005</v>
      </c>
      <c r="E998" s="93">
        <v>4</v>
      </c>
      <c r="F998" s="94">
        <f t="shared" si="169"/>
        <v>4</v>
      </c>
      <c r="H998" s="95">
        <v>1</v>
      </c>
      <c r="I998" s="96">
        <v>4</v>
      </c>
      <c r="J998" s="97">
        <f t="shared" si="170"/>
        <v>4</v>
      </c>
      <c r="L998" s="98">
        <v>1</v>
      </c>
      <c r="M998" s="99">
        <v>4</v>
      </c>
      <c r="N998" s="100">
        <f t="shared" si="171"/>
        <v>4</v>
      </c>
    </row>
    <row r="999" spans="1:30" x14ac:dyDescent="0.2">
      <c r="A999" s="89" t="s">
        <v>140</v>
      </c>
      <c r="B999" s="90">
        <v>30</v>
      </c>
      <c r="C999" s="91">
        <f>$N$990-$L$990+1</f>
        <v>30</v>
      </c>
      <c r="D999" s="92">
        <v>0.5736</v>
      </c>
      <c r="E999" s="93">
        <v>1.274E-2</v>
      </c>
      <c r="F999" s="94">
        <f t="shared" si="169"/>
        <v>0.38</v>
      </c>
      <c r="H999" s="95">
        <v>30</v>
      </c>
      <c r="I999" s="96">
        <v>1.274E-2</v>
      </c>
      <c r="J999" s="97">
        <f t="shared" si="170"/>
        <v>0.38</v>
      </c>
      <c r="L999" s="98">
        <v>30</v>
      </c>
      <c r="M999" s="99">
        <v>6.2899999999999996E-3</v>
      </c>
      <c r="N999" s="100">
        <f t="shared" si="171"/>
        <v>0.19</v>
      </c>
    </row>
    <row r="1000" spans="1:30" x14ac:dyDescent="0.2">
      <c r="A1000" s="89" t="s">
        <v>141</v>
      </c>
      <c r="B1000" s="90">
        <v>3.37</v>
      </c>
      <c r="C1000" s="103"/>
      <c r="D1000" s="92">
        <v>0.27311999999999997</v>
      </c>
      <c r="E1000" s="93">
        <v>1</v>
      </c>
      <c r="F1000" s="94">
        <f t="shared" si="169"/>
        <v>3.37</v>
      </c>
      <c r="H1000" s="95">
        <v>3.98</v>
      </c>
      <c r="I1000" s="96">
        <v>1</v>
      </c>
      <c r="J1000" s="97">
        <f t="shared" si="170"/>
        <v>3.98</v>
      </c>
      <c r="L1000" s="98">
        <v>3.01</v>
      </c>
      <c r="M1000" s="99">
        <v>1</v>
      </c>
      <c r="N1000" s="100">
        <f t="shared" si="171"/>
        <v>3.01</v>
      </c>
    </row>
    <row r="1001" spans="1:30" x14ac:dyDescent="0.2">
      <c r="A1001" s="106" t="s">
        <v>142</v>
      </c>
      <c r="F1001" s="107">
        <f>ROUND((SUM(F993:F1000)-F1000)*1.1+F1000,2)</f>
        <v>91.41</v>
      </c>
      <c r="J1001" s="108">
        <f>ROUND(SUM(J993:J1000),2)</f>
        <v>86.07</v>
      </c>
      <c r="N1001" s="109">
        <f>ROUND(SUM(N993:N1000),2)</f>
        <v>65.97</v>
      </c>
    </row>
    <row r="1002" spans="1:30" x14ac:dyDescent="0.2">
      <c r="A1002" s="78" t="s">
        <v>143</v>
      </c>
      <c r="B1002" s="110">
        <f>IF((F997+F996+F995+F993+F994)=0,"",((F997+F996+F995+F993+F994)-$AB$995)/(F997+F996+F995+F993+F994))</f>
        <v>0.29993279714512294</v>
      </c>
      <c r="D1002" s="139" t="str">
        <f>IF(B1002="","SIN PC",IF(B1002&gt;=0.3,"APROBAR",IF(B1002&gt;=0.2,"REVISAR","RECHAZAR")))</f>
        <v>REVISAR</v>
      </c>
      <c r="E1002" s="139"/>
      <c r="F1002" s="139"/>
      <c r="AD1002">
        <f>SUM(F995:F997)-40.2116</f>
        <v>9.9684000000000026</v>
      </c>
    </row>
    <row r="1004" spans="1:30" x14ac:dyDescent="0.2">
      <c r="A1004" s="137" t="s">
        <v>1093</v>
      </c>
      <c r="B1004" s="137"/>
      <c r="C1004" s="137"/>
      <c r="D1004" s="137"/>
      <c r="E1004" s="137"/>
      <c r="F1004" s="137"/>
      <c r="H1004" s="137" t="s">
        <v>1094</v>
      </c>
      <c r="I1004" s="137"/>
      <c r="J1004" s="137"/>
      <c r="K1004" s="137"/>
      <c r="L1004" s="76">
        <v>46113</v>
      </c>
      <c r="M1004" s="77" t="s">
        <v>607</v>
      </c>
      <c r="N1004" s="76">
        <v>46142</v>
      </c>
      <c r="R1004" s="138" t="s">
        <v>110</v>
      </c>
      <c r="S1004" s="138"/>
      <c r="T1004" s="138"/>
      <c r="U1004" s="138"/>
      <c r="V1004" s="138"/>
    </row>
    <row r="1005" spans="1:30" x14ac:dyDescent="0.2">
      <c r="A1005" s="78" t="s">
        <v>111</v>
      </c>
      <c r="B1005" s="79" t="s">
        <v>112</v>
      </c>
      <c r="C1005" s="80"/>
      <c r="D1005" s="80"/>
      <c r="E1005" s="80"/>
      <c r="F1005" s="80"/>
      <c r="H1005" s="81" t="s">
        <v>1095</v>
      </c>
      <c r="I1005" s="82"/>
      <c r="J1005" s="82"/>
      <c r="L1005" s="83" t="s">
        <v>1096</v>
      </c>
      <c r="M1005" s="84"/>
      <c r="N1005" s="84"/>
      <c r="R1005" s="85" t="s">
        <v>1097</v>
      </c>
    </row>
    <row r="1006" spans="1:30" x14ac:dyDescent="0.2">
      <c r="B1006" s="68" t="s">
        <v>116</v>
      </c>
      <c r="C1006" s="68" t="s">
        <v>117</v>
      </c>
      <c r="D1006" s="68" t="s">
        <v>118</v>
      </c>
      <c r="E1006" s="68" t="s">
        <v>119</v>
      </c>
      <c r="F1006" s="68" t="s">
        <v>120</v>
      </c>
      <c r="H1006" s="86" t="s">
        <v>116</v>
      </c>
      <c r="I1006" s="86" t="s">
        <v>119</v>
      </c>
      <c r="J1006" s="86" t="s">
        <v>120</v>
      </c>
      <c r="L1006" s="87" t="s">
        <v>116</v>
      </c>
      <c r="M1006" s="87" t="s">
        <v>119</v>
      </c>
      <c r="N1006" s="87" t="s">
        <v>120</v>
      </c>
      <c r="R1006" s="88" t="s">
        <v>1098</v>
      </c>
    </row>
    <row r="1007" spans="1:30" x14ac:dyDescent="0.2">
      <c r="A1007" s="89" t="s">
        <v>122</v>
      </c>
      <c r="B1007" s="90">
        <v>10.391999999999999</v>
      </c>
      <c r="C1007" s="91">
        <f>$N$1004-$L$1004+1</f>
        <v>30</v>
      </c>
      <c r="D1007" s="92">
        <v>3.4085999999999999</v>
      </c>
      <c r="E1007" s="93">
        <v>4.17</v>
      </c>
      <c r="F1007" s="94">
        <f t="shared" ref="F1007:F1014" si="172">ROUND(B1007*E1007,2)</f>
        <v>43.33</v>
      </c>
      <c r="H1007" s="95">
        <v>10.391999999999999</v>
      </c>
      <c r="I1007" s="96">
        <v>4.17</v>
      </c>
      <c r="J1007" s="97">
        <f t="shared" ref="J1007:J1014" si="173">ROUND(H1007*I1007,2)</f>
        <v>43.33</v>
      </c>
      <c r="L1007" s="98">
        <v>10.391999999999999</v>
      </c>
      <c r="M1007" s="99">
        <v>4.17</v>
      </c>
      <c r="N1007" s="100">
        <f t="shared" ref="N1007:N1014" si="174">ROUND(L1007*M1007,2)</f>
        <v>43.33</v>
      </c>
      <c r="R1007" s="101" t="s">
        <v>1099</v>
      </c>
    </row>
    <row r="1008" spans="1:30" x14ac:dyDescent="0.2">
      <c r="A1008" s="89" t="s">
        <v>124</v>
      </c>
      <c r="B1008" s="90">
        <v>10.391999999999999</v>
      </c>
      <c r="C1008" s="91">
        <f>$N$1004-$L$1004+1</f>
        <v>30</v>
      </c>
      <c r="D1008" s="92">
        <v>1.09728</v>
      </c>
      <c r="E1008" s="93">
        <v>1.37</v>
      </c>
      <c r="F1008" s="94">
        <f t="shared" si="172"/>
        <v>14.24</v>
      </c>
      <c r="H1008" s="95">
        <v>10.391999999999999</v>
      </c>
      <c r="I1008" s="96">
        <v>1.37</v>
      </c>
      <c r="J1008" s="97">
        <f t="shared" si="173"/>
        <v>14.24</v>
      </c>
      <c r="L1008" s="98">
        <v>10.391999999999999</v>
      </c>
      <c r="M1008" s="99">
        <v>1.37</v>
      </c>
      <c r="N1008" s="100">
        <f t="shared" si="174"/>
        <v>14.24</v>
      </c>
      <c r="R1008" s="102" t="s">
        <v>1100</v>
      </c>
    </row>
    <row r="1009" spans="1:30" x14ac:dyDescent="0.2">
      <c r="A1009" s="89" t="s">
        <v>614</v>
      </c>
      <c r="B1009" s="90">
        <f>IF($P$1009&lt;&gt;"",ROUND(AA1009*(($AB$1009/(1-$P$1009))-57.5717)/18.414,2),IF('Resumen 2.0TD'!$D$3="OPTIMIZAR",ROUND(MAX(AA1009,MIN(AA1009*(($AB$1009/(1-'Resumen 2.0TD'!$F$3))-57.5717)/18.414,AA1009*(248.5561)/18.414)),3),AA1009))</f>
        <v>8.4819999999999993</v>
      </c>
      <c r="C1009" s="103"/>
      <c r="D1009" s="92">
        <v>0.110306</v>
      </c>
      <c r="E1009" s="93">
        <v>0.14937</v>
      </c>
      <c r="F1009" s="94">
        <f t="shared" si="172"/>
        <v>1.27</v>
      </c>
      <c r="H1009" s="95">
        <v>120.342</v>
      </c>
      <c r="I1009" s="96">
        <v>0.14937</v>
      </c>
      <c r="J1009" s="97">
        <f t="shared" si="173"/>
        <v>17.98</v>
      </c>
      <c r="L1009" s="98">
        <v>66.733000000000004</v>
      </c>
      <c r="M1009" s="99">
        <v>0.14937</v>
      </c>
      <c r="N1009" s="100">
        <f t="shared" si="174"/>
        <v>9.9700000000000006</v>
      </c>
      <c r="O1009" s="104" t="s">
        <v>615</v>
      </c>
      <c r="P1009" s="67"/>
      <c r="R1009" s="102" t="s">
        <v>1101</v>
      </c>
      <c r="AA1009">
        <v>5.4329999999999998</v>
      </c>
      <c r="AB1009">
        <f>B1007*D1007+B1008*D1008+AA1009*D1009+AA1010*D1010+AA1011*D1011</f>
        <v>60.42340802799999</v>
      </c>
    </row>
    <row r="1010" spans="1:30" x14ac:dyDescent="0.2">
      <c r="A1010" s="89" t="s">
        <v>617</v>
      </c>
      <c r="B1010" s="90">
        <f>IF($P$1009&lt;&gt;"",ROUND(AA1010*(($AB$1009/(1-$P$1009))-57.5717)/18.414,2),IF('Resumen 2.0TD'!$D$3="OPTIMIZAR",ROUND(MAX(AA1010,MIN(AA1010*(($AB$1009/(1-'Resumen 2.0TD'!$F$3))-57.5717)/18.414,AA1010*(248.5561)/18.414)),3),AA1010))</f>
        <v>39.170999999999999</v>
      </c>
      <c r="C1010" s="103"/>
      <c r="D1010" s="92">
        <v>0.110306</v>
      </c>
      <c r="E1010" s="93">
        <v>0.14937</v>
      </c>
      <c r="F1010" s="94">
        <f t="shared" si="172"/>
        <v>5.85</v>
      </c>
      <c r="H1010" s="95">
        <v>124.68899999999999</v>
      </c>
      <c r="I1010" s="96">
        <v>0.14937</v>
      </c>
      <c r="J1010" s="97">
        <f t="shared" si="173"/>
        <v>18.62</v>
      </c>
      <c r="L1010" s="98">
        <v>85.037999999999997</v>
      </c>
      <c r="M1010" s="99">
        <v>0.14937</v>
      </c>
      <c r="N1010" s="100">
        <f t="shared" si="174"/>
        <v>12.7</v>
      </c>
      <c r="O1010" s="105" t="s">
        <v>618</v>
      </c>
      <c r="R1010" s="102" t="s">
        <v>619</v>
      </c>
      <c r="AA1010">
        <v>25.091000000000001</v>
      </c>
    </row>
    <row r="1011" spans="1:30" x14ac:dyDescent="0.2">
      <c r="A1011" s="89" t="s">
        <v>620</v>
      </c>
      <c r="B1011" s="90">
        <f>IF($P$1009&lt;&gt;"",ROUND(AA1011*(($AB$1009/(1-$P$1009))-57.5717)/18.414,2),IF('Resumen 2.0TD'!$D$3="OPTIMIZAR",ROUND(MAX(AA1011,MIN(AA1011*(($AB$1009/(1-'Resumen 2.0TD'!$F$3))-57.5717)/18.414,AA1011*(248.5561)/18.414)),3),AA1011))</f>
        <v>144.80500000000001</v>
      </c>
      <c r="C1011" s="103"/>
      <c r="D1011" s="92">
        <v>0.110306</v>
      </c>
      <c r="E1011" s="93">
        <v>0.14937</v>
      </c>
      <c r="F1011" s="94">
        <f t="shared" si="172"/>
        <v>21.63</v>
      </c>
      <c r="H1011" s="95">
        <v>279.64999999999998</v>
      </c>
      <c r="I1011" s="96">
        <v>0.14937</v>
      </c>
      <c r="J1011" s="97">
        <f t="shared" si="173"/>
        <v>41.77</v>
      </c>
      <c r="L1011" s="98">
        <v>257.03500000000003</v>
      </c>
      <c r="M1011" s="99">
        <v>0.14937</v>
      </c>
      <c r="N1011" s="100">
        <f t="shared" si="174"/>
        <v>38.39</v>
      </c>
      <c r="O1011" s="105" t="s">
        <v>621</v>
      </c>
      <c r="AA1011">
        <v>92.754000000000005</v>
      </c>
    </row>
    <row r="1012" spans="1:30" x14ac:dyDescent="0.2">
      <c r="A1012" s="89" t="s">
        <v>139</v>
      </c>
      <c r="B1012" s="90">
        <v>1</v>
      </c>
      <c r="C1012" s="91">
        <f>$N$1004-$L$1004+1</f>
        <v>30</v>
      </c>
      <c r="D1012" s="92">
        <v>1.3413999999999999</v>
      </c>
      <c r="E1012" s="93">
        <v>4</v>
      </c>
      <c r="F1012" s="94">
        <f t="shared" si="172"/>
        <v>4</v>
      </c>
      <c r="H1012" s="95">
        <v>1</v>
      </c>
      <c r="I1012" s="96">
        <v>4</v>
      </c>
      <c r="J1012" s="97">
        <f t="shared" si="173"/>
        <v>4</v>
      </c>
      <c r="L1012" s="98">
        <v>1</v>
      </c>
      <c r="M1012" s="99">
        <v>4</v>
      </c>
      <c r="N1012" s="100">
        <f t="shared" si="174"/>
        <v>4</v>
      </c>
    </row>
    <row r="1013" spans="1:30" x14ac:dyDescent="0.2">
      <c r="A1013" s="89" t="s">
        <v>140</v>
      </c>
      <c r="B1013" s="90">
        <v>30</v>
      </c>
      <c r="C1013" s="91">
        <f>$N$1004-$L$1004+1</f>
        <v>30</v>
      </c>
      <c r="D1013" s="92">
        <v>0.5736</v>
      </c>
      <c r="E1013" s="93">
        <v>1.274E-2</v>
      </c>
      <c r="F1013" s="94">
        <f t="shared" si="172"/>
        <v>0.38</v>
      </c>
      <c r="H1013" s="95">
        <v>30</v>
      </c>
      <c r="I1013" s="96">
        <v>1.274E-2</v>
      </c>
      <c r="J1013" s="97">
        <f t="shared" si="173"/>
        <v>0.38</v>
      </c>
      <c r="L1013" s="98">
        <v>30</v>
      </c>
      <c r="M1013" s="99">
        <v>6.2899999999999996E-3</v>
      </c>
      <c r="N1013" s="100">
        <f t="shared" si="174"/>
        <v>0.19</v>
      </c>
    </row>
    <row r="1014" spans="1:30" x14ac:dyDescent="0.2">
      <c r="A1014" s="89" t="s">
        <v>141</v>
      </c>
      <c r="B1014" s="90">
        <v>2.95</v>
      </c>
      <c r="C1014" s="103"/>
      <c r="D1014" s="92">
        <v>0.24729000000000001</v>
      </c>
      <c r="E1014" s="93">
        <v>1</v>
      </c>
      <c r="F1014" s="94">
        <f t="shared" si="172"/>
        <v>2.95</v>
      </c>
      <c r="H1014" s="95">
        <v>5.77</v>
      </c>
      <c r="I1014" s="96">
        <v>1</v>
      </c>
      <c r="J1014" s="97">
        <f t="shared" si="173"/>
        <v>5.77</v>
      </c>
      <c r="L1014" s="98">
        <v>5.01</v>
      </c>
      <c r="M1014" s="99">
        <v>1</v>
      </c>
      <c r="N1014" s="100">
        <f t="shared" si="174"/>
        <v>5.01</v>
      </c>
    </row>
    <row r="1015" spans="1:30" x14ac:dyDescent="0.2">
      <c r="A1015" s="106" t="s">
        <v>142</v>
      </c>
      <c r="F1015" s="107">
        <f>ROUND((SUM(F1007:F1014)-F1014)*1.1+F1014,2)</f>
        <v>102.72</v>
      </c>
      <c r="J1015" s="108">
        <f>ROUND(SUM(J1007:J1014),2)</f>
        <v>146.09</v>
      </c>
      <c r="N1015" s="109">
        <f>ROUND(SUM(N1007:N1014),2)</f>
        <v>127.83</v>
      </c>
    </row>
    <row r="1016" spans="1:30" x14ac:dyDescent="0.2">
      <c r="A1016" s="78" t="s">
        <v>143</v>
      </c>
      <c r="B1016" s="110">
        <f>IF((F1011+F1010+F1009+F1007+F1008)=0,"",((F1011+F1010+F1009+F1007+F1008)-$AB$1009)/(F1011+F1010+F1009+F1007+F1008))</f>
        <v>0.30000685787766457</v>
      </c>
      <c r="D1016" s="139" t="str">
        <f>IF(B1016="","SIN PC",IF(B1016&gt;=0.3,"APROBAR",IF(B1016&gt;=0.2,"REVISAR","RECHAZAR")))</f>
        <v>APROBAR</v>
      </c>
      <c r="E1016" s="139"/>
      <c r="F1016" s="139"/>
      <c r="AD1016">
        <f>SUM(F1009:F1011)-18.414</f>
        <v>10.335999999999999</v>
      </c>
    </row>
    <row r="1017" spans="1:30" x14ac:dyDescent="0.2">
      <c r="A1017" s="140" t="s">
        <v>743</v>
      </c>
      <c r="B1017" s="140"/>
      <c r="C1017" s="140"/>
      <c r="D1017" s="140"/>
      <c r="E1017" s="140"/>
      <c r="F1017" s="140"/>
    </row>
    <row r="1018" spans="1:30" x14ac:dyDescent="0.2">
      <c r="A1018" s="111" t="s">
        <v>111</v>
      </c>
      <c r="B1018" s="111" t="s">
        <v>744</v>
      </c>
      <c r="D1018" s="111" t="s">
        <v>745</v>
      </c>
      <c r="E1018" s="111" t="s">
        <v>746</v>
      </c>
      <c r="F1018" s="111" t="s">
        <v>120</v>
      </c>
    </row>
    <row r="1019" spans="1:30" x14ac:dyDescent="0.2">
      <c r="A1019" s="112" t="s">
        <v>747</v>
      </c>
      <c r="B1019" s="113">
        <v>709</v>
      </c>
      <c r="C1019" s="114"/>
      <c r="D1019" s="92">
        <v>0.06</v>
      </c>
      <c r="E1019" s="114"/>
      <c r="F1019" s="115">
        <f>ROUND(B1019*D1019,2)</f>
        <v>42.54</v>
      </c>
    </row>
    <row r="1020" spans="1:30" x14ac:dyDescent="0.2">
      <c r="A1020" s="112" t="s">
        <v>748</v>
      </c>
      <c r="B1020" s="114"/>
      <c r="C1020" s="114"/>
      <c r="D1020" s="114"/>
      <c r="E1020" s="116">
        <v>0.06</v>
      </c>
      <c r="F1020" s="115">
        <v>18.41</v>
      </c>
    </row>
    <row r="1021" spans="1:30" x14ac:dyDescent="0.2">
      <c r="A1021" s="117" t="s">
        <v>749</v>
      </c>
      <c r="B1021" s="114"/>
      <c r="C1021" s="114"/>
      <c r="D1021" s="114"/>
      <c r="E1021" s="114"/>
      <c r="F1021" s="118">
        <f>F1019-F1020</f>
        <v>24.13</v>
      </c>
    </row>
    <row r="1023" spans="1:30" x14ac:dyDescent="0.2">
      <c r="A1023" s="137" t="s">
        <v>1102</v>
      </c>
      <c r="B1023" s="137"/>
      <c r="C1023" s="137"/>
      <c r="D1023" s="137"/>
      <c r="E1023" s="137"/>
      <c r="F1023" s="137"/>
      <c r="H1023" s="137" t="s">
        <v>1103</v>
      </c>
      <c r="I1023" s="137"/>
      <c r="J1023" s="137"/>
      <c r="K1023" s="137"/>
      <c r="L1023" s="76">
        <v>46113</v>
      </c>
      <c r="M1023" s="77" t="s">
        <v>607</v>
      </c>
      <c r="N1023" s="76">
        <v>46142</v>
      </c>
      <c r="R1023" s="138" t="s">
        <v>110</v>
      </c>
      <c r="S1023" s="138"/>
      <c r="T1023" s="138"/>
      <c r="U1023" s="138"/>
      <c r="V1023" s="138"/>
    </row>
    <row r="1024" spans="1:30" x14ac:dyDescent="0.2">
      <c r="A1024" s="78" t="s">
        <v>111</v>
      </c>
      <c r="B1024" s="79" t="s">
        <v>112</v>
      </c>
      <c r="C1024" s="80"/>
      <c r="D1024" s="80"/>
      <c r="E1024" s="80"/>
      <c r="F1024" s="80"/>
      <c r="H1024" s="81" t="s">
        <v>1104</v>
      </c>
      <c r="I1024" s="82"/>
      <c r="J1024" s="82"/>
      <c r="L1024" s="83" t="s">
        <v>1105</v>
      </c>
      <c r="M1024" s="84"/>
      <c r="N1024" s="84"/>
      <c r="R1024" s="85" t="s">
        <v>1106</v>
      </c>
    </row>
    <row r="1025" spans="1:30" x14ac:dyDescent="0.2">
      <c r="B1025" s="68" t="s">
        <v>116</v>
      </c>
      <c r="C1025" s="68" t="s">
        <v>117</v>
      </c>
      <c r="D1025" s="68" t="s">
        <v>118</v>
      </c>
      <c r="E1025" s="68" t="s">
        <v>119</v>
      </c>
      <c r="F1025" s="68" t="s">
        <v>120</v>
      </c>
      <c r="H1025" s="86" t="s">
        <v>116</v>
      </c>
      <c r="I1025" s="86" t="s">
        <v>119</v>
      </c>
      <c r="J1025" s="86" t="s">
        <v>120</v>
      </c>
      <c r="L1025" s="87" t="s">
        <v>116</v>
      </c>
      <c r="M1025" s="87" t="s">
        <v>119</v>
      </c>
      <c r="N1025" s="87" t="s">
        <v>120</v>
      </c>
      <c r="R1025" s="88" t="s">
        <v>1107</v>
      </c>
    </row>
    <row r="1026" spans="1:30" x14ac:dyDescent="0.2">
      <c r="A1026" s="89" t="s">
        <v>122</v>
      </c>
      <c r="B1026" s="90">
        <v>5.5</v>
      </c>
      <c r="C1026" s="91">
        <f>$N$1023-$L$1023+1</f>
        <v>30</v>
      </c>
      <c r="D1026" s="92">
        <v>3.4085999999999999</v>
      </c>
      <c r="E1026" s="93">
        <v>4.17</v>
      </c>
      <c r="F1026" s="94">
        <f t="shared" ref="F1026:F1033" si="175">ROUND(B1026*E1026,2)</f>
        <v>22.94</v>
      </c>
      <c r="H1026" s="95">
        <v>5.5</v>
      </c>
      <c r="I1026" s="96">
        <v>4.17</v>
      </c>
      <c r="J1026" s="97">
        <f t="shared" ref="J1026:J1033" si="176">ROUND(H1026*I1026,2)</f>
        <v>22.94</v>
      </c>
      <c r="L1026" s="98">
        <v>5.5</v>
      </c>
      <c r="M1026" s="99">
        <v>4.17</v>
      </c>
      <c r="N1026" s="100">
        <f t="shared" ref="N1026:N1033" si="177">ROUND(L1026*M1026,2)</f>
        <v>22.94</v>
      </c>
      <c r="R1026" s="101" t="s">
        <v>1108</v>
      </c>
    </row>
    <row r="1027" spans="1:30" x14ac:dyDescent="0.2">
      <c r="A1027" s="89" t="s">
        <v>124</v>
      </c>
      <c r="B1027" s="90">
        <v>5.5</v>
      </c>
      <c r="C1027" s="91">
        <f>$N$1023-$L$1023+1</f>
        <v>30</v>
      </c>
      <c r="D1027" s="92">
        <v>1.09728</v>
      </c>
      <c r="E1027" s="93">
        <v>1.37</v>
      </c>
      <c r="F1027" s="94">
        <f t="shared" si="175"/>
        <v>7.54</v>
      </c>
      <c r="H1027" s="95">
        <v>5.5</v>
      </c>
      <c r="I1027" s="96">
        <v>1.37</v>
      </c>
      <c r="J1027" s="97">
        <f t="shared" si="176"/>
        <v>7.54</v>
      </c>
      <c r="L1027" s="98">
        <v>5.5</v>
      </c>
      <c r="M1027" s="99">
        <v>1.37</v>
      </c>
      <c r="N1027" s="100">
        <f t="shared" si="177"/>
        <v>7.54</v>
      </c>
      <c r="R1027" s="102" t="s">
        <v>1109</v>
      </c>
    </row>
    <row r="1028" spans="1:30" x14ac:dyDescent="0.2">
      <c r="A1028" s="89" t="s">
        <v>614</v>
      </c>
      <c r="B1028" s="90">
        <f>IF($P$1028&lt;&gt;"",ROUND(AA1028*(($AB$1028/(1-$P$1028))-30.47)/11.3584,2),IF('Resumen 2.0TD'!$D$3="OPTIMIZAR",ROUND(MAX(AA1028,MIN(AA1028*(($AB$1028/(1-'Resumen 2.0TD'!$F$3))-30.47)/11.3584,AA1028*(1.2078)/11.3584)),3),AA1028))</f>
        <v>17.132999999999999</v>
      </c>
      <c r="C1028" s="103"/>
      <c r="D1028" s="92">
        <v>0.110306</v>
      </c>
      <c r="E1028" s="93">
        <v>0.14937</v>
      </c>
      <c r="F1028" s="94">
        <f t="shared" si="175"/>
        <v>2.56</v>
      </c>
      <c r="H1028" s="95">
        <v>18.236000000000001</v>
      </c>
      <c r="I1028" s="96">
        <v>0.14937</v>
      </c>
      <c r="J1028" s="97">
        <f t="shared" si="176"/>
        <v>2.72</v>
      </c>
      <c r="L1028" s="98">
        <v>4.3070000000000004</v>
      </c>
      <c r="M1028" s="99">
        <v>0.14937</v>
      </c>
      <c r="N1028" s="100">
        <f t="shared" si="177"/>
        <v>0.64</v>
      </c>
      <c r="O1028" s="104" t="s">
        <v>615</v>
      </c>
      <c r="P1028" s="67"/>
      <c r="R1028" s="102" t="s">
        <v>1110</v>
      </c>
      <c r="AA1028">
        <v>17.132999999999999</v>
      </c>
      <c r="AB1028">
        <f>B1026*D1026+B1027*D1027+AA1028*D1028+AA1029*D1029+AA1030*D1030</f>
        <v>33.170228852000001</v>
      </c>
    </row>
    <row r="1029" spans="1:30" x14ac:dyDescent="0.2">
      <c r="A1029" s="89" t="s">
        <v>617</v>
      </c>
      <c r="B1029" s="90">
        <f>IF($P$1028&lt;&gt;"",ROUND(AA1029*(($AB$1028/(1-$P$1028))-30.47)/11.3584,2),IF('Resumen 2.0TD'!$D$3="OPTIMIZAR",ROUND(MAX(AA1029,MIN(AA1029*(($AB$1028/(1-'Resumen 2.0TD'!$F$3))-30.47)/11.3584,AA1029*(1.2078)/11.3584)),3),AA1029))</f>
        <v>17.593</v>
      </c>
      <c r="C1029" s="103"/>
      <c r="D1029" s="92">
        <v>0.110306</v>
      </c>
      <c r="E1029" s="93">
        <v>0.14937</v>
      </c>
      <c r="F1029" s="94">
        <f t="shared" si="175"/>
        <v>2.63</v>
      </c>
      <c r="H1029" s="95">
        <v>3.786</v>
      </c>
      <c r="I1029" s="96">
        <v>0.14937</v>
      </c>
      <c r="J1029" s="97">
        <f t="shared" si="176"/>
        <v>0.56999999999999995</v>
      </c>
      <c r="L1029" s="98">
        <v>2.9340000000000002</v>
      </c>
      <c r="M1029" s="99">
        <v>0.14937</v>
      </c>
      <c r="N1029" s="100">
        <f t="shared" si="177"/>
        <v>0.44</v>
      </c>
      <c r="O1029" s="105" t="s">
        <v>618</v>
      </c>
      <c r="R1029" s="102" t="s">
        <v>619</v>
      </c>
      <c r="AA1029">
        <v>17.593</v>
      </c>
    </row>
    <row r="1030" spans="1:30" x14ac:dyDescent="0.2">
      <c r="A1030" s="89" t="s">
        <v>620</v>
      </c>
      <c r="B1030" s="90">
        <f>IF($P$1028&lt;&gt;"",ROUND(AA1030*(($AB$1028/(1-$P$1028))-30.47)/11.3584,2),IF('Resumen 2.0TD'!$D$3="OPTIMIZAR",ROUND(MAX(AA1030,MIN(AA1030*(($AB$1028/(1-'Resumen 2.0TD'!$F$3))-30.47)/11.3584,AA1030*(1.2078)/11.3584)),3),AA1030))</f>
        <v>41.316000000000003</v>
      </c>
      <c r="C1030" s="103"/>
      <c r="D1030" s="92">
        <v>0.110306</v>
      </c>
      <c r="E1030" s="93">
        <v>0.14937</v>
      </c>
      <c r="F1030" s="94">
        <f t="shared" si="175"/>
        <v>6.17</v>
      </c>
      <c r="H1030" s="95">
        <v>18.968</v>
      </c>
      <c r="I1030" s="96">
        <v>0.14937</v>
      </c>
      <c r="J1030" s="97">
        <f t="shared" si="176"/>
        <v>2.83</v>
      </c>
      <c r="L1030" s="98">
        <v>16.756</v>
      </c>
      <c r="M1030" s="99">
        <v>0.14937</v>
      </c>
      <c r="N1030" s="100">
        <f t="shared" si="177"/>
        <v>2.5</v>
      </c>
      <c r="O1030" s="105" t="s">
        <v>621</v>
      </c>
      <c r="AA1030">
        <v>41.316000000000003</v>
      </c>
    </row>
    <row r="1031" spans="1:30" x14ac:dyDescent="0.2">
      <c r="A1031" s="89" t="s">
        <v>139</v>
      </c>
      <c r="B1031" s="90">
        <v>1</v>
      </c>
      <c r="C1031" s="91">
        <f>$N$1023-$L$1023+1</f>
        <v>30</v>
      </c>
      <c r="D1031" s="92">
        <v>0.79890000000000005</v>
      </c>
      <c r="E1031" s="93">
        <v>4</v>
      </c>
      <c r="F1031" s="94">
        <f t="shared" si="175"/>
        <v>4</v>
      </c>
      <c r="H1031" s="95">
        <v>1</v>
      </c>
      <c r="I1031" s="96">
        <v>4</v>
      </c>
      <c r="J1031" s="97">
        <f t="shared" si="176"/>
        <v>4</v>
      </c>
      <c r="L1031" s="98">
        <v>1</v>
      </c>
      <c r="M1031" s="99">
        <v>4</v>
      </c>
      <c r="N1031" s="100">
        <f t="shared" si="177"/>
        <v>4</v>
      </c>
    </row>
    <row r="1032" spans="1:30" x14ac:dyDescent="0.2">
      <c r="A1032" s="89" t="s">
        <v>140</v>
      </c>
      <c r="B1032" s="90">
        <v>30</v>
      </c>
      <c r="C1032" s="91">
        <f>$N$1023-$L$1023+1</f>
        <v>30</v>
      </c>
      <c r="D1032" s="92">
        <v>0.5736</v>
      </c>
      <c r="E1032" s="93">
        <v>1.274E-2</v>
      </c>
      <c r="F1032" s="94">
        <f t="shared" si="175"/>
        <v>0.38</v>
      </c>
      <c r="H1032" s="95">
        <v>30</v>
      </c>
      <c r="I1032" s="96">
        <v>1.274E-2</v>
      </c>
      <c r="J1032" s="97">
        <f t="shared" si="176"/>
        <v>0.38</v>
      </c>
      <c r="L1032" s="98">
        <v>30</v>
      </c>
      <c r="M1032" s="99">
        <v>6.2899999999999996E-3</v>
      </c>
      <c r="N1032" s="100">
        <f t="shared" si="177"/>
        <v>0.19</v>
      </c>
    </row>
    <row r="1033" spans="1:30" x14ac:dyDescent="0.2">
      <c r="A1033" s="89" t="s">
        <v>141</v>
      </c>
      <c r="B1033" s="90">
        <v>1.57</v>
      </c>
      <c r="C1033" s="103"/>
      <c r="D1033" s="92">
        <v>0.24729000000000001</v>
      </c>
      <c r="E1033" s="93">
        <v>1</v>
      </c>
      <c r="F1033" s="94">
        <f t="shared" si="175"/>
        <v>1.57</v>
      </c>
      <c r="H1033" s="95">
        <v>1.57</v>
      </c>
      <c r="I1033" s="96">
        <v>1</v>
      </c>
      <c r="J1033" s="97">
        <f t="shared" si="176"/>
        <v>1.57</v>
      </c>
      <c r="L1033" s="98">
        <v>1.57</v>
      </c>
      <c r="M1033" s="99">
        <v>1</v>
      </c>
      <c r="N1033" s="100">
        <f t="shared" si="177"/>
        <v>1.57</v>
      </c>
    </row>
    <row r="1034" spans="1:30" x14ac:dyDescent="0.2">
      <c r="A1034" s="106" t="s">
        <v>142</v>
      </c>
      <c r="F1034" s="107">
        <f>ROUND((SUM(F1026:F1033)-F1033)*1.1+F1033,2)</f>
        <v>52.41</v>
      </c>
      <c r="J1034" s="108">
        <f>ROUND(SUM(J1026:J1033),2)</f>
        <v>42.55</v>
      </c>
      <c r="N1034" s="109">
        <f>ROUND(SUM(N1026:N1033),2)</f>
        <v>39.82</v>
      </c>
    </row>
    <row r="1035" spans="1:30" x14ac:dyDescent="0.2">
      <c r="A1035" s="78" t="s">
        <v>143</v>
      </c>
      <c r="B1035" s="110">
        <f>IF((F1030+F1029+F1028+F1026+F1027)=0,"",((F1030+F1029+F1028+F1026+F1027)-$AB$1028)/(F1030+F1029+F1028+F1026+F1027))</f>
        <v>0.20721250353728493</v>
      </c>
      <c r="D1035" s="139" t="str">
        <f>IF(B1035="","SIN PC",IF(B1035&gt;=0.3,"APROBAR",IF(B1035&gt;=0.2,"REVISAR","RECHAZAR")))</f>
        <v>REVISAR</v>
      </c>
      <c r="E1035" s="139"/>
      <c r="F1035" s="139"/>
      <c r="AD1035">
        <f>SUM(F1028:F1030)-11.3584</f>
        <v>1.5999999999998238E-3</v>
      </c>
    </row>
    <row r="1036" spans="1:30" x14ac:dyDescent="0.2">
      <c r="A1036" s="140" t="s">
        <v>743</v>
      </c>
      <c r="B1036" s="140"/>
      <c r="C1036" s="140"/>
      <c r="D1036" s="140"/>
      <c r="E1036" s="140"/>
      <c r="F1036" s="140"/>
    </row>
    <row r="1037" spans="1:30" x14ac:dyDescent="0.2">
      <c r="A1037" s="111" t="s">
        <v>111</v>
      </c>
      <c r="B1037" s="111" t="s">
        <v>744</v>
      </c>
      <c r="D1037" s="111" t="s">
        <v>745</v>
      </c>
      <c r="E1037" s="111" t="s">
        <v>746</v>
      </c>
      <c r="F1037" s="111" t="s">
        <v>120</v>
      </c>
    </row>
    <row r="1038" spans="1:30" x14ac:dyDescent="0.2">
      <c r="A1038" s="112" t="s">
        <v>747</v>
      </c>
      <c r="B1038" s="113">
        <v>697</v>
      </c>
      <c r="C1038" s="114"/>
      <c r="D1038" s="92">
        <v>0.06</v>
      </c>
      <c r="E1038" s="114"/>
      <c r="F1038" s="115">
        <f>ROUND(B1038*D1038,2)</f>
        <v>41.82</v>
      </c>
    </row>
    <row r="1039" spans="1:30" x14ac:dyDescent="0.2">
      <c r="A1039" s="112" t="s">
        <v>748</v>
      </c>
      <c r="B1039" s="114"/>
      <c r="C1039" s="114"/>
      <c r="D1039" s="114"/>
      <c r="E1039" s="116">
        <v>0.06</v>
      </c>
      <c r="F1039" s="115">
        <v>11.36</v>
      </c>
    </row>
    <row r="1040" spans="1:30" x14ac:dyDescent="0.2">
      <c r="A1040" s="117" t="s">
        <v>749</v>
      </c>
      <c r="B1040" s="114"/>
      <c r="C1040" s="114"/>
      <c r="D1040" s="114"/>
      <c r="E1040" s="114"/>
      <c r="F1040" s="118">
        <f>F1038-F1039</f>
        <v>30.46</v>
      </c>
    </row>
    <row r="1042" spans="1:30" x14ac:dyDescent="0.2">
      <c r="A1042" s="137" t="s">
        <v>1111</v>
      </c>
      <c r="B1042" s="137"/>
      <c r="C1042" s="137"/>
      <c r="D1042" s="137"/>
      <c r="E1042" s="137"/>
      <c r="F1042" s="137"/>
      <c r="H1042" s="137" t="s">
        <v>1112</v>
      </c>
      <c r="I1042" s="137"/>
      <c r="J1042" s="137"/>
      <c r="K1042" s="137"/>
      <c r="L1042" s="76">
        <v>46113</v>
      </c>
      <c r="M1042" s="77" t="s">
        <v>607</v>
      </c>
      <c r="N1042" s="76">
        <v>46142</v>
      </c>
      <c r="R1042" s="138" t="s">
        <v>110</v>
      </c>
      <c r="S1042" s="138"/>
      <c r="T1042" s="138"/>
      <c r="U1042" s="138"/>
      <c r="V1042" s="138"/>
    </row>
    <row r="1043" spans="1:30" x14ac:dyDescent="0.2">
      <c r="A1043" s="78" t="s">
        <v>111</v>
      </c>
      <c r="B1043" s="79" t="s">
        <v>112</v>
      </c>
      <c r="C1043" s="80"/>
      <c r="D1043" s="80"/>
      <c r="E1043" s="80"/>
      <c r="F1043" s="80"/>
      <c r="H1043" s="81" t="s">
        <v>1113</v>
      </c>
      <c r="I1043" s="82"/>
      <c r="J1043" s="82"/>
      <c r="L1043" s="83" t="s">
        <v>1114</v>
      </c>
      <c r="M1043" s="84"/>
      <c r="N1043" s="84"/>
      <c r="R1043" s="85" t="s">
        <v>1115</v>
      </c>
    </row>
    <row r="1044" spans="1:30" x14ac:dyDescent="0.2">
      <c r="B1044" s="68" t="s">
        <v>116</v>
      </c>
      <c r="C1044" s="68" t="s">
        <v>117</v>
      </c>
      <c r="D1044" s="68" t="s">
        <v>118</v>
      </c>
      <c r="E1044" s="68" t="s">
        <v>119</v>
      </c>
      <c r="F1044" s="68" t="s">
        <v>120</v>
      </c>
      <c r="H1044" s="86" t="s">
        <v>116</v>
      </c>
      <c r="I1044" s="86" t="s">
        <v>119</v>
      </c>
      <c r="J1044" s="86" t="s">
        <v>120</v>
      </c>
      <c r="L1044" s="87" t="s">
        <v>116</v>
      </c>
      <c r="M1044" s="87" t="s">
        <v>119</v>
      </c>
      <c r="N1044" s="87" t="s">
        <v>120</v>
      </c>
      <c r="R1044" s="88" t="s">
        <v>1116</v>
      </c>
    </row>
    <row r="1045" spans="1:30" x14ac:dyDescent="0.2">
      <c r="A1045" s="89" t="s">
        <v>122</v>
      </c>
      <c r="B1045" s="90">
        <v>5.5</v>
      </c>
      <c r="C1045" s="91">
        <f>$N$1042-$L$1042+1</f>
        <v>30</v>
      </c>
      <c r="D1045" s="92">
        <v>3.4085999999999999</v>
      </c>
      <c r="E1045" s="93">
        <v>3.85</v>
      </c>
      <c r="F1045" s="94">
        <f t="shared" ref="F1045:F1052" si="178">ROUND(B1045*E1045,2)</f>
        <v>21.18</v>
      </c>
      <c r="H1045" s="95">
        <v>5.5</v>
      </c>
      <c r="I1045" s="96">
        <v>3.85</v>
      </c>
      <c r="J1045" s="97">
        <f t="shared" ref="J1045:J1052" si="179">ROUND(H1045*I1045,2)</f>
        <v>21.18</v>
      </c>
      <c r="L1045" s="98">
        <v>5.5</v>
      </c>
      <c r="M1045" s="99">
        <v>3.85</v>
      </c>
      <c r="N1045" s="100">
        <f t="shared" ref="N1045:N1052" si="180">ROUND(L1045*M1045,2)</f>
        <v>21.18</v>
      </c>
      <c r="R1045" s="101" t="s">
        <v>1117</v>
      </c>
    </row>
    <row r="1046" spans="1:30" x14ac:dyDescent="0.2">
      <c r="A1046" s="89" t="s">
        <v>124</v>
      </c>
      <c r="B1046" s="90">
        <v>5.5</v>
      </c>
      <c r="C1046" s="91">
        <f>$N$1042-$L$1042+1</f>
        <v>30</v>
      </c>
      <c r="D1046" s="92">
        <v>1.09728</v>
      </c>
      <c r="E1046" s="93">
        <v>1.33</v>
      </c>
      <c r="F1046" s="94">
        <f t="shared" si="178"/>
        <v>7.32</v>
      </c>
      <c r="H1046" s="95">
        <v>5.5</v>
      </c>
      <c r="I1046" s="96">
        <v>1.33</v>
      </c>
      <c r="J1046" s="97">
        <f t="shared" si="179"/>
        <v>7.32</v>
      </c>
      <c r="L1046" s="98">
        <v>5.5</v>
      </c>
      <c r="M1046" s="99">
        <v>1.33</v>
      </c>
      <c r="N1046" s="100">
        <f t="shared" si="180"/>
        <v>7.32</v>
      </c>
      <c r="R1046" s="102" t="s">
        <v>1118</v>
      </c>
    </row>
    <row r="1047" spans="1:30" x14ac:dyDescent="0.2">
      <c r="A1047" s="89" t="s">
        <v>614</v>
      </c>
      <c r="B1047" s="90">
        <f>IF($P$1047&lt;&gt;"",ROUND(AA1047*(($AB$1047/(1-$P$1047))-28.49)/31.1272,2),IF('Resumen 2.0TD'!$D$3="OPTIMIZAR",ROUND(MAX(AA1047,MIN(AA1047*(($AB$1047/(1-'Resumen 2.0TD'!$F$3))-28.49)/31.1272,AA1047*(253.8878)/31.1272)),3),AA1047))</f>
        <v>68.334000000000003</v>
      </c>
      <c r="C1047" s="103"/>
      <c r="D1047" s="92">
        <v>0.110306</v>
      </c>
      <c r="E1047" s="93">
        <v>0.13788</v>
      </c>
      <c r="F1047" s="94">
        <f t="shared" si="178"/>
        <v>9.42</v>
      </c>
      <c r="H1047" s="95">
        <v>68.466999999999999</v>
      </c>
      <c r="I1047" s="96">
        <v>0.13788</v>
      </c>
      <c r="J1047" s="97">
        <f t="shared" si="179"/>
        <v>9.44</v>
      </c>
      <c r="L1047" s="98">
        <v>87.611999999999995</v>
      </c>
      <c r="M1047" s="99">
        <v>0.13788</v>
      </c>
      <c r="N1047" s="100">
        <f t="shared" si="180"/>
        <v>12.08</v>
      </c>
      <c r="O1047" s="104" t="s">
        <v>615</v>
      </c>
      <c r="P1047" s="67"/>
      <c r="R1047" s="102" t="s">
        <v>1119</v>
      </c>
      <c r="AA1047">
        <v>50.061999999999998</v>
      </c>
      <c r="AB1047">
        <f>B1045*D1045+B1046*D1046+AA1047*D1047+AA1048*D1048+AA1049*D1049</f>
        <v>49.684581336000001</v>
      </c>
    </row>
    <row r="1048" spans="1:30" x14ac:dyDescent="0.2">
      <c r="A1048" s="89" t="s">
        <v>617</v>
      </c>
      <c r="B1048" s="90">
        <f>IF($P$1047&lt;&gt;"",ROUND(AA1048*(($AB$1047/(1-$P$1047))-28.49)/31.1272,2),IF('Resumen 2.0TD'!$D$3="OPTIMIZAR",ROUND(MAX(AA1048,MIN(AA1048*(($AB$1047/(1-'Resumen 2.0TD'!$F$3))-28.49)/31.1272,AA1048*(253.8878)/31.1272)),3),AA1048))</f>
        <v>65.948999999999998</v>
      </c>
      <c r="C1048" s="103"/>
      <c r="D1048" s="92">
        <v>0.110306</v>
      </c>
      <c r="E1048" s="93">
        <v>0.13788</v>
      </c>
      <c r="F1048" s="94">
        <f t="shared" si="178"/>
        <v>9.09</v>
      </c>
      <c r="H1048" s="95">
        <v>58.682000000000002</v>
      </c>
      <c r="I1048" s="96">
        <v>0.13788</v>
      </c>
      <c r="J1048" s="97">
        <f t="shared" si="179"/>
        <v>8.09</v>
      </c>
      <c r="L1048" s="98">
        <v>74.992999999999995</v>
      </c>
      <c r="M1048" s="99">
        <v>0.13788</v>
      </c>
      <c r="N1048" s="100">
        <f t="shared" si="180"/>
        <v>10.34</v>
      </c>
      <c r="O1048" s="105" t="s">
        <v>618</v>
      </c>
      <c r="R1048" s="102" t="s">
        <v>619</v>
      </c>
      <c r="AA1048">
        <v>48.314999999999998</v>
      </c>
    </row>
    <row r="1049" spans="1:30" x14ac:dyDescent="0.2">
      <c r="A1049" s="89" t="s">
        <v>620</v>
      </c>
      <c r="B1049" s="90">
        <f>IF($P$1047&lt;&gt;"",ROUND(AA1049*(($AB$1047/(1-$P$1047))-28.49)/31.1272,2),IF('Resumen 2.0TD'!$D$3="OPTIMIZAR",ROUND(MAX(AA1049,MIN(AA1049*(($AB$1047/(1-'Resumen 2.0TD'!$F$3))-28.49)/31.1272,AA1049*(253.8878)/31.1272)),3),AA1049))</f>
        <v>173.87</v>
      </c>
      <c r="C1049" s="103"/>
      <c r="D1049" s="92">
        <v>0.110306</v>
      </c>
      <c r="E1049" s="93">
        <v>0.13788</v>
      </c>
      <c r="F1049" s="94">
        <f t="shared" si="178"/>
        <v>23.97</v>
      </c>
      <c r="H1049" s="95">
        <v>140.56700000000001</v>
      </c>
      <c r="I1049" s="96">
        <v>0.13788</v>
      </c>
      <c r="J1049" s="97">
        <f t="shared" si="179"/>
        <v>19.38</v>
      </c>
      <c r="L1049" s="98">
        <v>155.738</v>
      </c>
      <c r="M1049" s="99">
        <v>0.13788</v>
      </c>
      <c r="N1049" s="100">
        <f t="shared" si="180"/>
        <v>21.47</v>
      </c>
      <c r="O1049" s="105" t="s">
        <v>621</v>
      </c>
      <c r="AA1049">
        <v>127.379</v>
      </c>
    </row>
    <row r="1050" spans="1:30" x14ac:dyDescent="0.2">
      <c r="A1050" s="89" t="s">
        <v>139</v>
      </c>
      <c r="B1050" s="90">
        <v>1</v>
      </c>
      <c r="C1050" s="91">
        <f>$N$1042-$L$1042+1</f>
        <v>30</v>
      </c>
      <c r="D1050" s="92">
        <v>0.79890000000000005</v>
      </c>
      <c r="E1050" s="93">
        <v>3</v>
      </c>
      <c r="F1050" s="94">
        <f t="shared" si="178"/>
        <v>3</v>
      </c>
      <c r="H1050" s="95">
        <v>1</v>
      </c>
      <c r="I1050" s="96">
        <v>3</v>
      </c>
      <c r="J1050" s="97">
        <f t="shared" si="179"/>
        <v>3</v>
      </c>
      <c r="L1050" s="98">
        <v>1</v>
      </c>
      <c r="M1050" s="99">
        <v>3</v>
      </c>
      <c r="N1050" s="100">
        <f t="shared" si="180"/>
        <v>3</v>
      </c>
    </row>
    <row r="1051" spans="1:30" x14ac:dyDescent="0.2">
      <c r="A1051" s="89" t="s">
        <v>140</v>
      </c>
      <c r="B1051" s="90">
        <v>30</v>
      </c>
      <c r="C1051" s="91">
        <f>$N$1042-$L$1042+1</f>
        <v>30</v>
      </c>
      <c r="D1051" s="92">
        <v>0.5736</v>
      </c>
      <c r="E1051" s="93">
        <v>1.274E-2</v>
      </c>
      <c r="F1051" s="94">
        <f t="shared" si="178"/>
        <v>0.38</v>
      </c>
      <c r="H1051" s="95">
        <v>30</v>
      </c>
      <c r="I1051" s="96">
        <v>1.274E-2</v>
      </c>
      <c r="J1051" s="97">
        <f t="shared" si="179"/>
        <v>0.38</v>
      </c>
      <c r="L1051" s="98">
        <v>30</v>
      </c>
      <c r="M1051" s="99">
        <v>6.2899999999999996E-3</v>
      </c>
      <c r="N1051" s="100">
        <f t="shared" si="180"/>
        <v>0.19</v>
      </c>
    </row>
    <row r="1052" spans="1:30" x14ac:dyDescent="0.2">
      <c r="A1052" s="89" t="s">
        <v>141</v>
      </c>
      <c r="B1052" s="90">
        <v>2.5</v>
      </c>
      <c r="C1052" s="103"/>
      <c r="D1052" s="92">
        <v>0.24729000000000001</v>
      </c>
      <c r="E1052" s="93">
        <v>1</v>
      </c>
      <c r="F1052" s="94">
        <f t="shared" si="178"/>
        <v>2.5</v>
      </c>
      <c r="H1052" s="95">
        <v>3.03</v>
      </c>
      <c r="I1052" s="96">
        <v>1</v>
      </c>
      <c r="J1052" s="97">
        <f t="shared" si="179"/>
        <v>3.03</v>
      </c>
      <c r="L1052" s="98">
        <v>3.12</v>
      </c>
      <c r="M1052" s="99">
        <v>1</v>
      </c>
      <c r="N1052" s="100">
        <f t="shared" si="180"/>
        <v>3.12</v>
      </c>
    </row>
    <row r="1053" spans="1:30" x14ac:dyDescent="0.2">
      <c r="A1053" s="106" t="s">
        <v>142</v>
      </c>
      <c r="F1053" s="107">
        <f>ROUND((SUM(F1045:F1052)-F1052)*1.1+F1052,2)</f>
        <v>84.3</v>
      </c>
      <c r="J1053" s="108">
        <f>ROUND(SUM(J1045:J1052),2)</f>
        <v>71.819999999999993</v>
      </c>
      <c r="N1053" s="109">
        <f>ROUND(SUM(N1045:N1052),2)</f>
        <v>78.7</v>
      </c>
    </row>
    <row r="1054" spans="1:30" x14ac:dyDescent="0.2">
      <c r="A1054" s="78" t="s">
        <v>143</v>
      </c>
      <c r="B1054" s="110">
        <f>IF((F1049+F1048+F1047+F1045+F1046)=0,"",((F1049+F1048+F1047+F1045+F1046)-$AB$1047)/(F1049+F1048+F1047+F1045+F1046))</f>
        <v>0.30001998681318687</v>
      </c>
      <c r="D1054" s="139" t="str">
        <f>IF(B1054="","SIN PC",IF(B1054&gt;=0.3,"APROBAR",IF(B1054&gt;=0.2,"REVISAR","RECHAZAR")))</f>
        <v>APROBAR</v>
      </c>
      <c r="E1054" s="139"/>
      <c r="F1054" s="139"/>
      <c r="AD1054">
        <f>SUM(F1047:F1049)-31.1272</f>
        <v>11.352799999999998</v>
      </c>
    </row>
    <row r="1055" spans="1:30" x14ac:dyDescent="0.2">
      <c r="A1055" s="140" t="s">
        <v>743</v>
      </c>
      <c r="B1055" s="140"/>
      <c r="C1055" s="140"/>
      <c r="D1055" s="140"/>
      <c r="E1055" s="140"/>
      <c r="F1055" s="140"/>
    </row>
    <row r="1056" spans="1:30" x14ac:dyDescent="0.2">
      <c r="A1056" s="111" t="s">
        <v>111</v>
      </c>
      <c r="B1056" s="111" t="s">
        <v>744</v>
      </c>
      <c r="D1056" s="111" t="s">
        <v>745</v>
      </c>
      <c r="E1056" s="111" t="s">
        <v>746</v>
      </c>
      <c r="F1056" s="111" t="s">
        <v>120</v>
      </c>
    </row>
    <row r="1057" spans="1:28" x14ac:dyDescent="0.2">
      <c r="A1057" s="112" t="s">
        <v>747</v>
      </c>
      <c r="B1057" s="113">
        <v>171</v>
      </c>
      <c r="C1057" s="114"/>
      <c r="D1057" s="92">
        <v>0.06</v>
      </c>
      <c r="E1057" s="114"/>
      <c r="F1057" s="115">
        <f>ROUND(B1057*D1057,2)</f>
        <v>10.26</v>
      </c>
    </row>
    <row r="1058" spans="1:28" x14ac:dyDescent="0.2">
      <c r="A1058" s="112" t="s">
        <v>748</v>
      </c>
      <c r="B1058" s="114"/>
      <c r="C1058" s="114"/>
      <c r="D1058" s="114"/>
      <c r="E1058" s="116">
        <v>0.06</v>
      </c>
      <c r="F1058" s="115">
        <v>10.81</v>
      </c>
    </row>
    <row r="1059" spans="1:28" x14ac:dyDescent="0.2">
      <c r="A1059" s="117" t="s">
        <v>749</v>
      </c>
      <c r="B1059" s="114"/>
      <c r="C1059" s="114"/>
      <c r="D1059" s="114"/>
      <c r="E1059" s="114"/>
      <c r="F1059" s="118">
        <f>F1057-F1058</f>
        <v>-0.55000000000000071</v>
      </c>
    </row>
    <row r="1061" spans="1:28" x14ac:dyDescent="0.2">
      <c r="A1061" s="137" t="s">
        <v>1120</v>
      </c>
      <c r="B1061" s="137"/>
      <c r="C1061" s="137"/>
      <c r="D1061" s="137"/>
      <c r="E1061" s="137"/>
      <c r="F1061" s="137"/>
      <c r="H1061" s="137" t="s">
        <v>1121</v>
      </c>
      <c r="I1061" s="137"/>
      <c r="J1061" s="137"/>
      <c r="K1061" s="137"/>
      <c r="L1061" s="76">
        <v>46113</v>
      </c>
      <c r="M1061" s="77" t="s">
        <v>607</v>
      </c>
      <c r="N1061" s="76">
        <v>46142</v>
      </c>
      <c r="R1061" s="138" t="s">
        <v>110</v>
      </c>
      <c r="S1061" s="138"/>
      <c r="T1061" s="138"/>
      <c r="U1061" s="138"/>
      <c r="V1061" s="138"/>
    </row>
    <row r="1062" spans="1:28" x14ac:dyDescent="0.2">
      <c r="A1062" s="78" t="s">
        <v>111</v>
      </c>
      <c r="B1062" s="79" t="s">
        <v>112</v>
      </c>
      <c r="C1062" s="80"/>
      <c r="D1062" s="80"/>
      <c r="E1062" s="80"/>
      <c r="F1062" s="80"/>
      <c r="H1062" s="81" t="s">
        <v>1122</v>
      </c>
      <c r="I1062" s="82"/>
      <c r="J1062" s="82"/>
      <c r="L1062" s="83" t="s">
        <v>1123</v>
      </c>
      <c r="M1062" s="84"/>
      <c r="N1062" s="84"/>
      <c r="R1062" s="85" t="s">
        <v>1124</v>
      </c>
    </row>
    <row r="1063" spans="1:28" x14ac:dyDescent="0.2">
      <c r="B1063" s="68" t="s">
        <v>116</v>
      </c>
      <c r="C1063" s="68" t="s">
        <v>117</v>
      </c>
      <c r="D1063" s="68" t="s">
        <v>118</v>
      </c>
      <c r="E1063" s="68" t="s">
        <v>119</v>
      </c>
      <c r="F1063" s="68" t="s">
        <v>120</v>
      </c>
      <c r="H1063" s="86" t="s">
        <v>116</v>
      </c>
      <c r="I1063" s="86" t="s">
        <v>119</v>
      </c>
      <c r="J1063" s="86" t="s">
        <v>120</v>
      </c>
      <c r="L1063" s="87" t="s">
        <v>116</v>
      </c>
      <c r="M1063" s="87" t="s">
        <v>119</v>
      </c>
      <c r="N1063" s="87" t="s">
        <v>120</v>
      </c>
      <c r="R1063" s="88" t="s">
        <v>1125</v>
      </c>
    </row>
    <row r="1064" spans="1:28" x14ac:dyDescent="0.2">
      <c r="A1064" s="89" t="s">
        <v>122</v>
      </c>
      <c r="B1064" s="90">
        <v>5.75</v>
      </c>
      <c r="C1064" s="91">
        <f>$N$1061-$L$1061+1</f>
        <v>30</v>
      </c>
      <c r="D1064" s="92">
        <v>3.68919</v>
      </c>
      <c r="E1064" s="93">
        <v>4.17</v>
      </c>
      <c r="F1064" s="94">
        <f t="shared" ref="F1064:F1071" si="181">ROUND(B1064*E1064,2)</f>
        <v>23.98</v>
      </c>
      <c r="H1064" s="95">
        <v>5.75</v>
      </c>
      <c r="I1064" s="96">
        <v>4.17</v>
      </c>
      <c r="J1064" s="97">
        <f t="shared" ref="J1064:J1071" si="182">ROUND(H1064*I1064,2)</f>
        <v>23.98</v>
      </c>
      <c r="L1064" s="98">
        <v>5.75</v>
      </c>
      <c r="M1064" s="99">
        <v>4.17</v>
      </c>
      <c r="N1064" s="100">
        <f t="shared" ref="N1064:N1071" si="183">ROUND(L1064*M1064,2)</f>
        <v>23.98</v>
      </c>
      <c r="R1064" s="101" t="s">
        <v>1126</v>
      </c>
    </row>
    <row r="1065" spans="1:28" x14ac:dyDescent="0.2">
      <c r="A1065" s="89" t="s">
        <v>124</v>
      </c>
      <c r="B1065" s="90">
        <v>5.75</v>
      </c>
      <c r="C1065" s="91">
        <f>$N$1061-$L$1061+1</f>
        <v>30</v>
      </c>
      <c r="D1065" s="92">
        <v>1.31928</v>
      </c>
      <c r="E1065" s="93">
        <v>1.37</v>
      </c>
      <c r="F1065" s="94">
        <f t="shared" si="181"/>
        <v>7.88</v>
      </c>
      <c r="H1065" s="95">
        <v>5.75</v>
      </c>
      <c r="I1065" s="96">
        <v>1.37</v>
      </c>
      <c r="J1065" s="97">
        <f t="shared" si="182"/>
        <v>7.88</v>
      </c>
      <c r="L1065" s="98">
        <v>5.75</v>
      </c>
      <c r="M1065" s="99">
        <v>1.37</v>
      </c>
      <c r="N1065" s="100">
        <f t="shared" si="183"/>
        <v>7.88</v>
      </c>
      <c r="R1065" s="102" t="s">
        <v>1127</v>
      </c>
    </row>
    <row r="1066" spans="1:28" x14ac:dyDescent="0.2">
      <c r="A1066" s="89" t="s">
        <v>614</v>
      </c>
      <c r="B1066" s="90">
        <f>IF($P$1066&lt;&gt;"",ROUND(AA1066*(($AB$1066/(1-$P$1066))-31.855)/197.8389,2),IF('Resumen 2.0TD'!$D$3="OPTIMIZAR",ROUND(MAX(AA1066,MIN(AA1066*(($AB$1066/(1-'Resumen 2.0TD'!$F$3))-31.855)/197.8389,AA1066*(453.9628)/197.8389)),3),AA1066))</f>
        <v>365.524</v>
      </c>
      <c r="C1066" s="103"/>
      <c r="D1066" s="92">
        <v>0.11117100000000001</v>
      </c>
      <c r="E1066" s="93">
        <v>0.14937</v>
      </c>
      <c r="F1066" s="94">
        <f t="shared" si="181"/>
        <v>54.6</v>
      </c>
      <c r="H1066" s="95">
        <v>400.89600000000002</v>
      </c>
      <c r="I1066" s="96">
        <v>0.13900000000000001</v>
      </c>
      <c r="J1066" s="97">
        <f t="shared" si="182"/>
        <v>55.72</v>
      </c>
      <c r="L1066" s="98">
        <v>250.786</v>
      </c>
      <c r="M1066" s="99">
        <v>0.14937</v>
      </c>
      <c r="N1066" s="100">
        <f t="shared" si="183"/>
        <v>37.46</v>
      </c>
      <c r="O1066" s="104" t="s">
        <v>615</v>
      </c>
      <c r="P1066" s="67"/>
      <c r="R1066" s="102" t="s">
        <v>1128</v>
      </c>
      <c r="AA1066">
        <v>329.24900000000002</v>
      </c>
      <c r="AB1066">
        <f>B1064*D1064+B1065*D1065+AA1066*D1066+AA1067*D1067+AA1068*D1068</f>
        <v>176.04346911900001</v>
      </c>
    </row>
    <row r="1067" spans="1:28" x14ac:dyDescent="0.2">
      <c r="A1067" s="89" t="s">
        <v>617</v>
      </c>
      <c r="B1067" s="90">
        <f>IF($P$1066&lt;&gt;"",ROUND(AA1067*(($AB$1066/(1-$P$1066))-31.855)/197.8389,2),IF('Resumen 2.0TD'!$D$3="OPTIMIZAR",ROUND(MAX(AA1067,MIN(AA1067*(($AB$1066/(1-'Resumen 2.0TD'!$F$3))-31.855)/197.8389,AA1067*(453.9628)/197.8389)),3),AA1067))</f>
        <v>351.44200000000001</v>
      </c>
      <c r="C1067" s="103"/>
      <c r="D1067" s="92">
        <v>0.11117100000000001</v>
      </c>
      <c r="E1067" s="93">
        <v>0.14937</v>
      </c>
      <c r="F1067" s="94">
        <f t="shared" si="181"/>
        <v>52.49</v>
      </c>
      <c r="H1067" s="95">
        <v>379.298</v>
      </c>
      <c r="I1067" s="96">
        <v>0.13500000000000001</v>
      </c>
      <c r="J1067" s="97">
        <f t="shared" si="182"/>
        <v>51.21</v>
      </c>
      <c r="L1067" s="98">
        <v>263.48599999999999</v>
      </c>
      <c r="M1067" s="99">
        <v>0.14937</v>
      </c>
      <c r="N1067" s="100">
        <f t="shared" si="183"/>
        <v>39.36</v>
      </c>
      <c r="O1067" s="105" t="s">
        <v>618</v>
      </c>
      <c r="R1067" s="102" t="s">
        <v>619</v>
      </c>
      <c r="AA1067">
        <v>316.565</v>
      </c>
    </row>
    <row r="1068" spans="1:28" x14ac:dyDescent="0.2">
      <c r="A1068" s="89" t="s">
        <v>620</v>
      </c>
      <c r="B1068" s="90">
        <f>IF($P$1066&lt;&gt;"",ROUND(AA1068*(($AB$1066/(1-$P$1066))-31.855)/197.8389,2),IF('Resumen 2.0TD'!$D$3="OPTIMIZAR",ROUND(MAX(AA1068,MIN(AA1068*(($AB$1066/(1-'Resumen 2.0TD'!$F$3))-31.855)/197.8389,AA1068*(453.9628)/197.8389)),3),AA1068))</f>
        <v>753.44799999999998</v>
      </c>
      <c r="C1068" s="103"/>
      <c r="D1068" s="92">
        <v>0.11117100000000001</v>
      </c>
      <c r="E1068" s="93">
        <v>0.14937</v>
      </c>
      <c r="F1068" s="94">
        <f t="shared" si="181"/>
        <v>112.54</v>
      </c>
      <c r="H1068" s="95">
        <v>590.77300000000002</v>
      </c>
      <c r="I1068" s="96">
        <v>0.13500000000000001</v>
      </c>
      <c r="J1068" s="97">
        <f t="shared" si="182"/>
        <v>79.75</v>
      </c>
      <c r="L1068" s="98">
        <v>539.25400000000002</v>
      </c>
      <c r="M1068" s="99">
        <v>0.14937</v>
      </c>
      <c r="N1068" s="100">
        <f t="shared" si="183"/>
        <v>80.55</v>
      </c>
      <c r="O1068" s="105" t="s">
        <v>621</v>
      </c>
      <c r="AA1068">
        <v>678.67499999999995</v>
      </c>
    </row>
    <row r="1069" spans="1:28" x14ac:dyDescent="0.2">
      <c r="A1069" s="89" t="s">
        <v>139</v>
      </c>
      <c r="B1069" s="90">
        <v>1</v>
      </c>
      <c r="C1069" s="91">
        <f>$N$1061-$L$1061+1</f>
        <v>30</v>
      </c>
      <c r="D1069" s="92">
        <v>0.79890000000000005</v>
      </c>
      <c r="E1069" s="93">
        <v>4</v>
      </c>
      <c r="F1069" s="94">
        <f t="shared" si="181"/>
        <v>4</v>
      </c>
      <c r="H1069" s="95">
        <v>1</v>
      </c>
      <c r="I1069" s="96">
        <v>4</v>
      </c>
      <c r="J1069" s="97">
        <f t="shared" si="182"/>
        <v>4</v>
      </c>
      <c r="L1069" s="98">
        <v>1</v>
      </c>
      <c r="M1069" s="99">
        <v>4</v>
      </c>
      <c r="N1069" s="100">
        <f t="shared" si="183"/>
        <v>4</v>
      </c>
    </row>
    <row r="1070" spans="1:28" x14ac:dyDescent="0.2">
      <c r="A1070" s="89" t="s">
        <v>140</v>
      </c>
      <c r="B1070" s="90">
        <v>30</v>
      </c>
      <c r="C1070" s="91">
        <f>$N$1061-$L$1061+1</f>
        <v>30</v>
      </c>
      <c r="D1070" s="92">
        <v>0.5736</v>
      </c>
      <c r="E1070" s="93">
        <v>1.274E-2</v>
      </c>
      <c r="F1070" s="94">
        <f t="shared" si="181"/>
        <v>0.38</v>
      </c>
      <c r="H1070" s="95">
        <v>30</v>
      </c>
      <c r="I1070" s="96">
        <v>1.274E-2</v>
      </c>
      <c r="J1070" s="97">
        <f t="shared" si="182"/>
        <v>0.38</v>
      </c>
      <c r="L1070" s="98">
        <v>30</v>
      </c>
      <c r="M1070" s="99">
        <v>6.2899999999999996E-3</v>
      </c>
      <c r="N1070" s="100">
        <f t="shared" si="183"/>
        <v>0.19</v>
      </c>
    </row>
    <row r="1071" spans="1:28" x14ac:dyDescent="0.2">
      <c r="A1071" s="89" t="s">
        <v>141</v>
      </c>
      <c r="B1071" s="90">
        <v>11.75</v>
      </c>
      <c r="C1071" s="103"/>
      <c r="D1071" s="92">
        <v>0.27311999999999997</v>
      </c>
      <c r="E1071" s="93">
        <v>1</v>
      </c>
      <c r="F1071" s="94">
        <f t="shared" si="181"/>
        <v>11.75</v>
      </c>
      <c r="H1071" s="95">
        <v>11.93</v>
      </c>
      <c r="I1071" s="96">
        <v>1</v>
      </c>
      <c r="J1071" s="97">
        <f t="shared" si="182"/>
        <v>11.93</v>
      </c>
      <c r="L1071" s="98">
        <v>9.68</v>
      </c>
      <c r="M1071" s="99">
        <v>1</v>
      </c>
      <c r="N1071" s="100">
        <f t="shared" si="183"/>
        <v>9.68</v>
      </c>
    </row>
    <row r="1072" spans="1:28" x14ac:dyDescent="0.2">
      <c r="A1072" s="106" t="s">
        <v>142</v>
      </c>
      <c r="F1072" s="107">
        <f>ROUND((SUM(F1064:F1071)-F1071)*1.1+F1071,2)</f>
        <v>293.20999999999998</v>
      </c>
      <c r="J1072" s="108">
        <f>ROUND(SUM(J1064:J1071),2)</f>
        <v>234.85</v>
      </c>
      <c r="N1072" s="109">
        <f>ROUND(SUM(N1064:N1071),2)</f>
        <v>203.1</v>
      </c>
    </row>
    <row r="1073" spans="1:30" x14ac:dyDescent="0.2">
      <c r="A1073" s="78" t="s">
        <v>143</v>
      </c>
      <c r="B1073" s="110">
        <f>IF((F1068+F1067+F1066+F1064+F1065)=0,"",((F1068+F1067+F1066+F1064+F1065)-$AB$1066)/(F1068+F1067+F1066+F1064+F1065))</f>
        <v>0.29999813464153635</v>
      </c>
      <c r="D1073" s="139" t="str">
        <f>IF(B1073="","SIN PC",IF(B1073&gt;=0.3,"APROBAR",IF(B1073&gt;=0.2,"REVISAR","RECHAZAR")))</f>
        <v>REVISAR</v>
      </c>
      <c r="E1073" s="139"/>
      <c r="F1073" s="139"/>
      <c r="AD1073">
        <f>SUM(F1066:F1068)-197.8389</f>
        <v>21.7911</v>
      </c>
    </row>
    <row r="1075" spans="1:30" x14ac:dyDescent="0.2">
      <c r="A1075" s="137" t="s">
        <v>1129</v>
      </c>
      <c r="B1075" s="137"/>
      <c r="C1075" s="137"/>
      <c r="D1075" s="137"/>
      <c r="E1075" s="137"/>
      <c r="F1075" s="137"/>
      <c r="H1075" s="137" t="s">
        <v>1130</v>
      </c>
      <c r="I1075" s="137"/>
      <c r="J1075" s="137"/>
      <c r="K1075" s="137"/>
      <c r="L1075" s="76">
        <v>46113</v>
      </c>
      <c r="M1075" s="77" t="s">
        <v>607</v>
      </c>
      <c r="N1075" s="76">
        <v>46142</v>
      </c>
      <c r="R1075" s="138" t="s">
        <v>110</v>
      </c>
      <c r="S1075" s="138"/>
      <c r="T1075" s="138"/>
      <c r="U1075" s="138"/>
      <c r="V1075" s="138"/>
    </row>
    <row r="1076" spans="1:30" x14ac:dyDescent="0.2">
      <c r="A1076" s="78" t="s">
        <v>111</v>
      </c>
      <c r="B1076" s="79" t="s">
        <v>112</v>
      </c>
      <c r="C1076" s="80"/>
      <c r="D1076" s="80"/>
      <c r="E1076" s="80"/>
      <c r="F1076" s="80"/>
      <c r="H1076" s="81" t="s">
        <v>1131</v>
      </c>
      <c r="I1076" s="82"/>
      <c r="J1076" s="82"/>
      <c r="L1076" s="83" t="s">
        <v>1132</v>
      </c>
      <c r="M1076" s="84"/>
      <c r="N1076" s="84"/>
      <c r="R1076" s="85" t="s">
        <v>1133</v>
      </c>
    </row>
    <row r="1077" spans="1:30" x14ac:dyDescent="0.2">
      <c r="B1077" s="68" t="s">
        <v>116</v>
      </c>
      <c r="C1077" s="68" t="s">
        <v>117</v>
      </c>
      <c r="D1077" s="68" t="s">
        <v>118</v>
      </c>
      <c r="E1077" s="68" t="s">
        <v>119</v>
      </c>
      <c r="F1077" s="68" t="s">
        <v>120</v>
      </c>
      <c r="H1077" s="86" t="s">
        <v>116</v>
      </c>
      <c r="I1077" s="86" t="s">
        <v>119</v>
      </c>
      <c r="J1077" s="86" t="s">
        <v>120</v>
      </c>
      <c r="L1077" s="87" t="s">
        <v>116</v>
      </c>
      <c r="M1077" s="87" t="s">
        <v>119</v>
      </c>
      <c r="N1077" s="87" t="s">
        <v>120</v>
      </c>
      <c r="R1077" s="88" t="s">
        <v>1134</v>
      </c>
    </row>
    <row r="1078" spans="1:30" x14ac:dyDescent="0.2">
      <c r="A1078" s="89" t="s">
        <v>122</v>
      </c>
      <c r="B1078" s="90">
        <v>5.75</v>
      </c>
      <c r="C1078" s="91">
        <f>$N$1075-$L$1075+1</f>
        <v>30</v>
      </c>
      <c r="D1078" s="92">
        <v>3.68919</v>
      </c>
      <c r="E1078" s="93">
        <v>3.85</v>
      </c>
      <c r="F1078" s="94">
        <f t="shared" ref="F1078:F1085" si="184">ROUND(B1078*E1078,2)</f>
        <v>22.14</v>
      </c>
      <c r="H1078" s="95">
        <v>5.75</v>
      </c>
      <c r="I1078" s="96">
        <v>3.85</v>
      </c>
      <c r="J1078" s="97">
        <f t="shared" ref="J1078:J1085" si="185">ROUND(H1078*I1078,2)</f>
        <v>22.14</v>
      </c>
      <c r="L1078" s="98">
        <v>5.75</v>
      </c>
      <c r="M1078" s="99">
        <v>3.85</v>
      </c>
      <c r="N1078" s="100">
        <f t="shared" ref="N1078:N1085" si="186">ROUND(L1078*M1078,2)</f>
        <v>22.14</v>
      </c>
      <c r="R1078" s="101" t="s">
        <v>1135</v>
      </c>
    </row>
    <row r="1079" spans="1:30" x14ac:dyDescent="0.2">
      <c r="A1079" s="89" t="s">
        <v>124</v>
      </c>
      <c r="B1079" s="90">
        <v>5.75</v>
      </c>
      <c r="C1079" s="91">
        <f>$N$1075-$L$1075+1</f>
        <v>30</v>
      </c>
      <c r="D1079" s="92">
        <v>1.31928</v>
      </c>
      <c r="E1079" s="93">
        <v>1.33</v>
      </c>
      <c r="F1079" s="94">
        <f t="shared" si="184"/>
        <v>7.65</v>
      </c>
      <c r="H1079" s="95">
        <v>5.75</v>
      </c>
      <c r="I1079" s="96">
        <v>1.33</v>
      </c>
      <c r="J1079" s="97">
        <f t="shared" si="185"/>
        <v>7.65</v>
      </c>
      <c r="L1079" s="98">
        <v>5.75</v>
      </c>
      <c r="M1079" s="99">
        <v>1.33</v>
      </c>
      <c r="N1079" s="100">
        <f t="shared" si="186"/>
        <v>7.65</v>
      </c>
      <c r="R1079" s="102" t="s">
        <v>1136</v>
      </c>
    </row>
    <row r="1080" spans="1:30" x14ac:dyDescent="0.2">
      <c r="A1080" s="89" t="s">
        <v>614</v>
      </c>
      <c r="B1080" s="90">
        <f>IF($P$1080&lt;&gt;"",ROUND(AA1080*(($AB$1080/(1-$P$1080))-29.785)/59.1472,2),IF('Resumen 2.0TD'!$D$3="OPTIMIZAR",ROUND(MAX(AA1080,MIN(AA1080*(($AB$1080/(1-'Resumen 2.0TD'!$F$3))-29.785)/59.1472,AA1080*(129.0728)/59.1472)),3),AA1080))</f>
        <v>203.87299999999999</v>
      </c>
      <c r="C1080" s="103"/>
      <c r="D1080" s="92">
        <v>0.11117100000000001</v>
      </c>
      <c r="E1080" s="93">
        <v>0.13788</v>
      </c>
      <c r="F1080" s="94">
        <f t="shared" si="184"/>
        <v>28.11</v>
      </c>
      <c r="H1080" s="95">
        <v>137.20599999999999</v>
      </c>
      <c r="I1080" s="96">
        <v>0.13788</v>
      </c>
      <c r="J1080" s="97">
        <f t="shared" si="185"/>
        <v>18.920000000000002</v>
      </c>
      <c r="L1080" s="98">
        <v>102.96899999999999</v>
      </c>
      <c r="M1080" s="99">
        <v>0.13788</v>
      </c>
      <c r="N1080" s="100">
        <f t="shared" si="186"/>
        <v>14.2</v>
      </c>
      <c r="O1080" s="104" t="s">
        <v>615</v>
      </c>
      <c r="P1080" s="67"/>
      <c r="R1080" s="102" t="s">
        <v>1137</v>
      </c>
      <c r="AA1080">
        <v>151.71</v>
      </c>
      <c r="AB1080">
        <f>B1078*D1078+B1079*D1079+AA1080*D1080+AA1081*D1081+AA1082*D1082</f>
        <v>76.488393396000006</v>
      </c>
    </row>
    <row r="1081" spans="1:30" x14ac:dyDescent="0.2">
      <c r="A1081" s="89" t="s">
        <v>617</v>
      </c>
      <c r="B1081" s="90">
        <f>IF($P$1080&lt;&gt;"",ROUND(AA1081*(($AB$1080/(1-$P$1080))-29.785)/59.1472,2),IF('Resumen 2.0TD'!$D$3="OPTIMIZAR",ROUND(MAX(AA1081,MIN(AA1081*(($AB$1080/(1-'Resumen 2.0TD'!$F$3))-29.785)/59.1472,AA1081*(129.0728)/59.1472)),3),AA1081))</f>
        <v>195.04599999999999</v>
      </c>
      <c r="C1081" s="103"/>
      <c r="D1081" s="92">
        <v>0.11117100000000001</v>
      </c>
      <c r="E1081" s="93">
        <v>0.13788</v>
      </c>
      <c r="F1081" s="94">
        <f t="shared" si="184"/>
        <v>26.89</v>
      </c>
      <c r="H1081" s="95">
        <v>123.453</v>
      </c>
      <c r="I1081" s="96">
        <v>0.13788</v>
      </c>
      <c r="J1081" s="97">
        <f t="shared" si="185"/>
        <v>17.02</v>
      </c>
      <c r="L1081" s="98">
        <v>106.748</v>
      </c>
      <c r="M1081" s="99">
        <v>0.13788</v>
      </c>
      <c r="N1081" s="100">
        <f t="shared" si="186"/>
        <v>14.72</v>
      </c>
      <c r="O1081" s="105" t="s">
        <v>618</v>
      </c>
      <c r="R1081" s="102" t="s">
        <v>619</v>
      </c>
      <c r="AA1081">
        <v>145.14099999999999</v>
      </c>
    </row>
    <row r="1082" spans="1:30" x14ac:dyDescent="0.2">
      <c r="A1082" s="89" t="s">
        <v>620</v>
      </c>
      <c r="B1082" s="90">
        <f>IF($P$1080&lt;&gt;"",ROUND(AA1082*(($AB$1080/(1-$P$1080))-29.785)/59.1472,2),IF('Resumen 2.0TD'!$D$3="OPTIMIZAR",ROUND(MAX(AA1082,MIN(AA1082*(($AB$1080/(1-'Resumen 2.0TD'!$F$3))-29.785)/59.1472,AA1082*(129.0728)/59.1472)),3),AA1082))</f>
        <v>177.554</v>
      </c>
      <c r="C1082" s="103"/>
      <c r="D1082" s="92">
        <v>0.11117100000000001</v>
      </c>
      <c r="E1082" s="93">
        <v>0.13788</v>
      </c>
      <c r="F1082" s="94">
        <f t="shared" si="184"/>
        <v>24.48</v>
      </c>
      <c r="H1082" s="95">
        <v>120.741</v>
      </c>
      <c r="I1082" s="96">
        <v>0.13788</v>
      </c>
      <c r="J1082" s="97">
        <f t="shared" si="185"/>
        <v>16.649999999999999</v>
      </c>
      <c r="L1082" s="98">
        <v>110.985</v>
      </c>
      <c r="M1082" s="99">
        <v>0.13788</v>
      </c>
      <c r="N1082" s="100">
        <f t="shared" si="186"/>
        <v>15.3</v>
      </c>
      <c r="O1082" s="105" t="s">
        <v>621</v>
      </c>
      <c r="AA1082">
        <v>132.125</v>
      </c>
    </row>
    <row r="1083" spans="1:30" x14ac:dyDescent="0.2">
      <c r="A1083" s="89" t="s">
        <v>139</v>
      </c>
      <c r="B1083" s="90">
        <v>1</v>
      </c>
      <c r="C1083" s="91">
        <f>$N$1075-$L$1075+1</f>
        <v>30</v>
      </c>
      <c r="D1083" s="92">
        <v>0.79890000000000005</v>
      </c>
      <c r="E1083" s="93">
        <v>3</v>
      </c>
      <c r="F1083" s="94">
        <f t="shared" si="184"/>
        <v>3</v>
      </c>
      <c r="H1083" s="95">
        <v>1</v>
      </c>
      <c r="I1083" s="96">
        <v>3</v>
      </c>
      <c r="J1083" s="97">
        <f t="shared" si="185"/>
        <v>3</v>
      </c>
      <c r="L1083" s="98">
        <v>1</v>
      </c>
      <c r="M1083" s="99">
        <v>3</v>
      </c>
      <c r="N1083" s="100">
        <f t="shared" si="186"/>
        <v>3</v>
      </c>
    </row>
    <row r="1084" spans="1:30" x14ac:dyDescent="0.2">
      <c r="A1084" s="89" t="s">
        <v>140</v>
      </c>
      <c r="B1084" s="90">
        <v>30</v>
      </c>
      <c r="C1084" s="91">
        <f>$N$1075-$L$1075+1</f>
        <v>30</v>
      </c>
      <c r="D1084" s="92">
        <v>0.5736</v>
      </c>
      <c r="E1084" s="93">
        <v>1.274E-2</v>
      </c>
      <c r="F1084" s="94">
        <f t="shared" si="184"/>
        <v>0.38</v>
      </c>
      <c r="H1084" s="95">
        <v>30</v>
      </c>
      <c r="I1084" s="96">
        <v>1.274E-2</v>
      </c>
      <c r="J1084" s="97">
        <f t="shared" si="185"/>
        <v>0.38</v>
      </c>
      <c r="L1084" s="98">
        <v>30</v>
      </c>
      <c r="M1084" s="99">
        <v>6.2899999999999996E-3</v>
      </c>
      <c r="N1084" s="100">
        <f t="shared" si="186"/>
        <v>0.19</v>
      </c>
    </row>
    <row r="1085" spans="1:30" x14ac:dyDescent="0.2">
      <c r="A1085" s="89" t="s">
        <v>141</v>
      </c>
      <c r="B1085" s="90">
        <v>4.55</v>
      </c>
      <c r="C1085" s="103"/>
      <c r="D1085" s="92">
        <v>2.6710000000000001E-2</v>
      </c>
      <c r="E1085" s="93">
        <v>1</v>
      </c>
      <c r="F1085" s="94">
        <f t="shared" si="184"/>
        <v>4.55</v>
      </c>
      <c r="H1085" s="95">
        <v>4.22</v>
      </c>
      <c r="I1085" s="96">
        <v>1</v>
      </c>
      <c r="J1085" s="97">
        <f t="shared" si="185"/>
        <v>4.22</v>
      </c>
      <c r="L1085" s="98">
        <v>3.79</v>
      </c>
      <c r="M1085" s="99">
        <v>1</v>
      </c>
      <c r="N1085" s="100">
        <f t="shared" si="186"/>
        <v>3.79</v>
      </c>
    </row>
    <row r="1086" spans="1:30" x14ac:dyDescent="0.2">
      <c r="A1086" s="106" t="s">
        <v>142</v>
      </c>
      <c r="F1086" s="107">
        <f>ROUND((SUM(F1078:F1085)-F1085)*1.1+F1085,2)</f>
        <v>128.47</v>
      </c>
      <c r="J1086" s="108">
        <f>ROUND(SUM(J1078:J1085),2)</f>
        <v>89.98</v>
      </c>
      <c r="N1086" s="109">
        <f>ROUND(SUM(N1078:N1085),2)</f>
        <v>80.989999999999995</v>
      </c>
    </row>
    <row r="1087" spans="1:30" x14ac:dyDescent="0.2">
      <c r="A1087" s="78" t="s">
        <v>143</v>
      </c>
      <c r="B1087" s="110">
        <f>IF((F1082+F1081+F1080+F1078+F1079)=0,"",((F1082+F1081+F1080+F1078+F1079)-$AB$1080)/(F1082+F1081+F1080+F1078+F1079))</f>
        <v>0.30000555142308044</v>
      </c>
      <c r="D1087" s="139" t="str">
        <f>IF(B1087="","SIN PC",IF(B1087&gt;=0.3,"APROBAR",IF(B1087&gt;=0.2,"REVISAR","RECHAZAR")))</f>
        <v>APROBAR</v>
      </c>
      <c r="E1087" s="139"/>
      <c r="F1087" s="139"/>
      <c r="AD1087">
        <f>SUM(F1080:F1082)-59.1472</f>
        <v>20.332800000000006</v>
      </c>
    </row>
    <row r="1089" spans="1:30" x14ac:dyDescent="0.2">
      <c r="A1089" s="137" t="s">
        <v>1138</v>
      </c>
      <c r="B1089" s="137"/>
      <c r="C1089" s="137"/>
      <c r="D1089" s="137"/>
      <c r="E1089" s="137"/>
      <c r="F1089" s="137"/>
      <c r="H1089" s="137" t="s">
        <v>1139</v>
      </c>
      <c r="I1089" s="137"/>
      <c r="J1089" s="137"/>
      <c r="K1089" s="137"/>
      <c r="L1089" s="76">
        <v>46113</v>
      </c>
      <c r="M1089" s="77" t="s">
        <v>607</v>
      </c>
      <c r="N1089" s="76">
        <v>46142</v>
      </c>
      <c r="R1089" s="138" t="s">
        <v>110</v>
      </c>
      <c r="S1089" s="138"/>
      <c r="T1089" s="138"/>
      <c r="U1089" s="138"/>
      <c r="V1089" s="138"/>
    </row>
    <row r="1090" spans="1:30" x14ac:dyDescent="0.2">
      <c r="A1090" s="78" t="s">
        <v>111</v>
      </c>
      <c r="B1090" s="79" t="s">
        <v>112</v>
      </c>
      <c r="C1090" s="80"/>
      <c r="D1090" s="80"/>
      <c r="E1090" s="80"/>
      <c r="F1090" s="80"/>
      <c r="H1090" s="81" t="s">
        <v>1140</v>
      </c>
      <c r="I1090" s="82"/>
      <c r="J1090" s="82"/>
      <c r="L1090" s="83" t="s">
        <v>1141</v>
      </c>
      <c r="M1090" s="84"/>
      <c r="N1090" s="84"/>
      <c r="R1090" s="85" t="s">
        <v>1142</v>
      </c>
    </row>
    <row r="1091" spans="1:30" x14ac:dyDescent="0.2">
      <c r="B1091" s="68" t="s">
        <v>116</v>
      </c>
      <c r="C1091" s="68" t="s">
        <v>117</v>
      </c>
      <c r="D1091" s="68" t="s">
        <v>118</v>
      </c>
      <c r="E1091" s="68" t="s">
        <v>119</v>
      </c>
      <c r="F1091" s="68" t="s">
        <v>120</v>
      </c>
      <c r="H1091" s="86" t="s">
        <v>116</v>
      </c>
      <c r="I1091" s="86" t="s">
        <v>119</v>
      </c>
      <c r="J1091" s="86" t="s">
        <v>120</v>
      </c>
      <c r="L1091" s="87" t="s">
        <v>116</v>
      </c>
      <c r="M1091" s="87" t="s">
        <v>119</v>
      </c>
      <c r="N1091" s="87" t="s">
        <v>120</v>
      </c>
      <c r="R1091" s="88" t="s">
        <v>1143</v>
      </c>
    </row>
    <row r="1092" spans="1:30" x14ac:dyDescent="0.2">
      <c r="A1092" s="89" t="s">
        <v>122</v>
      </c>
      <c r="B1092" s="90">
        <v>10</v>
      </c>
      <c r="C1092" s="91">
        <f>$N$1089-$L$1089+1</f>
        <v>30</v>
      </c>
      <c r="D1092" s="92">
        <v>3.68919</v>
      </c>
      <c r="E1092" s="93">
        <v>3.85</v>
      </c>
      <c r="F1092" s="94">
        <f t="shared" ref="F1092:F1099" si="187">ROUND(B1092*E1092,2)</f>
        <v>38.5</v>
      </c>
      <c r="H1092" s="95">
        <v>10</v>
      </c>
      <c r="I1092" s="96">
        <v>3.85</v>
      </c>
      <c r="J1092" s="97">
        <f t="shared" ref="J1092:J1099" si="188">ROUND(H1092*I1092,2)</f>
        <v>38.5</v>
      </c>
      <c r="L1092" s="98">
        <v>10</v>
      </c>
      <c r="M1092" s="99">
        <v>3.85</v>
      </c>
      <c r="N1092" s="100">
        <f>ROUND(L1092*M1092,2)</f>
        <v>38.5</v>
      </c>
      <c r="R1092" s="101" t="s">
        <v>1144</v>
      </c>
    </row>
    <row r="1093" spans="1:30" x14ac:dyDescent="0.2">
      <c r="A1093" s="89" t="s">
        <v>124</v>
      </c>
      <c r="B1093" s="90">
        <v>10</v>
      </c>
      <c r="C1093" s="91">
        <f>$N$1089-$L$1089+1</f>
        <v>30</v>
      </c>
      <c r="D1093" s="92">
        <v>1.31928</v>
      </c>
      <c r="E1093" s="93">
        <v>1.33</v>
      </c>
      <c r="F1093" s="94">
        <f t="shared" si="187"/>
        <v>13.3</v>
      </c>
      <c r="H1093" s="95">
        <v>10</v>
      </c>
      <c r="I1093" s="96">
        <v>1.33</v>
      </c>
      <c r="J1093" s="97">
        <f t="shared" si="188"/>
        <v>13.3</v>
      </c>
      <c r="L1093" s="98">
        <v>10</v>
      </c>
      <c r="M1093" s="99">
        <v>1.33</v>
      </c>
      <c r="N1093" s="100">
        <f>ROUND(L1093*M1093,2)</f>
        <v>13.3</v>
      </c>
      <c r="R1093" s="102" t="s">
        <v>1145</v>
      </c>
    </row>
    <row r="1094" spans="1:30" x14ac:dyDescent="0.2">
      <c r="A1094" s="89" t="s">
        <v>614</v>
      </c>
      <c r="B1094" s="90">
        <f>IF($P$1094&lt;&gt;"",ROUND(AA1094*(($AB$1094/(1-$P$1094))-51.8)/374.0067,2),IF('Resumen 2.0TD'!$D$3="OPTIMIZAR",ROUND(MAX(AA1094,MIN(AA1094*(($AB$1094/(1-'Resumen 2.0TD'!$F$3))-51.8)/374.0067,AA1094*(716.4178)/374.0067)),3),AA1094))</f>
        <v>837.13199999999995</v>
      </c>
      <c r="C1094" s="103"/>
      <c r="D1094" s="92">
        <v>0.11117100000000001</v>
      </c>
      <c r="E1094" s="93">
        <v>0.13788</v>
      </c>
      <c r="F1094" s="94">
        <f t="shared" si="187"/>
        <v>115.42</v>
      </c>
      <c r="H1094" s="95">
        <v>663.88300000000004</v>
      </c>
      <c r="I1094" s="96">
        <v>0.13788</v>
      </c>
      <c r="J1094" s="97">
        <f t="shared" si="188"/>
        <v>91.54</v>
      </c>
      <c r="L1094" s="98">
        <v>2990</v>
      </c>
      <c r="M1094" s="99">
        <v>0.13788</v>
      </c>
      <c r="N1094" s="100">
        <f>ROUND(L1094*M1094,2)</f>
        <v>412.26</v>
      </c>
      <c r="O1094" s="104" t="s">
        <v>615</v>
      </c>
      <c r="P1094" s="67"/>
      <c r="R1094" s="102" t="s">
        <v>1146</v>
      </c>
      <c r="AA1094">
        <v>694.92</v>
      </c>
      <c r="AB1094">
        <f>B1092*D1092+B1093*D1093+AA1094*D1094+AA1095*D1095+AA1096*D1096</f>
        <v>351.641818392</v>
      </c>
    </row>
    <row r="1095" spans="1:30" x14ac:dyDescent="0.2">
      <c r="A1095" s="89" t="s">
        <v>617</v>
      </c>
      <c r="B1095" s="90">
        <f>IF($P$1094&lt;&gt;"",ROUND(AA1095*(($AB$1094/(1-$P$1094))-51.8)/374.0067,2),IF('Resumen 2.0TD'!$D$3="OPTIMIZAR",ROUND(MAX(AA1095,MIN(AA1095*(($AB$1094/(1-'Resumen 2.0TD'!$F$3))-51.8)/374.0067,AA1095*(716.4178)/374.0067)),3),AA1095))</f>
        <v>952.98500000000001</v>
      </c>
      <c r="C1095" s="103"/>
      <c r="D1095" s="92">
        <v>0.11117100000000001</v>
      </c>
      <c r="E1095" s="93">
        <v>0.13788</v>
      </c>
      <c r="F1095" s="94">
        <f t="shared" si="187"/>
        <v>131.4</v>
      </c>
      <c r="H1095" s="95">
        <v>676.67</v>
      </c>
      <c r="I1095" s="96">
        <v>0.13788</v>
      </c>
      <c r="J1095" s="97">
        <f t="shared" si="188"/>
        <v>93.3</v>
      </c>
      <c r="L1095" s="119"/>
      <c r="M1095" s="119"/>
      <c r="N1095" s="119"/>
      <c r="O1095" s="105" t="s">
        <v>618</v>
      </c>
      <c r="R1095" s="102" t="s">
        <v>619</v>
      </c>
      <c r="AA1095">
        <v>791.09199999999998</v>
      </c>
    </row>
    <row r="1096" spans="1:30" x14ac:dyDescent="0.2">
      <c r="A1096" s="89" t="s">
        <v>620</v>
      </c>
      <c r="B1096" s="90">
        <f>IF($P$1094&lt;&gt;"",ROUND(AA1096*(($AB$1094/(1-$P$1094))-51.8)/374.0067,2),IF('Resumen 2.0TD'!$D$3="OPTIMIZAR",ROUND(MAX(AA1096,MIN(AA1096*(($AB$1094/(1-'Resumen 2.0TD'!$F$3))-51.8)/374.0067,AA1096*(716.4178)/374.0067)),3),AA1096))</f>
        <v>1477.546</v>
      </c>
      <c r="C1096" s="103"/>
      <c r="D1096" s="92">
        <v>0.11117100000000001</v>
      </c>
      <c r="E1096" s="93">
        <v>0.13788</v>
      </c>
      <c r="F1096" s="94">
        <f t="shared" si="187"/>
        <v>203.72</v>
      </c>
      <c r="H1096" s="95">
        <v>737.08900000000006</v>
      </c>
      <c r="I1096" s="96">
        <v>0.13788</v>
      </c>
      <c r="J1096" s="97">
        <f t="shared" si="188"/>
        <v>101.63</v>
      </c>
      <c r="L1096" s="119"/>
      <c r="M1096" s="119"/>
      <c r="N1096" s="119"/>
      <c r="O1096" s="105" t="s">
        <v>621</v>
      </c>
      <c r="AA1096">
        <v>1226.54</v>
      </c>
    </row>
    <row r="1097" spans="1:30" x14ac:dyDescent="0.2">
      <c r="A1097" s="89" t="s">
        <v>139</v>
      </c>
      <c r="B1097" s="90">
        <v>1</v>
      </c>
      <c r="C1097" s="91">
        <f>$N$1089-$L$1089+1</f>
        <v>30</v>
      </c>
      <c r="D1097" s="92">
        <v>1.3413999999999999</v>
      </c>
      <c r="E1097" s="93">
        <v>3</v>
      </c>
      <c r="F1097" s="94">
        <f t="shared" si="187"/>
        <v>3</v>
      </c>
      <c r="H1097" s="95">
        <v>1</v>
      </c>
      <c r="I1097" s="96">
        <v>3</v>
      </c>
      <c r="J1097" s="97">
        <f t="shared" si="188"/>
        <v>3</v>
      </c>
      <c r="L1097" s="98">
        <v>1</v>
      </c>
      <c r="M1097" s="99">
        <v>3</v>
      </c>
      <c r="N1097" s="100">
        <f>ROUND(L1097*M1097,2)</f>
        <v>3</v>
      </c>
    </row>
    <row r="1098" spans="1:30" x14ac:dyDescent="0.2">
      <c r="A1098" s="89" t="s">
        <v>140</v>
      </c>
      <c r="B1098" s="90">
        <v>30</v>
      </c>
      <c r="C1098" s="91">
        <f>$N$1089-$L$1089+1</f>
        <v>30</v>
      </c>
      <c r="D1098" s="92">
        <v>0.5736</v>
      </c>
      <c r="E1098" s="93">
        <v>1.274E-2</v>
      </c>
      <c r="F1098" s="94">
        <f t="shared" si="187"/>
        <v>0.38</v>
      </c>
      <c r="H1098" s="95">
        <v>30</v>
      </c>
      <c r="I1098" s="96">
        <v>1.274E-2</v>
      </c>
      <c r="J1098" s="97">
        <f t="shared" si="188"/>
        <v>0.38</v>
      </c>
      <c r="L1098" s="98">
        <v>30</v>
      </c>
      <c r="M1098" s="99">
        <v>1.274E-2</v>
      </c>
      <c r="N1098" s="100">
        <f>ROUND(L1098*M1098,2)</f>
        <v>0.38</v>
      </c>
    </row>
    <row r="1099" spans="1:30" x14ac:dyDescent="0.2">
      <c r="A1099" s="89" t="s">
        <v>141</v>
      </c>
      <c r="B1099" s="90">
        <v>22.86</v>
      </c>
      <c r="C1099" s="103"/>
      <c r="D1099" s="92">
        <v>0.27311999999999997</v>
      </c>
      <c r="E1099" s="93">
        <v>1</v>
      </c>
      <c r="F1099" s="94">
        <f t="shared" si="187"/>
        <v>22.86</v>
      </c>
      <c r="H1099" s="95">
        <v>18.27</v>
      </c>
      <c r="I1099" s="96">
        <v>1</v>
      </c>
      <c r="J1099" s="97">
        <f t="shared" si="188"/>
        <v>18.27</v>
      </c>
      <c r="L1099" s="98">
        <v>25.14</v>
      </c>
      <c r="M1099" s="99">
        <v>1</v>
      </c>
      <c r="N1099" s="100">
        <f>ROUND(L1099*M1099,2)</f>
        <v>25.14</v>
      </c>
    </row>
    <row r="1100" spans="1:30" x14ac:dyDescent="0.2">
      <c r="A1100" s="106" t="s">
        <v>142</v>
      </c>
      <c r="F1100" s="107">
        <f>ROUND((SUM(F1092:F1099)-F1099)*1.1+F1099,2)</f>
        <v>579.15</v>
      </c>
      <c r="J1100" s="108">
        <f>ROUND(SUM(J1092:J1099),2)</f>
        <v>359.92</v>
      </c>
      <c r="N1100" s="109">
        <f>ROUND(SUM(N1092:N1099),2)</f>
        <v>492.58</v>
      </c>
    </row>
    <row r="1101" spans="1:30" x14ac:dyDescent="0.2">
      <c r="A1101" s="78" t="s">
        <v>143</v>
      </c>
      <c r="B1101" s="110">
        <f>IF((F1096+F1095+F1094+F1092+F1093)=0,"",((F1096+F1095+F1094+F1092+F1093)-$AB$1094)/(F1096+F1095+F1094+F1092+F1093))</f>
        <v>0.29999239878966438</v>
      </c>
      <c r="D1101" s="139" t="str">
        <f>IF(B1101="","SIN PC",IF(B1101&gt;=0.3,"APROBAR",IF(B1101&gt;=0.2,"REVISAR","RECHAZAR")))</f>
        <v>REVISAR</v>
      </c>
      <c r="E1101" s="139"/>
      <c r="F1101" s="139"/>
      <c r="AD1101">
        <f>SUM(F1094:F1096)-374.0067</f>
        <v>76.53329999999994</v>
      </c>
    </row>
    <row r="1103" spans="1:30" x14ac:dyDescent="0.2">
      <c r="A1103" s="137" t="s">
        <v>1147</v>
      </c>
      <c r="B1103" s="137"/>
      <c r="C1103" s="137"/>
      <c r="D1103" s="137"/>
      <c r="E1103" s="137"/>
      <c r="F1103" s="137"/>
      <c r="H1103" s="137" t="s">
        <v>1148</v>
      </c>
      <c r="I1103" s="137"/>
      <c r="J1103" s="137"/>
      <c r="K1103" s="137"/>
      <c r="L1103" s="76">
        <v>46113</v>
      </c>
      <c r="M1103" s="77" t="s">
        <v>607</v>
      </c>
      <c r="N1103" s="76">
        <v>46142</v>
      </c>
      <c r="R1103" s="138" t="s">
        <v>110</v>
      </c>
      <c r="S1103" s="138"/>
      <c r="T1103" s="138"/>
      <c r="U1103" s="138"/>
      <c r="V1103" s="138"/>
    </row>
    <row r="1104" spans="1:30" x14ac:dyDescent="0.2">
      <c r="A1104" s="78" t="s">
        <v>111</v>
      </c>
      <c r="B1104" s="79" t="s">
        <v>112</v>
      </c>
      <c r="C1104" s="80"/>
      <c r="D1104" s="80"/>
      <c r="E1104" s="80"/>
      <c r="F1104" s="80"/>
      <c r="H1104" s="81" t="s">
        <v>1149</v>
      </c>
      <c r="I1104" s="82"/>
      <c r="J1104" s="82"/>
      <c r="L1104" s="83" t="s">
        <v>1150</v>
      </c>
      <c r="M1104" s="84"/>
      <c r="N1104" s="84"/>
      <c r="R1104" s="85" t="s">
        <v>1151</v>
      </c>
    </row>
    <row r="1105" spans="1:30" x14ac:dyDescent="0.2">
      <c r="B1105" s="68" t="s">
        <v>116</v>
      </c>
      <c r="C1105" s="68" t="s">
        <v>117</v>
      </c>
      <c r="D1105" s="68" t="s">
        <v>118</v>
      </c>
      <c r="E1105" s="68" t="s">
        <v>119</v>
      </c>
      <c r="F1105" s="68" t="s">
        <v>120</v>
      </c>
      <c r="H1105" s="86" t="s">
        <v>116</v>
      </c>
      <c r="I1105" s="86" t="s">
        <v>119</v>
      </c>
      <c r="J1105" s="86" t="s">
        <v>120</v>
      </c>
      <c r="L1105" s="87" t="s">
        <v>116</v>
      </c>
      <c r="M1105" s="87" t="s">
        <v>119</v>
      </c>
      <c r="N1105" s="87" t="s">
        <v>120</v>
      </c>
      <c r="R1105" s="88" t="s">
        <v>1152</v>
      </c>
    </row>
    <row r="1106" spans="1:30" x14ac:dyDescent="0.2">
      <c r="A1106" s="89" t="s">
        <v>122</v>
      </c>
      <c r="B1106" s="90">
        <v>9.1999999999999993</v>
      </c>
      <c r="C1106" s="91">
        <f>$N$1103-$L$1103+1</f>
        <v>30</v>
      </c>
      <c r="D1106" s="92">
        <v>3.4085999999999999</v>
      </c>
      <c r="E1106" s="93">
        <v>4.17</v>
      </c>
      <c r="F1106" s="94">
        <f t="shared" ref="F1106:F1113" si="189">ROUND(B1106*E1106,2)</f>
        <v>38.36</v>
      </c>
      <c r="H1106" s="95">
        <v>9.1999999999999993</v>
      </c>
      <c r="I1106" s="96">
        <v>4.17</v>
      </c>
      <c r="J1106" s="97">
        <f t="shared" ref="J1106:J1113" si="190">ROUND(H1106*I1106,2)</f>
        <v>38.36</v>
      </c>
      <c r="L1106" s="98">
        <v>9.1999999999999993</v>
      </c>
      <c r="M1106" s="99">
        <v>4.17</v>
      </c>
      <c r="N1106" s="100">
        <f t="shared" ref="N1106:N1113" si="191">ROUND(L1106*M1106,2)</f>
        <v>38.36</v>
      </c>
      <c r="R1106" s="101" t="s">
        <v>1153</v>
      </c>
    </row>
    <row r="1107" spans="1:30" x14ac:dyDescent="0.2">
      <c r="A1107" s="89" t="s">
        <v>124</v>
      </c>
      <c r="B1107" s="90">
        <v>9.1999999999999993</v>
      </c>
      <c r="C1107" s="91">
        <f>$N$1103-$L$1103+1</f>
        <v>30</v>
      </c>
      <c r="D1107" s="92">
        <v>1.09728</v>
      </c>
      <c r="E1107" s="93">
        <v>1.37</v>
      </c>
      <c r="F1107" s="94">
        <f t="shared" si="189"/>
        <v>12.6</v>
      </c>
      <c r="H1107" s="95">
        <v>9.1999999999999993</v>
      </c>
      <c r="I1107" s="96">
        <v>1.37</v>
      </c>
      <c r="J1107" s="97">
        <f t="shared" si="190"/>
        <v>12.6</v>
      </c>
      <c r="L1107" s="98">
        <v>9.1999999999999993</v>
      </c>
      <c r="M1107" s="99">
        <v>1.37</v>
      </c>
      <c r="N1107" s="100">
        <f t="shared" si="191"/>
        <v>12.6</v>
      </c>
      <c r="R1107" s="102" t="s">
        <v>1154</v>
      </c>
    </row>
    <row r="1108" spans="1:30" x14ac:dyDescent="0.2">
      <c r="A1108" s="89" t="s">
        <v>614</v>
      </c>
      <c r="B1108" s="90">
        <f>IF($P$1108&lt;&gt;"",ROUND(AA1108*(($AB$1108/(1-$P$1108))-50.968)/18.3933,2),IF('Resumen 2.0TD'!$D$3="OPTIMIZAR",ROUND(MAX(AA1108,MIN(AA1108*(($AB$1108/(1-'Resumen 2.0TD'!$F$3))-50.968)/18.3933,AA1108*(106.0398)/18.3933)),3),AA1108))</f>
        <v>56.857999999999997</v>
      </c>
      <c r="C1108" s="103"/>
      <c r="D1108" s="92">
        <v>0.110306</v>
      </c>
      <c r="E1108" s="93">
        <v>0.14937</v>
      </c>
      <c r="F1108" s="94">
        <f t="shared" si="189"/>
        <v>8.49</v>
      </c>
      <c r="H1108" s="95">
        <v>96.457999999999998</v>
      </c>
      <c r="I1108" s="96">
        <v>0.14937</v>
      </c>
      <c r="J1108" s="97">
        <f t="shared" si="190"/>
        <v>14.41</v>
      </c>
      <c r="L1108" s="98">
        <v>9.16</v>
      </c>
      <c r="M1108" s="99">
        <v>0.14937</v>
      </c>
      <c r="N1108" s="100">
        <f t="shared" si="191"/>
        <v>1.37</v>
      </c>
      <c r="O1108" s="104" t="s">
        <v>615</v>
      </c>
      <c r="P1108" s="67"/>
      <c r="R1108" s="102" t="s">
        <v>1155</v>
      </c>
      <c r="AA1108">
        <v>37.814</v>
      </c>
      <c r="AB1108">
        <f>B1106*D1106+B1107*D1107+AA1108*D1108+AA1109*D1109+AA1110*D1110</f>
        <v>55.037066533999997</v>
      </c>
    </row>
    <row r="1109" spans="1:30" x14ac:dyDescent="0.2">
      <c r="A1109" s="89" t="s">
        <v>617</v>
      </c>
      <c r="B1109" s="90">
        <f>IF($P$1108&lt;&gt;"",ROUND(AA1109*(($AB$1108/(1-$P$1108))-50.968)/18.3933,2),IF('Resumen 2.0TD'!$D$3="OPTIMIZAR",ROUND(MAX(AA1109,MIN(AA1109*(($AB$1108/(1-'Resumen 2.0TD'!$F$3))-50.968)/18.3933,AA1109*(106.0398)/18.3933)),3),AA1109))</f>
        <v>32.957999999999998</v>
      </c>
      <c r="C1109" s="103"/>
      <c r="D1109" s="92">
        <v>0.110306</v>
      </c>
      <c r="E1109" s="93">
        <v>0.14937</v>
      </c>
      <c r="F1109" s="94">
        <f t="shared" si="189"/>
        <v>4.92</v>
      </c>
      <c r="H1109" s="95">
        <v>60.026000000000003</v>
      </c>
      <c r="I1109" s="96">
        <v>0.14937</v>
      </c>
      <c r="J1109" s="97">
        <f t="shared" si="190"/>
        <v>8.9700000000000006</v>
      </c>
      <c r="L1109" s="98">
        <v>24.46</v>
      </c>
      <c r="M1109" s="99">
        <v>0.14937</v>
      </c>
      <c r="N1109" s="100">
        <f t="shared" si="191"/>
        <v>3.65</v>
      </c>
      <c r="O1109" s="105" t="s">
        <v>618</v>
      </c>
      <c r="R1109" s="102" t="s">
        <v>619</v>
      </c>
      <c r="AA1109">
        <v>21.919</v>
      </c>
    </row>
    <row r="1110" spans="1:30" x14ac:dyDescent="0.2">
      <c r="A1110" s="89" t="s">
        <v>620</v>
      </c>
      <c r="B1110" s="90">
        <f>IF($P$1108&lt;&gt;"",ROUND(AA1110*(($AB$1108/(1-$P$1108))-50.968)/18.3933,2),IF('Resumen 2.0TD'!$D$3="OPTIMIZAR",ROUND(MAX(AA1110,MIN(AA1110*(($AB$1108/(1-'Resumen 2.0TD'!$F$3))-50.968)/18.3933,AA1110*(106.0398)/18.3933)),3),AA1110))</f>
        <v>95.337999999999994</v>
      </c>
      <c r="C1110" s="103"/>
      <c r="D1110" s="92">
        <v>0.110306</v>
      </c>
      <c r="E1110" s="93">
        <v>0.14937</v>
      </c>
      <c r="F1110" s="94">
        <f t="shared" si="189"/>
        <v>14.24</v>
      </c>
      <c r="H1110" s="95">
        <v>220.16</v>
      </c>
      <c r="I1110" s="96">
        <v>0.14937</v>
      </c>
      <c r="J1110" s="97">
        <f t="shared" si="190"/>
        <v>32.89</v>
      </c>
      <c r="L1110" s="98">
        <v>76.632000000000005</v>
      </c>
      <c r="M1110" s="99">
        <v>0.14937</v>
      </c>
      <c r="N1110" s="100">
        <f t="shared" si="191"/>
        <v>11.45</v>
      </c>
      <c r="O1110" s="105" t="s">
        <v>621</v>
      </c>
      <c r="AA1110">
        <v>63.405999999999999</v>
      </c>
    </row>
    <row r="1111" spans="1:30" x14ac:dyDescent="0.2">
      <c r="A1111" s="89" t="s">
        <v>139</v>
      </c>
      <c r="B1111" s="90">
        <v>1</v>
      </c>
      <c r="C1111" s="91">
        <f>$N$1103-$L$1103+1</f>
        <v>30</v>
      </c>
      <c r="D1111" s="92">
        <v>0.79890000000000005</v>
      </c>
      <c r="E1111" s="93">
        <v>4</v>
      </c>
      <c r="F1111" s="94">
        <f t="shared" si="189"/>
        <v>4</v>
      </c>
      <c r="H1111" s="95">
        <v>1</v>
      </c>
      <c r="I1111" s="96">
        <v>4</v>
      </c>
      <c r="J1111" s="97">
        <f t="shared" si="190"/>
        <v>4</v>
      </c>
      <c r="L1111" s="98">
        <v>1</v>
      </c>
      <c r="M1111" s="99">
        <v>4</v>
      </c>
      <c r="N1111" s="100">
        <f t="shared" si="191"/>
        <v>4</v>
      </c>
    </row>
    <row r="1112" spans="1:30" x14ac:dyDescent="0.2">
      <c r="A1112" s="89" t="s">
        <v>140</v>
      </c>
      <c r="B1112" s="90">
        <v>30</v>
      </c>
      <c r="C1112" s="91">
        <f>$N$1103-$L$1103+1</f>
        <v>30</v>
      </c>
      <c r="D1112" s="92">
        <v>0.5736</v>
      </c>
      <c r="E1112" s="93">
        <v>1.274E-2</v>
      </c>
      <c r="F1112" s="94">
        <f t="shared" si="189"/>
        <v>0.38</v>
      </c>
      <c r="H1112" s="95">
        <v>30</v>
      </c>
      <c r="I1112" s="96">
        <v>1.274E-2</v>
      </c>
      <c r="J1112" s="97">
        <f t="shared" si="190"/>
        <v>0.38</v>
      </c>
      <c r="L1112" s="98">
        <v>30</v>
      </c>
      <c r="M1112" s="99">
        <v>6.2899999999999996E-3</v>
      </c>
      <c r="N1112" s="100">
        <f t="shared" si="191"/>
        <v>0.19</v>
      </c>
    </row>
    <row r="1113" spans="1:30" x14ac:dyDescent="0.2">
      <c r="A1113" s="89" t="s">
        <v>141</v>
      </c>
      <c r="B1113" s="90">
        <v>2.61</v>
      </c>
      <c r="C1113" s="103"/>
      <c r="D1113" s="92">
        <v>0.24729000000000001</v>
      </c>
      <c r="E1113" s="93">
        <v>1</v>
      </c>
      <c r="F1113" s="94">
        <f t="shared" si="189"/>
        <v>2.61</v>
      </c>
      <c r="H1113" s="95">
        <v>4.8899999999999997</v>
      </c>
      <c r="I1113" s="96">
        <v>1</v>
      </c>
      <c r="J1113" s="97">
        <f t="shared" si="190"/>
        <v>4.8899999999999997</v>
      </c>
      <c r="L1113" s="98">
        <v>2.61</v>
      </c>
      <c r="M1113" s="99">
        <v>1</v>
      </c>
      <c r="N1113" s="100">
        <f t="shared" si="191"/>
        <v>2.61</v>
      </c>
    </row>
    <row r="1114" spans="1:30" x14ac:dyDescent="0.2">
      <c r="A1114" s="106" t="s">
        <v>142</v>
      </c>
      <c r="F1114" s="107">
        <f>ROUND((SUM(F1106:F1113)-F1113)*1.1+F1113,2)</f>
        <v>93.9</v>
      </c>
      <c r="J1114" s="108">
        <f>ROUND(SUM(J1106:J1113),2)</f>
        <v>116.5</v>
      </c>
      <c r="N1114" s="109">
        <f>ROUND(SUM(N1106:N1113),2)</f>
        <v>74.23</v>
      </c>
    </row>
    <row r="1115" spans="1:30" x14ac:dyDescent="0.2">
      <c r="A1115" s="78" t="s">
        <v>143</v>
      </c>
      <c r="B1115" s="110">
        <f>IF((F1110+F1109+F1108+F1106+F1107)=0,"",((F1110+F1109+F1108+F1106+F1107)-$AB$1108)/(F1110+F1109+F1108+F1106+F1107))</f>
        <v>0.29987194334054179</v>
      </c>
      <c r="D1115" s="139" t="str">
        <f>IF(B1115="","SIN PC",IF(B1115&gt;=0.3,"APROBAR",IF(B1115&gt;=0.2,"REVISAR","RECHAZAR")))</f>
        <v>REVISAR</v>
      </c>
      <c r="E1115" s="139"/>
      <c r="F1115" s="139"/>
      <c r="AD1115">
        <f>SUM(F1108:F1110)-18.3933</f>
        <v>9.2566999999999986</v>
      </c>
    </row>
    <row r="1116" spans="1:30" x14ac:dyDescent="0.2">
      <c r="A1116" s="140" t="s">
        <v>743</v>
      </c>
      <c r="B1116" s="140"/>
      <c r="C1116" s="140"/>
      <c r="D1116" s="140"/>
      <c r="E1116" s="140"/>
      <c r="F1116" s="140"/>
    </row>
    <row r="1117" spans="1:30" x14ac:dyDescent="0.2">
      <c r="A1117" s="111" t="s">
        <v>111</v>
      </c>
      <c r="B1117" s="111" t="s">
        <v>744</v>
      </c>
      <c r="D1117" s="111" t="s">
        <v>745</v>
      </c>
      <c r="E1117" s="111" t="s">
        <v>746</v>
      </c>
      <c r="F1117" s="111" t="s">
        <v>120</v>
      </c>
    </row>
    <row r="1118" spans="1:30" x14ac:dyDescent="0.2">
      <c r="A1118" s="112" t="s">
        <v>747</v>
      </c>
      <c r="B1118" s="113">
        <v>403</v>
      </c>
      <c r="C1118" s="114"/>
      <c r="D1118" s="92">
        <v>0.06</v>
      </c>
      <c r="E1118" s="114"/>
      <c r="F1118" s="115">
        <f>ROUND(B1118*D1118,2)</f>
        <v>24.18</v>
      </c>
    </row>
    <row r="1119" spans="1:30" x14ac:dyDescent="0.2">
      <c r="A1119" s="112" t="s">
        <v>748</v>
      </c>
      <c r="B1119" s="114"/>
      <c r="C1119" s="114"/>
      <c r="D1119" s="114"/>
      <c r="E1119" s="116">
        <v>0.06</v>
      </c>
      <c r="F1119" s="115">
        <v>18.39</v>
      </c>
    </row>
    <row r="1120" spans="1:30" x14ac:dyDescent="0.2">
      <c r="A1120" s="117" t="s">
        <v>749</v>
      </c>
      <c r="B1120" s="114"/>
      <c r="C1120" s="114"/>
      <c r="D1120" s="114"/>
      <c r="E1120" s="114"/>
      <c r="F1120" s="118">
        <f>F1118-F1119</f>
        <v>5.7899999999999991</v>
      </c>
    </row>
    <row r="1122" spans="1:30" x14ac:dyDescent="0.2">
      <c r="A1122" s="137" t="s">
        <v>1156</v>
      </c>
      <c r="B1122" s="137"/>
      <c r="C1122" s="137"/>
      <c r="D1122" s="137"/>
      <c r="E1122" s="137"/>
      <c r="F1122" s="137"/>
      <c r="H1122" s="137" t="s">
        <v>1157</v>
      </c>
      <c r="I1122" s="137"/>
      <c r="J1122" s="137"/>
      <c r="K1122" s="137"/>
      <c r="L1122" s="76">
        <v>46113</v>
      </c>
      <c r="M1122" s="77" t="s">
        <v>607</v>
      </c>
      <c r="N1122" s="76">
        <v>46142</v>
      </c>
      <c r="R1122" s="138" t="s">
        <v>110</v>
      </c>
      <c r="S1122" s="138"/>
      <c r="T1122" s="138"/>
      <c r="U1122" s="138"/>
      <c r="V1122" s="138"/>
    </row>
    <row r="1123" spans="1:30" x14ac:dyDescent="0.2">
      <c r="A1123" s="78" t="s">
        <v>111</v>
      </c>
      <c r="B1123" s="79" t="s">
        <v>112</v>
      </c>
      <c r="C1123" s="80"/>
      <c r="D1123" s="80"/>
      <c r="E1123" s="80"/>
      <c r="F1123" s="80"/>
      <c r="H1123" s="81" t="s">
        <v>1158</v>
      </c>
      <c r="I1123" s="82"/>
      <c r="J1123" s="82"/>
      <c r="L1123" s="83" t="s">
        <v>1159</v>
      </c>
      <c r="M1123" s="84"/>
      <c r="N1123" s="84"/>
      <c r="R1123" s="85" t="s">
        <v>1160</v>
      </c>
    </row>
    <row r="1124" spans="1:30" x14ac:dyDescent="0.2">
      <c r="B1124" s="68" t="s">
        <v>116</v>
      </c>
      <c r="C1124" s="68" t="s">
        <v>117</v>
      </c>
      <c r="D1124" s="68" t="s">
        <v>118</v>
      </c>
      <c r="E1124" s="68" t="s">
        <v>119</v>
      </c>
      <c r="F1124" s="68" t="s">
        <v>120</v>
      </c>
      <c r="H1124" s="86" t="s">
        <v>116</v>
      </c>
      <c r="I1124" s="86" t="s">
        <v>119</v>
      </c>
      <c r="J1124" s="86" t="s">
        <v>120</v>
      </c>
      <c r="L1124" s="87" t="s">
        <v>116</v>
      </c>
      <c r="M1124" s="87" t="s">
        <v>119</v>
      </c>
      <c r="N1124" s="87" t="s">
        <v>120</v>
      </c>
      <c r="R1124" s="88" t="s">
        <v>1161</v>
      </c>
    </row>
    <row r="1125" spans="1:30" x14ac:dyDescent="0.2">
      <c r="A1125" s="89" t="s">
        <v>122</v>
      </c>
      <c r="B1125" s="90">
        <v>3.3</v>
      </c>
      <c r="C1125" s="91">
        <f>$N$1122-$L$1122+1</f>
        <v>30</v>
      </c>
      <c r="D1125" s="92">
        <v>3.68919</v>
      </c>
      <c r="E1125" s="93">
        <v>3.85</v>
      </c>
      <c r="F1125" s="94">
        <f t="shared" ref="F1125:F1132" si="192">ROUND(B1125*E1125,2)</f>
        <v>12.71</v>
      </c>
      <c r="H1125" s="95">
        <v>3.3</v>
      </c>
      <c r="I1125" s="96">
        <v>3.85</v>
      </c>
      <c r="J1125" s="97">
        <f t="shared" ref="J1125:J1132" si="193">ROUND(H1125*I1125,2)</f>
        <v>12.71</v>
      </c>
      <c r="L1125" s="98">
        <v>3.3</v>
      </c>
      <c r="M1125" s="99">
        <v>3.85</v>
      </c>
      <c r="N1125" s="100">
        <f t="shared" ref="N1125:N1132" si="194">ROUND(L1125*M1125,2)</f>
        <v>12.71</v>
      </c>
      <c r="R1125" s="101" t="s">
        <v>1162</v>
      </c>
    </row>
    <row r="1126" spans="1:30" x14ac:dyDescent="0.2">
      <c r="A1126" s="89" t="s">
        <v>124</v>
      </c>
      <c r="B1126" s="90">
        <v>3.3</v>
      </c>
      <c r="C1126" s="91">
        <f>$N$1122-$L$1122+1</f>
        <v>30</v>
      </c>
      <c r="D1126" s="92">
        <v>1.31928</v>
      </c>
      <c r="E1126" s="93">
        <v>1.33</v>
      </c>
      <c r="F1126" s="94">
        <f t="shared" si="192"/>
        <v>4.3899999999999997</v>
      </c>
      <c r="H1126" s="95">
        <v>3.3</v>
      </c>
      <c r="I1126" s="96">
        <v>1.33</v>
      </c>
      <c r="J1126" s="97">
        <f t="shared" si="193"/>
        <v>4.3899999999999997</v>
      </c>
      <c r="L1126" s="98">
        <v>3.3</v>
      </c>
      <c r="M1126" s="99">
        <v>1.33</v>
      </c>
      <c r="N1126" s="100">
        <f t="shared" si="194"/>
        <v>4.3899999999999997</v>
      </c>
      <c r="R1126" s="102" t="s">
        <v>1163</v>
      </c>
    </row>
    <row r="1127" spans="1:30" x14ac:dyDescent="0.2">
      <c r="A1127" s="89" t="s">
        <v>614</v>
      </c>
      <c r="B1127" s="90">
        <f>IF($P$1127&lt;&gt;"",ROUND(AA1127*(($AB$1127/(1-$P$1127))-17.094)/8.0985,2),IF('Resumen 2.0TD'!$D$3="OPTIMIZAR",ROUND(MAX(AA1127,MIN(AA1127*(($AB$1127/(1-'Resumen 2.0TD'!$F$3))-17.094)/8.0985,AA1127*(32.5038)/8.0985)),3),AA1127))</f>
        <v>43.847000000000001</v>
      </c>
      <c r="C1127" s="103"/>
      <c r="D1127" s="92">
        <v>0.11117100000000001</v>
      </c>
      <c r="E1127" s="93">
        <v>0.13788</v>
      </c>
      <c r="F1127" s="94">
        <f t="shared" si="192"/>
        <v>6.05</v>
      </c>
      <c r="H1127" s="95">
        <v>19.922999999999998</v>
      </c>
      <c r="I1127" s="96">
        <v>0.13788</v>
      </c>
      <c r="J1127" s="97">
        <f t="shared" si="193"/>
        <v>2.75</v>
      </c>
      <c r="L1127" s="98">
        <v>31.911999999999999</v>
      </c>
      <c r="M1127" s="99">
        <v>0.13788</v>
      </c>
      <c r="N1127" s="100">
        <f t="shared" si="194"/>
        <v>4.4000000000000004</v>
      </c>
      <c r="O1127" s="104" t="s">
        <v>615</v>
      </c>
      <c r="P1127" s="67"/>
      <c r="R1127" s="102" t="s">
        <v>1164</v>
      </c>
      <c r="AA1127">
        <v>22.41</v>
      </c>
      <c r="AB1127">
        <f>B1125*D1125+B1126*D1126+AA1127*D1127+AA1128*D1128+AA1129*D1129</f>
        <v>23.057690856000004</v>
      </c>
    </row>
    <row r="1128" spans="1:30" x14ac:dyDescent="0.2">
      <c r="A1128" s="89" t="s">
        <v>617</v>
      </c>
      <c r="B1128" s="90">
        <f>IF($P$1127&lt;&gt;"",ROUND(AA1128*(($AB$1127/(1-$P$1127))-17.094)/8.0985,2),IF('Resumen 2.0TD'!$D$3="OPTIMIZAR",ROUND(MAX(AA1128,MIN(AA1128*(($AB$1127/(1-'Resumen 2.0TD'!$F$3))-17.094)/8.0985,AA1128*(32.5038)/8.0985)),3),AA1128))</f>
        <v>22.969000000000001</v>
      </c>
      <c r="C1128" s="103"/>
      <c r="D1128" s="92">
        <v>0.11117100000000001</v>
      </c>
      <c r="E1128" s="93">
        <v>0.13788</v>
      </c>
      <c r="F1128" s="94">
        <f t="shared" si="192"/>
        <v>3.17</v>
      </c>
      <c r="H1128" s="95">
        <v>14.315</v>
      </c>
      <c r="I1128" s="96">
        <v>0.13788</v>
      </c>
      <c r="J1128" s="97">
        <f t="shared" si="193"/>
        <v>1.97</v>
      </c>
      <c r="L1128" s="98">
        <v>16.468</v>
      </c>
      <c r="M1128" s="99">
        <v>0.13788</v>
      </c>
      <c r="N1128" s="100">
        <f t="shared" si="194"/>
        <v>2.27</v>
      </c>
      <c r="O1128" s="105" t="s">
        <v>618</v>
      </c>
      <c r="R1128" s="102" t="s">
        <v>619</v>
      </c>
      <c r="AA1128">
        <v>11.739000000000001</v>
      </c>
    </row>
    <row r="1129" spans="1:30" x14ac:dyDescent="0.2">
      <c r="A1129" s="89" t="s">
        <v>620</v>
      </c>
      <c r="B1129" s="90">
        <f>IF($P$1127&lt;&gt;"",ROUND(AA1129*(($AB$1127/(1-$P$1127))-17.094)/8.0985,2),IF('Resumen 2.0TD'!$D$3="OPTIMIZAR",ROUND(MAX(AA1129,MIN(AA1129*(($AB$1127/(1-'Resumen 2.0TD'!$F$3))-17.094)/8.0985,AA1129*(32.5038)/8.0985)),3),AA1129))</f>
        <v>48.106999999999999</v>
      </c>
      <c r="C1129" s="103"/>
      <c r="D1129" s="92">
        <v>0.11117100000000001</v>
      </c>
      <c r="E1129" s="93">
        <v>0.13788</v>
      </c>
      <c r="F1129" s="94">
        <f t="shared" si="192"/>
        <v>6.63</v>
      </c>
      <c r="H1129" s="95">
        <v>26.446000000000002</v>
      </c>
      <c r="I1129" s="96">
        <v>0.13788</v>
      </c>
      <c r="J1129" s="97">
        <f t="shared" si="193"/>
        <v>3.65</v>
      </c>
      <c r="L1129" s="98">
        <v>24.568999999999999</v>
      </c>
      <c r="M1129" s="99">
        <v>0.13788</v>
      </c>
      <c r="N1129" s="100">
        <f t="shared" si="194"/>
        <v>3.39</v>
      </c>
      <c r="O1129" s="105" t="s">
        <v>621</v>
      </c>
      <c r="AA1129">
        <v>24.587</v>
      </c>
    </row>
    <row r="1130" spans="1:30" x14ac:dyDescent="0.2">
      <c r="A1130" s="89" t="s">
        <v>139</v>
      </c>
      <c r="B1130" s="90">
        <v>1</v>
      </c>
      <c r="C1130" s="91">
        <f>$N$1122-$L$1122+1</f>
        <v>30</v>
      </c>
      <c r="D1130" s="92">
        <v>0.79890000000000005</v>
      </c>
      <c r="E1130" s="93">
        <v>3</v>
      </c>
      <c r="F1130" s="94">
        <f t="shared" si="192"/>
        <v>3</v>
      </c>
      <c r="H1130" s="95">
        <v>1</v>
      </c>
      <c r="I1130" s="96">
        <v>3</v>
      </c>
      <c r="J1130" s="97">
        <f t="shared" si="193"/>
        <v>3</v>
      </c>
      <c r="L1130" s="98">
        <v>1</v>
      </c>
      <c r="M1130" s="99">
        <v>3</v>
      </c>
      <c r="N1130" s="100">
        <f t="shared" si="194"/>
        <v>3</v>
      </c>
    </row>
    <row r="1131" spans="1:30" x14ac:dyDescent="0.2">
      <c r="A1131" s="89" t="s">
        <v>140</v>
      </c>
      <c r="B1131" s="90">
        <v>30</v>
      </c>
      <c r="C1131" s="91">
        <f>$N$1122-$L$1122+1</f>
        <v>30</v>
      </c>
      <c r="D1131" s="92">
        <v>0.5736</v>
      </c>
      <c r="E1131" s="93">
        <v>1.274E-2</v>
      </c>
      <c r="F1131" s="94">
        <f t="shared" si="192"/>
        <v>0.38</v>
      </c>
      <c r="H1131" s="95">
        <v>30</v>
      </c>
      <c r="I1131" s="96">
        <v>1.274E-2</v>
      </c>
      <c r="J1131" s="97">
        <f t="shared" si="193"/>
        <v>0.38</v>
      </c>
      <c r="L1131" s="98">
        <v>30</v>
      </c>
      <c r="M1131" s="99">
        <v>6.2899999999999996E-3</v>
      </c>
      <c r="N1131" s="100">
        <f t="shared" si="194"/>
        <v>0.19</v>
      </c>
    </row>
    <row r="1132" spans="1:30" x14ac:dyDescent="0.2">
      <c r="A1132" s="89" t="s">
        <v>141</v>
      </c>
      <c r="B1132" s="90">
        <v>1.3</v>
      </c>
      <c r="C1132" s="103"/>
      <c r="D1132" s="92">
        <v>2.6710000000000001E-2</v>
      </c>
      <c r="E1132" s="93">
        <v>1</v>
      </c>
      <c r="F1132" s="94">
        <f t="shared" si="192"/>
        <v>1.3</v>
      </c>
      <c r="H1132" s="95">
        <v>1.31</v>
      </c>
      <c r="I1132" s="96">
        <v>1</v>
      </c>
      <c r="J1132" s="97">
        <f t="shared" si="193"/>
        <v>1.31</v>
      </c>
      <c r="L1132" s="98">
        <v>1.4</v>
      </c>
      <c r="M1132" s="99">
        <v>1</v>
      </c>
      <c r="N1132" s="100">
        <f t="shared" si="194"/>
        <v>1.4</v>
      </c>
    </row>
    <row r="1133" spans="1:30" x14ac:dyDescent="0.2">
      <c r="A1133" s="106" t="s">
        <v>142</v>
      </c>
      <c r="F1133" s="107">
        <f>ROUND((SUM(F1125:F1132)-F1132)*1.1+F1132,2)</f>
        <v>41.26</v>
      </c>
      <c r="J1133" s="108">
        <f>ROUND(SUM(J1125:J1132),2)</f>
        <v>30.16</v>
      </c>
      <c r="N1133" s="109">
        <f>ROUND(SUM(N1125:N1132),2)</f>
        <v>31.75</v>
      </c>
    </row>
    <row r="1134" spans="1:30" x14ac:dyDescent="0.2">
      <c r="A1134" s="78" t="s">
        <v>143</v>
      </c>
      <c r="B1134" s="110">
        <f>IF((F1129+F1128+F1127+F1125+F1126)=0,"",((F1129+F1128+F1127+F1125+F1126)-$AB$1127)/(F1129+F1128+F1127+F1125+F1126))</f>
        <v>0.30022182531107733</v>
      </c>
      <c r="D1134" s="139" t="str">
        <f>IF(B1134="","SIN PC",IF(B1134&gt;=0.3,"APROBAR",IF(B1134&gt;=0.2,"REVISAR","RECHAZAR")))</f>
        <v>APROBAR</v>
      </c>
      <c r="E1134" s="139"/>
      <c r="F1134" s="139"/>
      <c r="AD1134">
        <f>SUM(F1127:F1129)-8.0985</f>
        <v>7.7514999999999983</v>
      </c>
    </row>
    <row r="1136" spans="1:30" x14ac:dyDescent="0.2">
      <c r="A1136" s="137" t="s">
        <v>1165</v>
      </c>
      <c r="B1136" s="137"/>
      <c r="C1136" s="137"/>
      <c r="D1136" s="137"/>
      <c r="E1136" s="137"/>
      <c r="F1136" s="137"/>
      <c r="H1136" s="137" t="s">
        <v>1166</v>
      </c>
      <c r="I1136" s="137"/>
      <c r="J1136" s="137"/>
      <c r="K1136" s="137"/>
      <c r="L1136" s="76">
        <v>46113</v>
      </c>
      <c r="M1136" s="77" t="s">
        <v>607</v>
      </c>
      <c r="N1136" s="76">
        <v>46142</v>
      </c>
      <c r="R1136" s="138" t="s">
        <v>110</v>
      </c>
      <c r="S1136" s="138"/>
      <c r="T1136" s="138"/>
      <c r="U1136" s="138"/>
      <c r="V1136" s="138"/>
    </row>
    <row r="1137" spans="1:30" x14ac:dyDescent="0.2">
      <c r="A1137" s="78" t="s">
        <v>111</v>
      </c>
      <c r="B1137" s="79" t="s">
        <v>112</v>
      </c>
      <c r="C1137" s="80"/>
      <c r="D1137" s="80"/>
      <c r="E1137" s="80"/>
      <c r="F1137" s="80"/>
      <c r="H1137" s="81" t="s">
        <v>1167</v>
      </c>
      <c r="I1137" s="82"/>
      <c r="J1137" s="82"/>
      <c r="L1137" s="83" t="s">
        <v>1168</v>
      </c>
      <c r="M1137" s="84"/>
      <c r="N1137" s="84"/>
      <c r="R1137" s="85" t="s">
        <v>1169</v>
      </c>
    </row>
    <row r="1138" spans="1:30" x14ac:dyDescent="0.2">
      <c r="B1138" s="68" t="s">
        <v>116</v>
      </c>
      <c r="C1138" s="68" t="s">
        <v>117</v>
      </c>
      <c r="D1138" s="68" t="s">
        <v>118</v>
      </c>
      <c r="E1138" s="68" t="s">
        <v>119</v>
      </c>
      <c r="F1138" s="68" t="s">
        <v>120</v>
      </c>
      <c r="H1138" s="86" t="s">
        <v>116</v>
      </c>
      <c r="I1138" s="86" t="s">
        <v>119</v>
      </c>
      <c r="J1138" s="86" t="s">
        <v>120</v>
      </c>
      <c r="L1138" s="87" t="s">
        <v>116</v>
      </c>
      <c r="M1138" s="87" t="s">
        <v>119</v>
      </c>
      <c r="N1138" s="87" t="s">
        <v>120</v>
      </c>
      <c r="R1138" s="88" t="s">
        <v>1170</v>
      </c>
    </row>
    <row r="1139" spans="1:30" x14ac:dyDescent="0.2">
      <c r="A1139" s="89" t="s">
        <v>122</v>
      </c>
      <c r="B1139" s="90">
        <v>8.8000000000000007</v>
      </c>
      <c r="C1139" s="91">
        <f>$N$1136-$L$1136+1</f>
        <v>30</v>
      </c>
      <c r="D1139" s="92">
        <v>3.68919</v>
      </c>
      <c r="E1139" s="93">
        <v>3.85</v>
      </c>
      <c r="F1139" s="94">
        <f t="shared" ref="F1139:F1146" si="195">ROUND(B1139*E1139,2)</f>
        <v>33.880000000000003</v>
      </c>
      <c r="H1139" s="95">
        <v>8.8000000000000007</v>
      </c>
      <c r="I1139" s="96">
        <v>3.85</v>
      </c>
      <c r="J1139" s="97">
        <f t="shared" ref="J1139:J1146" si="196">ROUND(H1139*I1139,2)</f>
        <v>33.880000000000003</v>
      </c>
      <c r="L1139" s="98">
        <v>8.8000000000000007</v>
      </c>
      <c r="M1139" s="99">
        <v>3.85</v>
      </c>
      <c r="N1139" s="100">
        <f t="shared" ref="N1139:N1146" si="197">ROUND(L1139*M1139,2)</f>
        <v>33.880000000000003</v>
      </c>
      <c r="R1139" s="101" t="s">
        <v>1171</v>
      </c>
    </row>
    <row r="1140" spans="1:30" x14ac:dyDescent="0.2">
      <c r="A1140" s="89" t="s">
        <v>124</v>
      </c>
      <c r="B1140" s="90">
        <v>8.8000000000000007</v>
      </c>
      <c r="C1140" s="91">
        <f>$N$1136-$L$1136+1</f>
        <v>30</v>
      </c>
      <c r="D1140" s="92">
        <v>1.31928</v>
      </c>
      <c r="E1140" s="93">
        <v>1.33</v>
      </c>
      <c r="F1140" s="94">
        <f t="shared" si="195"/>
        <v>11.7</v>
      </c>
      <c r="H1140" s="95">
        <v>8.8000000000000007</v>
      </c>
      <c r="I1140" s="96">
        <v>1.33</v>
      </c>
      <c r="J1140" s="97">
        <f t="shared" si="196"/>
        <v>11.7</v>
      </c>
      <c r="L1140" s="98">
        <v>8.8000000000000007</v>
      </c>
      <c r="M1140" s="99">
        <v>1.33</v>
      </c>
      <c r="N1140" s="100">
        <f t="shared" si="197"/>
        <v>11.7</v>
      </c>
      <c r="R1140" s="102" t="s">
        <v>1172</v>
      </c>
    </row>
    <row r="1141" spans="1:30" x14ac:dyDescent="0.2">
      <c r="A1141" s="89" t="s">
        <v>614</v>
      </c>
      <c r="B1141" s="90">
        <f>IF($P$1141&lt;&gt;"",ROUND(AA1141*(($AB$1141/(1-$P$1141))-45.584)/185.634,2),IF('Resumen 2.0TD'!$D$3="OPTIMIZAR",ROUND(MAX(AA1141,MIN(AA1141*(($AB$1141/(1-'Resumen 2.0TD'!$F$3))-45.584)/185.634,AA1141*(397.6238)/185.634)),3),AA1141))</f>
        <v>417.07</v>
      </c>
      <c r="C1141" s="103"/>
      <c r="D1141" s="92">
        <v>0.11117100000000001</v>
      </c>
      <c r="E1141" s="93">
        <v>0.13788</v>
      </c>
      <c r="F1141" s="94">
        <f t="shared" si="195"/>
        <v>57.51</v>
      </c>
      <c r="H1141" s="95">
        <v>526.221</v>
      </c>
      <c r="I1141" s="96">
        <v>0.13788</v>
      </c>
      <c r="J1141" s="97">
        <f t="shared" si="196"/>
        <v>72.56</v>
      </c>
      <c r="L1141" s="98">
        <v>294.28899999999999</v>
      </c>
      <c r="M1141" s="99">
        <v>0.13788</v>
      </c>
      <c r="N1141" s="100">
        <f t="shared" si="197"/>
        <v>40.58</v>
      </c>
      <c r="O1141" s="104" t="s">
        <v>615</v>
      </c>
      <c r="P1141" s="67"/>
      <c r="R1141" s="102" t="s">
        <v>1173</v>
      </c>
      <c r="AA1141">
        <v>334.87099999999998</v>
      </c>
      <c r="AB1141">
        <f>B1139*D1139+B1140*D1140+AA1141*D1141+AA1142*D1142+AA1143*D1143</f>
        <v>193.74905599499999</v>
      </c>
    </row>
    <row r="1142" spans="1:30" x14ac:dyDescent="0.2">
      <c r="A1142" s="89" t="s">
        <v>617</v>
      </c>
      <c r="B1142" s="90">
        <f>IF($P$1141&lt;&gt;"",ROUND(AA1142*(($AB$1141/(1-$P$1141))-45.584)/185.634,2),IF('Resumen 2.0TD'!$D$3="OPTIMIZAR",ROUND(MAX(AA1142,MIN(AA1142*(($AB$1141/(1-'Resumen 2.0TD'!$F$3))-45.584)/185.634,AA1142*(397.6238)/185.634)),3),AA1142))</f>
        <v>389.87400000000002</v>
      </c>
      <c r="C1142" s="103"/>
      <c r="D1142" s="92">
        <v>0.11117100000000001</v>
      </c>
      <c r="E1142" s="93">
        <v>0.13788</v>
      </c>
      <c r="F1142" s="94">
        <f t="shared" si="195"/>
        <v>53.76</v>
      </c>
      <c r="H1142" s="95">
        <v>556.11400000000003</v>
      </c>
      <c r="I1142" s="96">
        <v>0.13788</v>
      </c>
      <c r="J1142" s="97">
        <f t="shared" si="196"/>
        <v>76.680000000000007</v>
      </c>
      <c r="L1142" s="98">
        <v>356.42700000000002</v>
      </c>
      <c r="M1142" s="99">
        <v>0.13788</v>
      </c>
      <c r="N1142" s="100">
        <f t="shared" si="197"/>
        <v>49.14</v>
      </c>
      <c r="O1142" s="105" t="s">
        <v>618</v>
      </c>
      <c r="R1142" s="102" t="s">
        <v>619</v>
      </c>
      <c r="AA1142">
        <v>313.03500000000003</v>
      </c>
    </row>
    <row r="1143" spans="1:30" x14ac:dyDescent="0.2">
      <c r="A1143" s="89" t="s">
        <v>620</v>
      </c>
      <c r="B1143" s="90">
        <f>IF($P$1141&lt;&gt;"",ROUND(AA1143*(($AB$1141/(1-$P$1141))-45.584)/185.634,2),IF('Resumen 2.0TD'!$D$3="OPTIMIZAR",ROUND(MAX(AA1143,MIN(AA1143*(($AB$1141/(1-'Resumen 2.0TD'!$F$3))-45.584)/185.634,AA1143*(397.6238)/185.634)),3),AA1143))</f>
        <v>869.88</v>
      </c>
      <c r="C1143" s="103"/>
      <c r="D1143" s="92">
        <v>0.11117100000000001</v>
      </c>
      <c r="E1143" s="93">
        <v>0.13788</v>
      </c>
      <c r="F1143" s="94">
        <f t="shared" si="195"/>
        <v>119.94</v>
      </c>
      <c r="H1143" s="95">
        <v>1161.6400000000001</v>
      </c>
      <c r="I1143" s="96">
        <v>0.13788</v>
      </c>
      <c r="J1143" s="97">
        <f t="shared" si="196"/>
        <v>160.16999999999999</v>
      </c>
      <c r="L1143" s="98">
        <v>764.90099999999995</v>
      </c>
      <c r="M1143" s="99">
        <v>0.13788</v>
      </c>
      <c r="N1143" s="100">
        <f t="shared" si="197"/>
        <v>105.46</v>
      </c>
      <c r="O1143" s="105" t="s">
        <v>621</v>
      </c>
      <c r="AA1143">
        <v>698.43899999999996</v>
      </c>
    </row>
    <row r="1144" spans="1:30" x14ac:dyDescent="0.2">
      <c r="A1144" s="89" t="s">
        <v>139</v>
      </c>
      <c r="B1144" s="90">
        <v>1</v>
      </c>
      <c r="C1144" s="91">
        <f>$N$1136-$L$1136+1</f>
        <v>30</v>
      </c>
      <c r="D1144" s="92">
        <v>0.79890000000000005</v>
      </c>
      <c r="E1144" s="93">
        <v>3</v>
      </c>
      <c r="F1144" s="94">
        <f t="shared" si="195"/>
        <v>3</v>
      </c>
      <c r="H1144" s="95">
        <v>1</v>
      </c>
      <c r="I1144" s="96">
        <v>3</v>
      </c>
      <c r="J1144" s="97">
        <f t="shared" si="196"/>
        <v>3</v>
      </c>
      <c r="L1144" s="98">
        <v>1</v>
      </c>
      <c r="M1144" s="99">
        <v>3</v>
      </c>
      <c r="N1144" s="100">
        <f t="shared" si="197"/>
        <v>3</v>
      </c>
    </row>
    <row r="1145" spans="1:30" x14ac:dyDescent="0.2">
      <c r="A1145" s="89" t="s">
        <v>140</v>
      </c>
      <c r="B1145" s="90">
        <v>30</v>
      </c>
      <c r="C1145" s="91">
        <f>$N$1136-$L$1136+1</f>
        <v>30</v>
      </c>
      <c r="D1145" s="92">
        <v>0.5736</v>
      </c>
      <c r="E1145" s="93">
        <v>1.274E-2</v>
      </c>
      <c r="F1145" s="94">
        <f t="shared" si="195"/>
        <v>0.38</v>
      </c>
      <c r="H1145" s="95">
        <v>30</v>
      </c>
      <c r="I1145" s="96">
        <v>1.274E-2</v>
      </c>
      <c r="J1145" s="97">
        <f t="shared" si="196"/>
        <v>0.38</v>
      </c>
      <c r="L1145" s="98">
        <v>30</v>
      </c>
      <c r="M1145" s="99">
        <v>6.2899999999999996E-3</v>
      </c>
      <c r="N1145" s="100">
        <f t="shared" si="197"/>
        <v>0.19</v>
      </c>
    </row>
    <row r="1146" spans="1:30" x14ac:dyDescent="0.2">
      <c r="A1146" s="89" t="s">
        <v>141</v>
      </c>
      <c r="B1146" s="90">
        <v>11.82</v>
      </c>
      <c r="C1146" s="103"/>
      <c r="D1146" s="92">
        <v>0.27311999999999997</v>
      </c>
      <c r="E1146" s="93">
        <v>1</v>
      </c>
      <c r="F1146" s="94">
        <f t="shared" si="195"/>
        <v>11.82</v>
      </c>
      <c r="H1146" s="95">
        <v>18.149999999999999</v>
      </c>
      <c r="I1146" s="96">
        <v>1</v>
      </c>
      <c r="J1146" s="97">
        <f t="shared" si="196"/>
        <v>18.149999999999999</v>
      </c>
      <c r="L1146" s="98">
        <v>12.31</v>
      </c>
      <c r="M1146" s="99">
        <v>1</v>
      </c>
      <c r="N1146" s="100">
        <f t="shared" si="197"/>
        <v>12.31</v>
      </c>
    </row>
    <row r="1147" spans="1:30" x14ac:dyDescent="0.2">
      <c r="A1147" s="106" t="s">
        <v>142</v>
      </c>
      <c r="F1147" s="107">
        <f>ROUND((SUM(F1139:F1146)-F1146)*1.1+F1146,2)</f>
        <v>320.01</v>
      </c>
      <c r="J1147" s="108">
        <f>ROUND(SUM(J1139:J1146),2)</f>
        <v>376.52</v>
      </c>
      <c r="N1147" s="109">
        <f>ROUND(SUM(N1139:N1146),2)</f>
        <v>256.26</v>
      </c>
    </row>
    <row r="1148" spans="1:30" x14ac:dyDescent="0.2">
      <c r="A1148" s="78" t="s">
        <v>143</v>
      </c>
      <c r="B1148" s="110">
        <f>IF((F1143+F1142+F1141+F1139+F1140)=0,"",((F1143+F1142+F1141+F1139+F1140)-$AB$1141)/(F1143+F1142+F1141+F1139+F1140))</f>
        <v>0.30001424908775598</v>
      </c>
      <c r="D1148" s="139" t="str">
        <f>IF(B1148="","SIN PC",IF(B1148&gt;=0.3,"APROBAR",IF(B1148&gt;=0.2,"REVISAR","RECHAZAR")))</f>
        <v>APROBAR</v>
      </c>
      <c r="E1148" s="139"/>
      <c r="F1148" s="139"/>
      <c r="AD1148">
        <f>SUM(F1141:F1143)-185.634</f>
        <v>45.575999999999993</v>
      </c>
    </row>
    <row r="1150" spans="1:30" x14ac:dyDescent="0.2">
      <c r="A1150" s="137" t="s">
        <v>1174</v>
      </c>
      <c r="B1150" s="137"/>
      <c r="C1150" s="137"/>
      <c r="D1150" s="137"/>
      <c r="E1150" s="137"/>
      <c r="F1150" s="137"/>
      <c r="H1150" s="137" t="s">
        <v>1175</v>
      </c>
      <c r="I1150" s="137"/>
      <c r="J1150" s="137"/>
      <c r="K1150" s="137"/>
      <c r="L1150" s="76">
        <v>46113</v>
      </c>
      <c r="M1150" s="77" t="s">
        <v>607</v>
      </c>
      <c r="N1150" s="76">
        <v>46142</v>
      </c>
      <c r="R1150" s="138" t="s">
        <v>110</v>
      </c>
      <c r="S1150" s="138"/>
      <c r="T1150" s="138"/>
      <c r="U1150" s="138"/>
      <c r="V1150" s="138"/>
    </row>
    <row r="1151" spans="1:30" x14ac:dyDescent="0.2">
      <c r="A1151" s="78" t="s">
        <v>111</v>
      </c>
      <c r="B1151" s="79" t="s">
        <v>112</v>
      </c>
      <c r="C1151" s="80"/>
      <c r="D1151" s="80"/>
      <c r="E1151" s="80"/>
      <c r="F1151" s="80"/>
      <c r="H1151" s="81" t="s">
        <v>1176</v>
      </c>
      <c r="I1151" s="82"/>
      <c r="J1151" s="82"/>
      <c r="L1151" s="83" t="s">
        <v>1177</v>
      </c>
      <c r="M1151" s="84"/>
      <c r="N1151" s="84"/>
      <c r="R1151" s="85" t="s">
        <v>1178</v>
      </c>
    </row>
    <row r="1152" spans="1:30" x14ac:dyDescent="0.2">
      <c r="B1152" s="68" t="s">
        <v>116</v>
      </c>
      <c r="C1152" s="68" t="s">
        <v>117</v>
      </c>
      <c r="D1152" s="68" t="s">
        <v>118</v>
      </c>
      <c r="E1152" s="68" t="s">
        <v>119</v>
      </c>
      <c r="F1152" s="68" t="s">
        <v>120</v>
      </c>
      <c r="H1152" s="86" t="s">
        <v>116</v>
      </c>
      <c r="I1152" s="86" t="s">
        <v>119</v>
      </c>
      <c r="J1152" s="86" t="s">
        <v>120</v>
      </c>
      <c r="L1152" s="87" t="s">
        <v>116</v>
      </c>
      <c r="M1152" s="87" t="s">
        <v>119</v>
      </c>
      <c r="N1152" s="87" t="s">
        <v>120</v>
      </c>
      <c r="R1152" s="88" t="s">
        <v>1179</v>
      </c>
    </row>
    <row r="1153" spans="1:30" x14ac:dyDescent="0.2">
      <c r="A1153" s="89" t="s">
        <v>122</v>
      </c>
      <c r="B1153" s="90">
        <v>5</v>
      </c>
      <c r="C1153" s="91">
        <f>$N$1150-$L$1150+1</f>
        <v>30</v>
      </c>
      <c r="D1153" s="92">
        <v>3.68919</v>
      </c>
      <c r="E1153" s="93">
        <v>3.85</v>
      </c>
      <c r="F1153" s="94">
        <f t="shared" ref="F1153:F1160" si="198">ROUND(B1153*E1153,2)</f>
        <v>19.25</v>
      </c>
      <c r="H1153" s="95">
        <v>5</v>
      </c>
      <c r="I1153" s="96">
        <v>3.85</v>
      </c>
      <c r="J1153" s="97">
        <f t="shared" ref="J1153:J1160" si="199">ROUND(H1153*I1153,2)</f>
        <v>19.25</v>
      </c>
      <c r="L1153" s="98">
        <v>5</v>
      </c>
      <c r="M1153" s="99">
        <v>3.85</v>
      </c>
      <c r="N1153" s="100">
        <f t="shared" ref="N1153:N1160" si="200">ROUND(L1153*M1153,2)</f>
        <v>19.25</v>
      </c>
      <c r="R1153" s="101" t="s">
        <v>1180</v>
      </c>
    </row>
    <row r="1154" spans="1:30" x14ac:dyDescent="0.2">
      <c r="A1154" s="89" t="s">
        <v>124</v>
      </c>
      <c r="B1154" s="90">
        <v>5</v>
      </c>
      <c r="C1154" s="91">
        <f>$N$1150-$L$1150+1</f>
        <v>30</v>
      </c>
      <c r="D1154" s="92">
        <v>1.31928</v>
      </c>
      <c r="E1154" s="93">
        <v>1.33</v>
      </c>
      <c r="F1154" s="94">
        <f t="shared" si="198"/>
        <v>6.65</v>
      </c>
      <c r="H1154" s="95">
        <v>5</v>
      </c>
      <c r="I1154" s="96">
        <v>1.33</v>
      </c>
      <c r="J1154" s="97">
        <f t="shared" si="199"/>
        <v>6.65</v>
      </c>
      <c r="L1154" s="98">
        <v>5</v>
      </c>
      <c r="M1154" s="99">
        <v>1.33</v>
      </c>
      <c r="N1154" s="100">
        <f t="shared" si="200"/>
        <v>6.65</v>
      </c>
      <c r="R1154" s="102" t="s">
        <v>1181</v>
      </c>
    </row>
    <row r="1155" spans="1:30" x14ac:dyDescent="0.2">
      <c r="A1155" s="89" t="s">
        <v>614</v>
      </c>
      <c r="B1155" s="90">
        <f>IF($P$1155&lt;&gt;"",ROUND(AA1155*(($AB$1155/(1-$P$1155))-25.9)/34.3931,2),IF('Resumen 2.0TD'!$D$3="OPTIMIZAR",ROUND(MAX(AA1155,MIN(AA1155*(($AB$1155/(1-'Resumen 2.0TD'!$F$3))-25.9)/34.3931,AA1155*(109.6478)/34.3931)),3),AA1155))</f>
        <v>122.399</v>
      </c>
      <c r="C1155" s="103"/>
      <c r="D1155" s="92">
        <v>0.11117100000000001</v>
      </c>
      <c r="E1155" s="93">
        <v>0.13788</v>
      </c>
      <c r="F1155" s="94">
        <f t="shared" si="198"/>
        <v>16.88</v>
      </c>
      <c r="H1155" s="95">
        <v>189.172</v>
      </c>
      <c r="I1155" s="96">
        <v>0.13788</v>
      </c>
      <c r="J1155" s="97">
        <f t="shared" si="199"/>
        <v>26.08</v>
      </c>
      <c r="L1155" s="98">
        <v>96.81</v>
      </c>
      <c r="M1155" s="99">
        <v>0.13788</v>
      </c>
      <c r="N1155" s="100">
        <f t="shared" si="200"/>
        <v>13.35</v>
      </c>
      <c r="O1155" s="104" t="s">
        <v>615</v>
      </c>
      <c r="P1155" s="67"/>
      <c r="R1155" s="102" t="s">
        <v>1182</v>
      </c>
      <c r="AA1155">
        <v>85.061000000000007</v>
      </c>
      <c r="AB1155">
        <f>B1153*D1153+B1154*D1154+AA1155*D1155+AA1156*D1156+AA1157*D1157</f>
        <v>52.773066581999998</v>
      </c>
    </row>
    <row r="1156" spans="1:30" x14ac:dyDescent="0.2">
      <c r="A1156" s="89" t="s">
        <v>617</v>
      </c>
      <c r="B1156" s="90">
        <f>IF($P$1155&lt;&gt;"",ROUND(AA1156*(($AB$1155/(1-$P$1155))-25.9)/34.3931,2),IF('Resumen 2.0TD'!$D$3="OPTIMIZAR",ROUND(MAX(AA1156,MIN(AA1156*(($AB$1155/(1-'Resumen 2.0TD'!$F$3))-25.9)/34.3931,AA1156*(109.6478)/34.3931)),3),AA1156))</f>
        <v>89.825000000000003</v>
      </c>
      <c r="C1156" s="103"/>
      <c r="D1156" s="92">
        <v>0.11117100000000001</v>
      </c>
      <c r="E1156" s="93">
        <v>0.13788</v>
      </c>
      <c r="F1156" s="94">
        <f t="shared" si="198"/>
        <v>12.39</v>
      </c>
      <c r="H1156" s="95">
        <v>152.43600000000001</v>
      </c>
      <c r="I1156" s="96">
        <v>0.13788</v>
      </c>
      <c r="J1156" s="97">
        <f t="shared" si="199"/>
        <v>21.02</v>
      </c>
      <c r="L1156" s="98">
        <v>85.76</v>
      </c>
      <c r="M1156" s="99">
        <v>0.13788</v>
      </c>
      <c r="N1156" s="100">
        <f t="shared" si="200"/>
        <v>11.82</v>
      </c>
      <c r="O1156" s="105" t="s">
        <v>618</v>
      </c>
      <c r="R1156" s="102" t="s">
        <v>619</v>
      </c>
      <c r="AA1156">
        <v>62.423999999999999</v>
      </c>
    </row>
    <row r="1157" spans="1:30" x14ac:dyDescent="0.2">
      <c r="A1157" s="89" t="s">
        <v>620</v>
      </c>
      <c r="B1157" s="90">
        <f>IF($P$1155&lt;&gt;"",ROUND(AA1157*(($AB$1155/(1-$P$1155))-25.9)/34.3931,2),IF('Resumen 2.0TD'!$D$3="OPTIMIZAR",ROUND(MAX(AA1157,MIN(AA1157*(($AB$1155/(1-'Resumen 2.0TD'!$F$3))-25.9)/34.3931,AA1157*(109.6478)/34.3931)),3),AA1157))</f>
        <v>146.71100000000001</v>
      </c>
      <c r="C1157" s="103"/>
      <c r="D1157" s="92">
        <v>0.11117100000000001</v>
      </c>
      <c r="E1157" s="93">
        <v>0.13788</v>
      </c>
      <c r="F1157" s="94">
        <f t="shared" si="198"/>
        <v>20.23</v>
      </c>
      <c r="H1157" s="95">
        <v>214.46100000000001</v>
      </c>
      <c r="I1157" s="96">
        <v>0.13788</v>
      </c>
      <c r="J1157" s="97">
        <f t="shared" si="199"/>
        <v>29.57</v>
      </c>
      <c r="L1157" s="98">
        <v>133.27699999999999</v>
      </c>
      <c r="M1157" s="99">
        <v>0.13788</v>
      </c>
      <c r="N1157" s="100">
        <f t="shared" si="200"/>
        <v>18.38</v>
      </c>
      <c r="O1157" s="105" t="s">
        <v>621</v>
      </c>
      <c r="AA1157">
        <v>101.95699999999999</v>
      </c>
    </row>
    <row r="1158" spans="1:30" x14ac:dyDescent="0.2">
      <c r="A1158" s="89" t="s">
        <v>139</v>
      </c>
      <c r="B1158" s="90">
        <v>1</v>
      </c>
      <c r="C1158" s="91">
        <f>$N$1150-$L$1150+1</f>
        <v>30</v>
      </c>
      <c r="D1158" s="92">
        <v>0.79890000000000005</v>
      </c>
      <c r="E1158" s="93">
        <v>3</v>
      </c>
      <c r="F1158" s="94">
        <f t="shared" si="198"/>
        <v>3</v>
      </c>
      <c r="H1158" s="95">
        <v>1</v>
      </c>
      <c r="I1158" s="96">
        <v>3</v>
      </c>
      <c r="J1158" s="97">
        <f t="shared" si="199"/>
        <v>3</v>
      </c>
      <c r="L1158" s="98">
        <v>1</v>
      </c>
      <c r="M1158" s="99">
        <v>3</v>
      </c>
      <c r="N1158" s="100">
        <f t="shared" si="200"/>
        <v>3</v>
      </c>
    </row>
    <row r="1159" spans="1:30" x14ac:dyDescent="0.2">
      <c r="A1159" s="89" t="s">
        <v>140</v>
      </c>
      <c r="B1159" s="90">
        <v>30</v>
      </c>
      <c r="C1159" s="91">
        <f>$N$1150-$L$1150+1</f>
        <v>30</v>
      </c>
      <c r="D1159" s="92">
        <v>0.5736</v>
      </c>
      <c r="E1159" s="93">
        <v>1.274E-2</v>
      </c>
      <c r="F1159" s="94">
        <f t="shared" si="198"/>
        <v>0.38</v>
      </c>
      <c r="H1159" s="95">
        <v>30</v>
      </c>
      <c r="I1159" s="96">
        <v>1.274E-2</v>
      </c>
      <c r="J1159" s="97">
        <f t="shared" si="199"/>
        <v>0.38</v>
      </c>
      <c r="L1159" s="98">
        <v>30</v>
      </c>
      <c r="M1159" s="99">
        <v>6.2899999999999996E-3</v>
      </c>
      <c r="N1159" s="100">
        <f t="shared" si="200"/>
        <v>0.19</v>
      </c>
    </row>
    <row r="1160" spans="1:30" x14ac:dyDescent="0.2">
      <c r="A1160" s="89" t="s">
        <v>141</v>
      </c>
      <c r="B1160" s="90">
        <v>3.09</v>
      </c>
      <c r="C1160" s="103"/>
      <c r="D1160" s="92">
        <v>0.27311999999999997</v>
      </c>
      <c r="E1160" s="93">
        <v>1</v>
      </c>
      <c r="F1160" s="94">
        <f t="shared" si="198"/>
        <v>3.09</v>
      </c>
      <c r="H1160" s="95">
        <v>5.25</v>
      </c>
      <c r="I1160" s="96">
        <v>1</v>
      </c>
      <c r="J1160" s="97">
        <f t="shared" si="199"/>
        <v>5.25</v>
      </c>
      <c r="L1160" s="98">
        <v>3.56</v>
      </c>
      <c r="M1160" s="99">
        <v>1</v>
      </c>
      <c r="N1160" s="100">
        <f t="shared" si="200"/>
        <v>3.56</v>
      </c>
    </row>
    <row r="1161" spans="1:30" x14ac:dyDescent="0.2">
      <c r="A1161" s="106" t="s">
        <v>142</v>
      </c>
      <c r="F1161" s="107">
        <f>ROUND((SUM(F1153:F1160)-F1160)*1.1+F1160,2)</f>
        <v>89.75</v>
      </c>
      <c r="J1161" s="108">
        <f>ROUND(SUM(J1153:J1160),2)</f>
        <v>111.2</v>
      </c>
      <c r="N1161" s="109">
        <f>ROUND(SUM(N1153:N1160),2)</f>
        <v>76.2</v>
      </c>
    </row>
    <row r="1162" spans="1:30" x14ac:dyDescent="0.2">
      <c r="A1162" s="78" t="s">
        <v>143</v>
      </c>
      <c r="B1162" s="110">
        <f>IF((F1157+F1156+F1155+F1153+F1154)=0,"",((F1157+F1156+F1155+F1153+F1154)-$AB$1155)/(F1157+F1156+F1155+F1153+F1154))</f>
        <v>0.30009195514588866</v>
      </c>
      <c r="D1162" s="139" t="str">
        <f>IF(B1162="","SIN PC",IF(B1162&gt;=0.3,"APROBAR",IF(B1162&gt;=0.2,"REVISAR","RECHAZAR")))</f>
        <v>APROBAR</v>
      </c>
      <c r="E1162" s="139"/>
      <c r="F1162" s="139"/>
      <c r="AD1162">
        <f>SUM(F1155:F1157)-34.3931</f>
        <v>15.106900000000003</v>
      </c>
    </row>
    <row r="1164" spans="1:30" x14ac:dyDescent="0.2">
      <c r="A1164" s="137" t="s">
        <v>1183</v>
      </c>
      <c r="B1164" s="137"/>
      <c r="C1164" s="137"/>
      <c r="D1164" s="137"/>
      <c r="E1164" s="137"/>
      <c r="F1164" s="137"/>
      <c r="H1164" s="137" t="s">
        <v>1184</v>
      </c>
      <c r="I1164" s="137"/>
      <c r="J1164" s="137"/>
      <c r="K1164" s="137"/>
      <c r="L1164" s="76">
        <v>46113</v>
      </c>
      <c r="M1164" s="77" t="s">
        <v>607</v>
      </c>
      <c r="N1164" s="76">
        <v>46142</v>
      </c>
      <c r="R1164" s="138" t="s">
        <v>110</v>
      </c>
      <c r="S1164" s="138"/>
      <c r="T1164" s="138"/>
      <c r="U1164" s="138"/>
      <c r="V1164" s="138"/>
    </row>
    <row r="1165" spans="1:30" x14ac:dyDescent="0.2">
      <c r="A1165" s="78" t="s">
        <v>111</v>
      </c>
      <c r="B1165" s="79" t="s">
        <v>112</v>
      </c>
      <c r="C1165" s="80"/>
      <c r="D1165" s="80"/>
      <c r="E1165" s="80"/>
      <c r="F1165" s="80"/>
      <c r="H1165" s="81" t="s">
        <v>1185</v>
      </c>
      <c r="I1165" s="82"/>
      <c r="J1165" s="82"/>
      <c r="L1165" s="83" t="s">
        <v>1186</v>
      </c>
      <c r="M1165" s="84"/>
      <c r="N1165" s="84"/>
      <c r="R1165" s="85" t="s">
        <v>1187</v>
      </c>
    </row>
    <row r="1166" spans="1:30" x14ac:dyDescent="0.2">
      <c r="B1166" s="68" t="s">
        <v>116</v>
      </c>
      <c r="C1166" s="68" t="s">
        <v>117</v>
      </c>
      <c r="D1166" s="68" t="s">
        <v>118</v>
      </c>
      <c r="E1166" s="68" t="s">
        <v>119</v>
      </c>
      <c r="F1166" s="68" t="s">
        <v>120</v>
      </c>
      <c r="H1166" s="86" t="s">
        <v>116</v>
      </c>
      <c r="I1166" s="86" t="s">
        <v>119</v>
      </c>
      <c r="J1166" s="86" t="s">
        <v>120</v>
      </c>
      <c r="L1166" s="87" t="s">
        <v>116</v>
      </c>
      <c r="M1166" s="87" t="s">
        <v>119</v>
      </c>
      <c r="N1166" s="87" t="s">
        <v>120</v>
      </c>
      <c r="R1166" s="88" t="s">
        <v>1188</v>
      </c>
    </row>
    <row r="1167" spans="1:30" x14ac:dyDescent="0.2">
      <c r="A1167" s="89" t="s">
        <v>122</v>
      </c>
      <c r="B1167" s="90">
        <v>5.75</v>
      </c>
      <c r="C1167" s="91">
        <f>$N$1164-$L$1164+1</f>
        <v>30</v>
      </c>
      <c r="D1167" s="92">
        <v>3.4085999999999999</v>
      </c>
      <c r="E1167" s="93">
        <v>3.85</v>
      </c>
      <c r="F1167" s="94">
        <f t="shared" ref="F1167:F1174" si="201">ROUND(B1167*E1167,2)</f>
        <v>22.14</v>
      </c>
      <c r="H1167" s="95">
        <v>5.75</v>
      </c>
      <c r="I1167" s="96">
        <v>3.85</v>
      </c>
      <c r="J1167" s="97">
        <f t="shared" ref="J1167:J1174" si="202">ROUND(H1167*I1167,2)</f>
        <v>22.14</v>
      </c>
      <c r="L1167" s="98">
        <v>5.75</v>
      </c>
      <c r="M1167" s="99">
        <v>3.85</v>
      </c>
      <c r="N1167" s="100">
        <f t="shared" ref="N1167:N1174" si="203">ROUND(L1167*M1167,2)</f>
        <v>22.14</v>
      </c>
      <c r="R1167" s="101" t="s">
        <v>1189</v>
      </c>
    </row>
    <row r="1168" spans="1:30" x14ac:dyDescent="0.2">
      <c r="A1168" s="89" t="s">
        <v>124</v>
      </c>
      <c r="B1168" s="90">
        <v>5.75</v>
      </c>
      <c r="C1168" s="91">
        <f>$N$1164-$L$1164+1</f>
        <v>30</v>
      </c>
      <c r="D1168" s="92">
        <v>1.09728</v>
      </c>
      <c r="E1168" s="93">
        <v>1.33</v>
      </c>
      <c r="F1168" s="94">
        <f t="shared" si="201"/>
        <v>7.65</v>
      </c>
      <c r="H1168" s="95">
        <v>5.75</v>
      </c>
      <c r="I1168" s="96">
        <v>1.33</v>
      </c>
      <c r="J1168" s="97">
        <f t="shared" si="202"/>
        <v>7.65</v>
      </c>
      <c r="L1168" s="98">
        <v>5.75</v>
      </c>
      <c r="M1168" s="99">
        <v>1.33</v>
      </c>
      <c r="N1168" s="100">
        <f t="shared" si="203"/>
        <v>7.65</v>
      </c>
      <c r="R1168" s="102" t="s">
        <v>1190</v>
      </c>
    </row>
    <row r="1169" spans="1:30" x14ac:dyDescent="0.2">
      <c r="A1169" s="89" t="s">
        <v>614</v>
      </c>
      <c r="B1169" s="90">
        <f>IF($P$1169&lt;&gt;"",ROUND(AA1169*(($AB$1169/(1-$P$1169))-29.785)/66.9687,2),IF('Resumen 2.0TD'!$D$3="OPTIMIZAR",ROUND(MAX(AA1169,MIN(AA1169*(($AB$1169/(1-'Resumen 2.0TD'!$F$3))-29.785)/66.9687,AA1169*(103.4428)/66.9687)),3),AA1169))</f>
        <v>246.191</v>
      </c>
      <c r="C1169" s="103"/>
      <c r="D1169" s="92">
        <v>0.110306</v>
      </c>
      <c r="E1169" s="93">
        <v>0.13788</v>
      </c>
      <c r="F1169" s="94">
        <f t="shared" si="201"/>
        <v>33.94</v>
      </c>
      <c r="H1169" s="95">
        <v>150.9</v>
      </c>
      <c r="I1169" s="96">
        <v>0.13788</v>
      </c>
      <c r="J1169" s="97">
        <f t="shared" si="202"/>
        <v>20.81</v>
      </c>
      <c r="L1169" s="98">
        <v>100.464</v>
      </c>
      <c r="M1169" s="99">
        <v>0.13788</v>
      </c>
      <c r="N1169" s="100">
        <f t="shared" si="203"/>
        <v>13.85</v>
      </c>
      <c r="O1169" s="104" t="s">
        <v>615</v>
      </c>
      <c r="P1169" s="67"/>
      <c r="R1169" s="102" t="s">
        <v>1191</v>
      </c>
      <c r="AA1169">
        <v>196.82599999999999</v>
      </c>
      <c r="AB1169">
        <f>B1167*D1167+B1168*D1168+AA1169*D1169+AA1170*D1170+AA1171*D1171</f>
        <v>79.484765117999999</v>
      </c>
    </row>
    <row r="1170" spans="1:30" x14ac:dyDescent="0.2">
      <c r="A1170" s="89" t="s">
        <v>617</v>
      </c>
      <c r="B1170" s="90">
        <f>IF($P$1169&lt;&gt;"",ROUND(AA1170*(($AB$1169/(1-$P$1169))-29.785)/66.9687,2),IF('Resumen 2.0TD'!$D$3="OPTIMIZAR",ROUND(MAX(AA1170,MIN(AA1170*(($AB$1169/(1-'Resumen 2.0TD'!$F$3))-29.785)/66.9687,AA1170*(103.4428)/66.9687)),3),AA1170))</f>
        <v>199.459</v>
      </c>
      <c r="C1170" s="103"/>
      <c r="D1170" s="92">
        <v>0.110306</v>
      </c>
      <c r="E1170" s="93">
        <v>0.13788</v>
      </c>
      <c r="F1170" s="94">
        <f t="shared" si="201"/>
        <v>27.5</v>
      </c>
      <c r="H1170" s="95">
        <v>131.44399999999999</v>
      </c>
      <c r="I1170" s="96">
        <v>0.13788</v>
      </c>
      <c r="J1170" s="97">
        <f t="shared" si="202"/>
        <v>18.12</v>
      </c>
      <c r="L1170" s="98">
        <v>110.913</v>
      </c>
      <c r="M1170" s="99">
        <v>0.13788</v>
      </c>
      <c r="N1170" s="100">
        <f t="shared" si="203"/>
        <v>15.29</v>
      </c>
      <c r="O1170" s="105" t="s">
        <v>618</v>
      </c>
      <c r="R1170" s="102" t="s">
        <v>619</v>
      </c>
      <c r="AA1170">
        <v>159.465</v>
      </c>
    </row>
    <row r="1171" spans="1:30" x14ac:dyDescent="0.2">
      <c r="A1171" s="89" t="s">
        <v>620</v>
      </c>
      <c r="B1171" s="90">
        <f>IF($P$1169&lt;&gt;"",ROUND(AA1171*(($AB$1169/(1-$P$1169))-29.785)/66.9687,2),IF('Resumen 2.0TD'!$D$3="OPTIMIZAR",ROUND(MAX(AA1171,MIN(AA1171*(($AB$1169/(1-'Resumen 2.0TD'!$F$3))-29.785)/66.9687,AA1171*(103.4428)/66.9687)),3),AA1171))</f>
        <v>161.869</v>
      </c>
      <c r="C1171" s="103"/>
      <c r="D1171" s="92">
        <v>0.110306</v>
      </c>
      <c r="E1171" s="93">
        <v>0.13788</v>
      </c>
      <c r="F1171" s="94">
        <f t="shared" si="201"/>
        <v>22.32</v>
      </c>
      <c r="H1171" s="95">
        <v>113.935</v>
      </c>
      <c r="I1171" s="96">
        <v>0.13788</v>
      </c>
      <c r="J1171" s="97">
        <f t="shared" si="202"/>
        <v>15.71</v>
      </c>
      <c r="L1171" s="98">
        <v>133.101</v>
      </c>
      <c r="M1171" s="99">
        <v>0.13788</v>
      </c>
      <c r="N1171" s="100">
        <f t="shared" si="203"/>
        <v>18.350000000000001</v>
      </c>
      <c r="O1171" s="105" t="s">
        <v>621</v>
      </c>
      <c r="AA1171">
        <v>129.41200000000001</v>
      </c>
    </row>
    <row r="1172" spans="1:30" x14ac:dyDescent="0.2">
      <c r="A1172" s="89" t="s">
        <v>139</v>
      </c>
      <c r="B1172" s="90">
        <v>1</v>
      </c>
      <c r="C1172" s="91">
        <f>$N$1164-$L$1164+1</f>
        <v>30</v>
      </c>
      <c r="D1172" s="92">
        <v>0.79890000000000005</v>
      </c>
      <c r="E1172" s="93">
        <v>3</v>
      </c>
      <c r="F1172" s="94">
        <f t="shared" si="201"/>
        <v>3</v>
      </c>
      <c r="H1172" s="95">
        <v>1</v>
      </c>
      <c r="I1172" s="96">
        <v>3</v>
      </c>
      <c r="J1172" s="97">
        <f t="shared" si="202"/>
        <v>3</v>
      </c>
      <c r="L1172" s="98">
        <v>1</v>
      </c>
      <c r="M1172" s="99">
        <v>3</v>
      </c>
      <c r="N1172" s="100">
        <f t="shared" si="203"/>
        <v>3</v>
      </c>
    </row>
    <row r="1173" spans="1:30" x14ac:dyDescent="0.2">
      <c r="A1173" s="89" t="s">
        <v>140</v>
      </c>
      <c r="B1173" s="90">
        <v>30</v>
      </c>
      <c r="C1173" s="91">
        <f>$N$1164-$L$1164+1</f>
        <v>30</v>
      </c>
      <c r="D1173" s="92">
        <v>0.5736</v>
      </c>
      <c r="E1173" s="93">
        <v>1.274E-2</v>
      </c>
      <c r="F1173" s="94">
        <f t="shared" si="201"/>
        <v>0.38</v>
      </c>
      <c r="H1173" s="95">
        <v>30</v>
      </c>
      <c r="I1173" s="96">
        <v>1.274E-2</v>
      </c>
      <c r="J1173" s="97">
        <f t="shared" si="202"/>
        <v>0.38</v>
      </c>
      <c r="L1173" s="98">
        <v>30</v>
      </c>
      <c r="M1173" s="99">
        <v>6.2899999999999996E-3</v>
      </c>
      <c r="N1173" s="100">
        <f t="shared" si="203"/>
        <v>0.19</v>
      </c>
    </row>
    <row r="1174" spans="1:30" x14ac:dyDescent="0.2">
      <c r="A1174" s="89" t="s">
        <v>141</v>
      </c>
      <c r="B1174" s="90">
        <v>4.95</v>
      </c>
      <c r="C1174" s="103"/>
      <c r="D1174" s="92">
        <v>0.24729000000000001</v>
      </c>
      <c r="E1174" s="93">
        <v>1</v>
      </c>
      <c r="F1174" s="94">
        <f t="shared" si="201"/>
        <v>4.95</v>
      </c>
      <c r="H1174" s="95">
        <v>4.32</v>
      </c>
      <c r="I1174" s="96">
        <v>1</v>
      </c>
      <c r="J1174" s="97">
        <f t="shared" si="202"/>
        <v>4.32</v>
      </c>
      <c r="L1174" s="98">
        <v>3.96</v>
      </c>
      <c r="M1174" s="99">
        <v>1</v>
      </c>
      <c r="N1174" s="100">
        <f t="shared" si="203"/>
        <v>3.96</v>
      </c>
    </row>
    <row r="1175" spans="1:30" x14ac:dyDescent="0.2">
      <c r="A1175" s="106" t="s">
        <v>142</v>
      </c>
      <c r="F1175" s="107">
        <f>ROUND((SUM(F1167:F1174)-F1174)*1.1+F1174,2)</f>
        <v>133.57</v>
      </c>
      <c r="J1175" s="108">
        <f>ROUND(SUM(J1167:J1174),2)</f>
        <v>92.13</v>
      </c>
      <c r="N1175" s="109">
        <f>ROUND(SUM(N1167:N1174),2)</f>
        <v>84.43</v>
      </c>
    </row>
    <row r="1176" spans="1:30" x14ac:dyDescent="0.2">
      <c r="A1176" s="78" t="s">
        <v>143</v>
      </c>
      <c r="B1176" s="110">
        <f>IF((F1171+F1170+F1169+F1167+F1168)=0,"",((F1171+F1170+F1169+F1167+F1168)-$AB$1169)/(F1171+F1170+F1169+F1167+F1168))</f>
        <v>0.30000206853368561</v>
      </c>
      <c r="D1176" s="139" t="str">
        <f>IF(B1176="","SIN PC",IF(B1176&gt;=0.3,"APROBAR",IF(B1176&gt;=0.2,"REVISAR","RECHAZAR")))</f>
        <v>APROBAR</v>
      </c>
      <c r="E1176" s="139"/>
      <c r="F1176" s="139"/>
      <c r="AD1176">
        <f>SUM(F1169:F1171)-66.9687</f>
        <v>16.791299999999993</v>
      </c>
    </row>
    <row r="1178" spans="1:30" x14ac:dyDescent="0.2">
      <c r="A1178" s="137" t="s">
        <v>1192</v>
      </c>
      <c r="B1178" s="137"/>
      <c r="C1178" s="137"/>
      <c r="D1178" s="137"/>
      <c r="E1178" s="137"/>
      <c r="F1178" s="137"/>
      <c r="H1178" s="137" t="s">
        <v>785</v>
      </c>
      <c r="I1178" s="137"/>
      <c r="J1178" s="137"/>
      <c r="K1178" s="137"/>
      <c r="L1178" s="76">
        <v>46113</v>
      </c>
      <c r="M1178" s="77" t="s">
        <v>607</v>
      </c>
      <c r="N1178" s="76">
        <v>46142</v>
      </c>
      <c r="R1178" s="138" t="s">
        <v>110</v>
      </c>
      <c r="S1178" s="138"/>
      <c r="T1178" s="138"/>
      <c r="U1178" s="138"/>
      <c r="V1178" s="138"/>
    </row>
    <row r="1179" spans="1:30" x14ac:dyDescent="0.2">
      <c r="A1179" s="78" t="s">
        <v>111</v>
      </c>
      <c r="B1179" s="79" t="s">
        <v>112</v>
      </c>
      <c r="C1179" s="80"/>
      <c r="D1179" s="80"/>
      <c r="E1179" s="80"/>
      <c r="F1179" s="80"/>
      <c r="H1179" s="81" t="s">
        <v>786</v>
      </c>
      <c r="I1179" s="82"/>
      <c r="J1179" s="82"/>
      <c r="L1179" s="83" t="s">
        <v>787</v>
      </c>
      <c r="M1179" s="84"/>
      <c r="N1179" s="84"/>
      <c r="R1179" s="85" t="s">
        <v>788</v>
      </c>
    </row>
    <row r="1180" spans="1:30" x14ac:dyDescent="0.2">
      <c r="B1180" s="68" t="s">
        <v>116</v>
      </c>
      <c r="C1180" s="68" t="s">
        <v>117</v>
      </c>
      <c r="D1180" s="68" t="s">
        <v>118</v>
      </c>
      <c r="E1180" s="68" t="s">
        <v>119</v>
      </c>
      <c r="F1180" s="68" t="s">
        <v>120</v>
      </c>
      <c r="H1180" s="86" t="s">
        <v>116</v>
      </c>
      <c r="I1180" s="86" t="s">
        <v>119</v>
      </c>
      <c r="J1180" s="86" t="s">
        <v>120</v>
      </c>
      <c r="L1180" s="87" t="s">
        <v>116</v>
      </c>
      <c r="M1180" s="87" t="s">
        <v>119</v>
      </c>
      <c r="N1180" s="87" t="s">
        <v>120</v>
      </c>
      <c r="R1180" s="88" t="s">
        <v>789</v>
      </c>
    </row>
    <row r="1181" spans="1:30" x14ac:dyDescent="0.2">
      <c r="A1181" s="89" t="s">
        <v>122</v>
      </c>
      <c r="B1181" s="90">
        <v>5.75</v>
      </c>
      <c r="C1181" s="91">
        <f>$N$1178-$L$1178+1</f>
        <v>30</v>
      </c>
      <c r="D1181" s="92">
        <v>3.68919</v>
      </c>
      <c r="E1181" s="93">
        <v>4.82</v>
      </c>
      <c r="F1181" s="94">
        <f t="shared" ref="F1181:F1188" si="204">ROUND(B1181*E1181,2)</f>
        <v>27.72</v>
      </c>
      <c r="H1181" s="95">
        <v>5.75</v>
      </c>
      <c r="I1181" s="96">
        <v>4.82</v>
      </c>
      <c r="J1181" s="97">
        <f t="shared" ref="J1181:J1188" si="205">ROUND(H1181*I1181,2)</f>
        <v>27.72</v>
      </c>
      <c r="L1181" s="98">
        <v>5.75</v>
      </c>
      <c r="M1181" s="99">
        <v>4.82</v>
      </c>
      <c r="N1181" s="100">
        <f t="shared" ref="N1181:N1188" si="206">ROUND(L1181*M1181,2)</f>
        <v>27.72</v>
      </c>
      <c r="R1181" s="101" t="s">
        <v>790</v>
      </c>
    </row>
    <row r="1182" spans="1:30" x14ac:dyDescent="0.2">
      <c r="A1182" s="89" t="s">
        <v>124</v>
      </c>
      <c r="B1182" s="90">
        <v>5.75</v>
      </c>
      <c r="C1182" s="91">
        <f>$N$1178-$L$1178+1</f>
        <v>30</v>
      </c>
      <c r="D1182" s="92">
        <v>1.31928</v>
      </c>
      <c r="E1182" s="93">
        <v>2.3744000000000001</v>
      </c>
      <c r="F1182" s="94">
        <f t="shared" si="204"/>
        <v>13.65</v>
      </c>
      <c r="H1182" s="95">
        <v>5.75</v>
      </c>
      <c r="I1182" s="96">
        <v>2.3744000000000001</v>
      </c>
      <c r="J1182" s="97">
        <f t="shared" si="205"/>
        <v>13.65</v>
      </c>
      <c r="L1182" s="98">
        <v>5.75</v>
      </c>
      <c r="M1182" s="99">
        <v>2.3744000000000001</v>
      </c>
      <c r="N1182" s="100">
        <f t="shared" si="206"/>
        <v>13.65</v>
      </c>
      <c r="R1182" s="102" t="s">
        <v>791</v>
      </c>
    </row>
    <row r="1183" spans="1:30" x14ac:dyDescent="0.2">
      <c r="A1183" s="89" t="s">
        <v>614</v>
      </c>
      <c r="B1183" s="90">
        <f>IF($P$1183&lt;&gt;"",ROUND(AA1183*(($AB$1183/(1-$P$1183))-41.3678)/22.5019,2),IF('Resumen 2.0TD'!$D$3="OPTIMIZAR",ROUND(MAX(AA1183,MIN(AA1183*(($AB$1183/(1-'Resumen 2.0TD'!$F$3))-41.3678)/22.5019,AA1183*(112.17)/22.5019)),3),AA1183))</f>
        <v>58.122999999999998</v>
      </c>
      <c r="C1183" s="103"/>
      <c r="D1183" s="92">
        <v>0.11117100000000001</v>
      </c>
      <c r="E1183" s="93">
        <v>0.13900000000000001</v>
      </c>
      <c r="F1183" s="94">
        <f t="shared" si="204"/>
        <v>8.08</v>
      </c>
      <c r="H1183" s="95">
        <v>44.942999999999998</v>
      </c>
      <c r="I1183" s="96">
        <v>0.13900000000000001</v>
      </c>
      <c r="J1183" s="97">
        <f t="shared" si="205"/>
        <v>6.25</v>
      </c>
      <c r="L1183" s="98">
        <v>55.127000000000002</v>
      </c>
      <c r="M1183" s="99">
        <v>0.1724</v>
      </c>
      <c r="N1183" s="100">
        <f t="shared" si="206"/>
        <v>9.5</v>
      </c>
      <c r="O1183" s="104" t="s">
        <v>615</v>
      </c>
      <c r="P1183" s="67"/>
      <c r="R1183" s="102" t="s">
        <v>792</v>
      </c>
      <c r="AA1183">
        <v>51.323999999999998</v>
      </c>
      <c r="AB1183">
        <f>B1181*D1181+B1182*D1182+AA1183*D1183+AA1184*D1184+AA1185*D1185</f>
        <v>46.795508664000003</v>
      </c>
    </row>
    <row r="1184" spans="1:30" x14ac:dyDescent="0.2">
      <c r="A1184" s="89" t="s">
        <v>617</v>
      </c>
      <c r="B1184" s="90">
        <f>IF($P$1183&lt;&gt;"",ROUND(AA1184*(($AB$1183/(1-$P$1183))-41.3678)/22.5019,2),IF('Resumen 2.0TD'!$D$3="OPTIMIZAR",ROUND(MAX(AA1184,MIN(AA1184*(($AB$1183/(1-'Resumen 2.0TD'!$F$3))-41.3678)/22.5019,AA1184*(112.17)/22.5019)),3),AA1184))</f>
        <v>24.545000000000002</v>
      </c>
      <c r="C1184" s="103"/>
      <c r="D1184" s="92">
        <v>0.11117100000000001</v>
      </c>
      <c r="E1184" s="93">
        <v>0.13900000000000001</v>
      </c>
      <c r="F1184" s="94">
        <f t="shared" si="204"/>
        <v>3.41</v>
      </c>
      <c r="H1184" s="95">
        <v>24.242999999999999</v>
      </c>
      <c r="I1184" s="96">
        <v>0.13900000000000001</v>
      </c>
      <c r="J1184" s="97">
        <f t="shared" si="205"/>
        <v>3.37</v>
      </c>
      <c r="L1184" s="98">
        <v>55.993000000000002</v>
      </c>
      <c r="M1184" s="99">
        <v>0.1724</v>
      </c>
      <c r="N1184" s="100">
        <f t="shared" si="206"/>
        <v>9.65</v>
      </c>
      <c r="O1184" s="105" t="s">
        <v>618</v>
      </c>
      <c r="R1184" s="102" t="s">
        <v>619</v>
      </c>
      <c r="AA1184">
        <v>21.673999999999999</v>
      </c>
    </row>
    <row r="1185" spans="1:30" x14ac:dyDescent="0.2">
      <c r="A1185" s="89" t="s">
        <v>620</v>
      </c>
      <c r="B1185" s="90">
        <f>IF($P$1183&lt;&gt;"",ROUND(AA1185*(($AB$1183/(1-$P$1183))-41.3678)/22.5019,2),IF('Resumen 2.0TD'!$D$3="OPTIMIZAR",ROUND(MAX(AA1185,MIN(AA1185*(($AB$1183/(1-'Resumen 2.0TD'!$F$3))-41.3678)/22.5019,AA1185*(112.17)/22.5019)),3),AA1185))</f>
        <v>100.66200000000001</v>
      </c>
      <c r="C1185" s="103"/>
      <c r="D1185" s="92">
        <v>0.11117100000000001</v>
      </c>
      <c r="E1185" s="93">
        <v>0.13900000000000001</v>
      </c>
      <c r="F1185" s="94">
        <f t="shared" si="204"/>
        <v>13.99</v>
      </c>
      <c r="H1185" s="95">
        <v>88.21</v>
      </c>
      <c r="I1185" s="96">
        <v>0.13900000000000001</v>
      </c>
      <c r="J1185" s="97">
        <f t="shared" si="205"/>
        <v>12.26</v>
      </c>
      <c r="L1185" s="98">
        <v>120.095</v>
      </c>
      <c r="M1185" s="99">
        <v>0.1724</v>
      </c>
      <c r="N1185" s="100">
        <f t="shared" si="206"/>
        <v>20.7</v>
      </c>
      <c r="O1185" s="105" t="s">
        <v>621</v>
      </c>
      <c r="AA1185">
        <v>88.885999999999996</v>
      </c>
    </row>
    <row r="1186" spans="1:30" x14ac:dyDescent="0.2">
      <c r="A1186" s="89" t="s">
        <v>139</v>
      </c>
      <c r="B1186" s="90">
        <v>1</v>
      </c>
      <c r="C1186" s="91">
        <f>$N$1178-$L$1178+1</f>
        <v>30</v>
      </c>
      <c r="D1186" s="92">
        <v>0.79890000000000005</v>
      </c>
      <c r="E1186" s="93">
        <v>6</v>
      </c>
      <c r="F1186" s="94">
        <f t="shared" si="204"/>
        <v>6</v>
      </c>
      <c r="H1186" s="95">
        <v>1</v>
      </c>
      <c r="I1186" s="96">
        <v>6</v>
      </c>
      <c r="J1186" s="97">
        <f t="shared" si="205"/>
        <v>6</v>
      </c>
      <c r="L1186" s="98">
        <v>1</v>
      </c>
      <c r="M1186" s="99">
        <v>6</v>
      </c>
      <c r="N1186" s="100">
        <f t="shared" si="206"/>
        <v>6</v>
      </c>
    </row>
    <row r="1187" spans="1:30" x14ac:dyDescent="0.2">
      <c r="A1187" s="89" t="s">
        <v>140</v>
      </c>
      <c r="B1187" s="90">
        <v>30</v>
      </c>
      <c r="C1187" s="91">
        <f>$N$1178-$L$1178+1</f>
        <v>30</v>
      </c>
      <c r="D1187" s="92">
        <v>0.5736</v>
      </c>
      <c r="E1187" s="93">
        <v>1.274E-2</v>
      </c>
      <c r="F1187" s="94">
        <f t="shared" si="204"/>
        <v>0.38</v>
      </c>
      <c r="H1187" s="95">
        <v>30</v>
      </c>
      <c r="I1187" s="96">
        <v>1.274E-2</v>
      </c>
      <c r="J1187" s="97">
        <f t="shared" si="205"/>
        <v>0.38</v>
      </c>
      <c r="L1187" s="98">
        <v>30</v>
      </c>
      <c r="M1187" s="99">
        <v>6.2899999999999996E-3</v>
      </c>
      <c r="N1187" s="100">
        <f t="shared" si="206"/>
        <v>0.19</v>
      </c>
    </row>
    <row r="1188" spans="1:30" x14ac:dyDescent="0.2">
      <c r="A1188" s="89" t="s">
        <v>141</v>
      </c>
      <c r="B1188" s="90">
        <v>2.4</v>
      </c>
      <c r="C1188" s="103"/>
      <c r="D1188" s="92">
        <v>0.27311999999999997</v>
      </c>
      <c r="E1188" s="93">
        <v>1</v>
      </c>
      <c r="F1188" s="94">
        <f t="shared" si="204"/>
        <v>2.4</v>
      </c>
      <c r="H1188" s="95">
        <v>2.5299999999999998</v>
      </c>
      <c r="I1188" s="96">
        <v>1</v>
      </c>
      <c r="J1188" s="97">
        <f t="shared" si="205"/>
        <v>2.5299999999999998</v>
      </c>
      <c r="L1188" s="98">
        <v>3.33</v>
      </c>
      <c r="M1188" s="99">
        <v>1</v>
      </c>
      <c r="N1188" s="100">
        <f t="shared" si="206"/>
        <v>3.33</v>
      </c>
    </row>
    <row r="1189" spans="1:30" x14ac:dyDescent="0.2">
      <c r="A1189" s="106" t="s">
        <v>142</v>
      </c>
      <c r="F1189" s="107">
        <f>ROUND((SUM(F1181:F1188)-F1188)*1.1+F1188,2)</f>
        <v>82.95</v>
      </c>
      <c r="J1189" s="108">
        <f>ROUND(SUM(J1181:J1188),2)</f>
        <v>72.16</v>
      </c>
      <c r="N1189" s="109">
        <f>ROUND(SUM(N1181:N1188),2)</f>
        <v>90.74</v>
      </c>
    </row>
    <row r="1190" spans="1:30" x14ac:dyDescent="0.2">
      <c r="A1190" s="78" t="s">
        <v>143</v>
      </c>
      <c r="B1190" s="110">
        <f>IF((F1185+F1184+F1183+F1181+F1182)=0,"",((F1185+F1184+F1183+F1181+F1182)-$AB$1183)/(F1185+F1184+F1183+F1181+F1182))</f>
        <v>0.29999239096484659</v>
      </c>
      <c r="D1190" s="139" t="str">
        <f>IF(B1190="","SIN PC",IF(B1190&gt;=0.3,"APROBAR",IF(B1190&gt;=0.2,"REVISAR","RECHAZAR")))</f>
        <v>REVISAR</v>
      </c>
      <c r="E1190" s="139"/>
      <c r="F1190" s="139"/>
      <c r="AD1190">
        <f>SUM(F1183:F1185)-22.5019</f>
        <v>2.9781000000000013</v>
      </c>
    </row>
    <row r="1191" spans="1:30" x14ac:dyDescent="0.2">
      <c r="A1191" s="140" t="s">
        <v>743</v>
      </c>
      <c r="B1191" s="140"/>
      <c r="C1191" s="140"/>
      <c r="D1191" s="140"/>
      <c r="E1191" s="140"/>
      <c r="F1191" s="140"/>
    </row>
    <row r="1192" spans="1:30" x14ac:dyDescent="0.2">
      <c r="A1192" s="111" t="s">
        <v>111</v>
      </c>
      <c r="B1192" s="111" t="s">
        <v>744</v>
      </c>
      <c r="D1192" s="111" t="s">
        <v>745</v>
      </c>
      <c r="E1192" s="111" t="s">
        <v>746</v>
      </c>
      <c r="F1192" s="111" t="s">
        <v>120</v>
      </c>
    </row>
    <row r="1193" spans="1:30" x14ac:dyDescent="0.2">
      <c r="A1193" s="112" t="s">
        <v>747</v>
      </c>
      <c r="B1193" s="113">
        <v>524</v>
      </c>
      <c r="C1193" s="114"/>
      <c r="D1193" s="92">
        <v>0.06</v>
      </c>
      <c r="E1193" s="114"/>
      <c r="F1193" s="115">
        <f>ROUND(B1193*D1193,2)</f>
        <v>31.44</v>
      </c>
    </row>
    <row r="1194" spans="1:30" x14ac:dyDescent="0.2">
      <c r="A1194" s="112" t="s">
        <v>748</v>
      </c>
      <c r="B1194" s="114"/>
      <c r="C1194" s="114"/>
      <c r="D1194" s="114"/>
      <c r="E1194" s="116">
        <v>0.06</v>
      </c>
      <c r="F1194" s="115">
        <v>17.170000000000002</v>
      </c>
    </row>
    <row r="1195" spans="1:30" x14ac:dyDescent="0.2">
      <c r="A1195" s="117" t="s">
        <v>749</v>
      </c>
      <c r="B1195" s="114"/>
      <c r="C1195" s="114"/>
      <c r="D1195" s="114"/>
      <c r="E1195" s="114"/>
      <c r="F1195" s="118">
        <f>F1193-F1194</f>
        <v>14.27</v>
      </c>
    </row>
    <row r="1197" spans="1:30" x14ac:dyDescent="0.2">
      <c r="A1197" s="137" t="s">
        <v>1193</v>
      </c>
      <c r="B1197" s="137"/>
      <c r="C1197" s="137"/>
      <c r="D1197" s="137"/>
      <c r="E1197" s="137"/>
      <c r="F1197" s="137"/>
      <c r="H1197" s="137" t="s">
        <v>1194</v>
      </c>
      <c r="I1197" s="137"/>
      <c r="J1197" s="137"/>
      <c r="K1197" s="137"/>
      <c r="L1197" s="76">
        <v>46113</v>
      </c>
      <c r="M1197" s="77" t="s">
        <v>607</v>
      </c>
      <c r="N1197" s="76">
        <v>46142</v>
      </c>
      <c r="R1197" s="138" t="s">
        <v>110</v>
      </c>
      <c r="S1197" s="138"/>
      <c r="T1197" s="138"/>
      <c r="U1197" s="138"/>
      <c r="V1197" s="138"/>
    </row>
    <row r="1198" spans="1:30" x14ac:dyDescent="0.2">
      <c r="A1198" s="78" t="s">
        <v>111</v>
      </c>
      <c r="B1198" s="79" t="s">
        <v>112</v>
      </c>
      <c r="C1198" s="80"/>
      <c r="D1198" s="80"/>
      <c r="E1198" s="80"/>
      <c r="F1198" s="80"/>
      <c r="H1198" s="81" t="s">
        <v>1195</v>
      </c>
      <c r="I1198" s="82"/>
      <c r="J1198" s="82"/>
      <c r="L1198" s="83" t="s">
        <v>1196</v>
      </c>
      <c r="M1198" s="84"/>
      <c r="N1198" s="84"/>
      <c r="R1198" s="85" t="s">
        <v>1197</v>
      </c>
    </row>
    <row r="1199" spans="1:30" x14ac:dyDescent="0.2">
      <c r="B1199" s="68" t="s">
        <v>116</v>
      </c>
      <c r="C1199" s="68" t="s">
        <v>117</v>
      </c>
      <c r="D1199" s="68" t="s">
        <v>118</v>
      </c>
      <c r="E1199" s="68" t="s">
        <v>119</v>
      </c>
      <c r="F1199" s="68" t="s">
        <v>120</v>
      </c>
      <c r="H1199" s="86" t="s">
        <v>116</v>
      </c>
      <c r="I1199" s="86" t="s">
        <v>119</v>
      </c>
      <c r="J1199" s="86" t="s">
        <v>120</v>
      </c>
      <c r="L1199" s="87" t="s">
        <v>116</v>
      </c>
      <c r="M1199" s="87" t="s">
        <v>119</v>
      </c>
      <c r="N1199" s="87" t="s">
        <v>120</v>
      </c>
      <c r="R1199" s="88" t="s">
        <v>1198</v>
      </c>
    </row>
    <row r="1200" spans="1:30" x14ac:dyDescent="0.2">
      <c r="A1200" s="89" t="s">
        <v>122</v>
      </c>
      <c r="B1200" s="90">
        <v>5.75</v>
      </c>
      <c r="C1200" s="91">
        <f>$N$1197-$L$1197+1</f>
        <v>30</v>
      </c>
      <c r="D1200" s="92">
        <v>3.68919</v>
      </c>
      <c r="E1200" s="93">
        <v>4.17</v>
      </c>
      <c r="F1200" s="94">
        <f t="shared" ref="F1200:F1207" si="207">ROUND(B1200*E1200,2)</f>
        <v>23.98</v>
      </c>
      <c r="H1200" s="95">
        <v>5.75</v>
      </c>
      <c r="I1200" s="96">
        <v>4.17</v>
      </c>
      <c r="J1200" s="97">
        <f t="shared" ref="J1200:J1207" si="208">ROUND(H1200*I1200,2)</f>
        <v>23.98</v>
      </c>
      <c r="L1200" s="98">
        <v>5.75</v>
      </c>
      <c r="M1200" s="99">
        <v>4.17</v>
      </c>
      <c r="N1200" s="100">
        <f t="shared" ref="N1200:N1207" si="209">ROUND(L1200*M1200,2)</f>
        <v>23.98</v>
      </c>
      <c r="R1200" s="101" t="s">
        <v>1199</v>
      </c>
    </row>
    <row r="1201" spans="1:30" x14ac:dyDescent="0.2">
      <c r="A1201" s="89" t="s">
        <v>124</v>
      </c>
      <c r="B1201" s="90">
        <v>5.75</v>
      </c>
      <c r="C1201" s="91">
        <f>$N$1197-$L$1197+1</f>
        <v>30</v>
      </c>
      <c r="D1201" s="92">
        <v>1.31928</v>
      </c>
      <c r="E1201" s="93">
        <v>1.37</v>
      </c>
      <c r="F1201" s="94">
        <f t="shared" si="207"/>
        <v>7.88</v>
      </c>
      <c r="H1201" s="95">
        <v>5.75</v>
      </c>
      <c r="I1201" s="96">
        <v>1.37</v>
      </c>
      <c r="J1201" s="97">
        <f t="shared" si="208"/>
        <v>7.88</v>
      </c>
      <c r="L1201" s="98">
        <v>5.75</v>
      </c>
      <c r="M1201" s="99">
        <v>1.37</v>
      </c>
      <c r="N1201" s="100">
        <f t="shared" si="209"/>
        <v>7.88</v>
      </c>
      <c r="R1201" s="102" t="s">
        <v>1200</v>
      </c>
    </row>
    <row r="1202" spans="1:30" x14ac:dyDescent="0.2">
      <c r="A1202" s="89" t="s">
        <v>614</v>
      </c>
      <c r="B1202" s="90">
        <f>IF($P$1202&lt;&gt;"",ROUND(AA1202*(($AB$1202/(1-$P$1202))-31.855)/74.1698,2),IF('Resumen 2.0TD'!$D$3="OPTIMIZAR",ROUND(MAX(AA1202,MIN(AA1202*(($AB$1202/(1-'Resumen 2.0TD'!$F$3))-31.855)/74.1698,AA1202*(173.0728)/74.1698)),3),AA1202))</f>
        <v>273.286</v>
      </c>
      <c r="C1202" s="103"/>
      <c r="D1202" s="92">
        <v>0.11117100000000001</v>
      </c>
      <c r="E1202" s="93">
        <v>0.13500000000000001</v>
      </c>
      <c r="F1202" s="94">
        <f t="shared" si="207"/>
        <v>36.89</v>
      </c>
      <c r="H1202" s="95">
        <v>207.55600000000001</v>
      </c>
      <c r="I1202" s="96">
        <v>0.13900000000000001</v>
      </c>
      <c r="J1202" s="97">
        <f t="shared" si="208"/>
        <v>28.85</v>
      </c>
      <c r="L1202" s="98">
        <v>226.375</v>
      </c>
      <c r="M1202" s="99">
        <v>0.14937</v>
      </c>
      <c r="N1202" s="100">
        <f t="shared" si="209"/>
        <v>33.81</v>
      </c>
      <c r="O1202" s="104" t="s">
        <v>615</v>
      </c>
      <c r="P1202" s="67"/>
      <c r="R1202" s="102" t="s">
        <v>1201</v>
      </c>
      <c r="AA1202">
        <v>209.96</v>
      </c>
      <c r="AB1202">
        <f>B1200*D1200+B1201*D1201+AA1202*D1202+AA1203*D1203+AA1204*D1204</f>
        <v>89.876716926</v>
      </c>
    </row>
    <row r="1203" spans="1:30" x14ac:dyDescent="0.2">
      <c r="A1203" s="89" t="s">
        <v>617</v>
      </c>
      <c r="B1203" s="90">
        <f>IF($P$1202&lt;&gt;"",ROUND(AA1203*(($AB$1202/(1-$P$1202))-31.855)/74.1698,2),IF('Resumen 2.0TD'!$D$3="OPTIMIZAR",ROUND(MAX(AA1203,MIN(AA1203*(($AB$1202/(1-'Resumen 2.0TD'!$F$3))-31.855)/74.1698,AA1203*(173.0728)/74.1698)),3),AA1203))</f>
        <v>159.11600000000001</v>
      </c>
      <c r="C1203" s="103"/>
      <c r="D1203" s="92">
        <v>0.11117100000000001</v>
      </c>
      <c r="E1203" s="93">
        <v>0.13500000000000001</v>
      </c>
      <c r="F1203" s="94">
        <f t="shared" si="207"/>
        <v>21.48</v>
      </c>
      <c r="H1203" s="95">
        <v>169.31700000000001</v>
      </c>
      <c r="I1203" s="96">
        <v>0.13</v>
      </c>
      <c r="J1203" s="97">
        <f t="shared" si="208"/>
        <v>22.01</v>
      </c>
      <c r="L1203" s="98">
        <v>152.84299999999999</v>
      </c>
      <c r="M1203" s="99">
        <v>0.14937</v>
      </c>
      <c r="N1203" s="100">
        <f t="shared" si="209"/>
        <v>22.83</v>
      </c>
      <c r="O1203" s="105" t="s">
        <v>618</v>
      </c>
      <c r="R1203" s="102" t="s">
        <v>619</v>
      </c>
      <c r="AA1203">
        <v>122.245</v>
      </c>
    </row>
    <row r="1204" spans="1:30" x14ac:dyDescent="0.2">
      <c r="A1204" s="89" t="s">
        <v>620</v>
      </c>
      <c r="B1204" s="90">
        <f>IF($P$1202&lt;&gt;"",ROUND(AA1204*(($AB$1202/(1-$P$1202))-31.855)/74.1698,2),IF('Resumen 2.0TD'!$D$3="OPTIMIZAR",ROUND(MAX(AA1204,MIN(AA1204*(($AB$1202/(1-'Resumen 2.0TD'!$F$3))-31.855)/74.1698,AA1204*(173.0728)/74.1698)),3),AA1204))</f>
        <v>282.71100000000001</v>
      </c>
      <c r="C1204" s="103"/>
      <c r="D1204" s="92">
        <v>0.11117100000000001</v>
      </c>
      <c r="E1204" s="93">
        <v>0.13500000000000001</v>
      </c>
      <c r="F1204" s="94">
        <f t="shared" si="207"/>
        <v>38.17</v>
      </c>
      <c r="H1204" s="95">
        <v>245.327</v>
      </c>
      <c r="I1204" s="96">
        <v>0.13</v>
      </c>
      <c r="J1204" s="97">
        <f t="shared" si="208"/>
        <v>31.89</v>
      </c>
      <c r="L1204" s="98">
        <v>270.15800000000002</v>
      </c>
      <c r="M1204" s="99">
        <v>0.14937</v>
      </c>
      <c r="N1204" s="100">
        <f t="shared" si="209"/>
        <v>40.35</v>
      </c>
      <c r="O1204" s="105" t="s">
        <v>621</v>
      </c>
      <c r="AA1204">
        <v>217.20099999999999</v>
      </c>
    </row>
    <row r="1205" spans="1:30" x14ac:dyDescent="0.2">
      <c r="A1205" s="89" t="s">
        <v>139</v>
      </c>
      <c r="B1205" s="90">
        <v>1</v>
      </c>
      <c r="C1205" s="91">
        <f>$N$1197-$L$1197+1</f>
        <v>30</v>
      </c>
      <c r="D1205" s="92">
        <v>0.79890000000000005</v>
      </c>
      <c r="E1205" s="93">
        <v>4</v>
      </c>
      <c r="F1205" s="94">
        <f t="shared" si="207"/>
        <v>4</v>
      </c>
      <c r="H1205" s="95">
        <v>1</v>
      </c>
      <c r="I1205" s="96">
        <v>4</v>
      </c>
      <c r="J1205" s="97">
        <f t="shared" si="208"/>
        <v>4</v>
      </c>
      <c r="L1205" s="98">
        <v>1</v>
      </c>
      <c r="M1205" s="99">
        <v>4</v>
      </c>
      <c r="N1205" s="100">
        <f t="shared" si="209"/>
        <v>4</v>
      </c>
    </row>
    <row r="1206" spans="1:30" x14ac:dyDescent="0.2">
      <c r="A1206" s="89" t="s">
        <v>140</v>
      </c>
      <c r="B1206" s="90">
        <v>30</v>
      </c>
      <c r="C1206" s="91">
        <f>$N$1197-$L$1197+1</f>
        <v>30</v>
      </c>
      <c r="D1206" s="92">
        <v>0.5736</v>
      </c>
      <c r="E1206" s="93">
        <v>1.274E-2</v>
      </c>
      <c r="F1206" s="94">
        <f t="shared" si="207"/>
        <v>0.38</v>
      </c>
      <c r="H1206" s="95">
        <v>30</v>
      </c>
      <c r="I1206" s="96">
        <v>1.274E-2</v>
      </c>
      <c r="J1206" s="97">
        <f t="shared" si="208"/>
        <v>0.38</v>
      </c>
      <c r="L1206" s="98">
        <v>30</v>
      </c>
      <c r="M1206" s="99">
        <v>6.2899999999999996E-3</v>
      </c>
      <c r="N1206" s="100">
        <f t="shared" si="209"/>
        <v>0.19</v>
      </c>
    </row>
    <row r="1207" spans="1:30" x14ac:dyDescent="0.2">
      <c r="A1207" s="89" t="s">
        <v>141</v>
      </c>
      <c r="B1207" s="90">
        <v>5.83</v>
      </c>
      <c r="C1207" s="103"/>
      <c r="D1207" s="92">
        <v>0.27311999999999997</v>
      </c>
      <c r="E1207" s="93">
        <v>1</v>
      </c>
      <c r="F1207" s="94">
        <f t="shared" si="207"/>
        <v>5.83</v>
      </c>
      <c r="H1207" s="95">
        <v>6.4</v>
      </c>
      <c r="I1207" s="96">
        <v>1</v>
      </c>
      <c r="J1207" s="97">
        <f t="shared" si="208"/>
        <v>6.4</v>
      </c>
      <c r="L1207" s="98">
        <v>6.59</v>
      </c>
      <c r="M1207" s="99">
        <v>1</v>
      </c>
      <c r="N1207" s="100">
        <f t="shared" si="209"/>
        <v>6.59</v>
      </c>
    </row>
    <row r="1208" spans="1:30" x14ac:dyDescent="0.2">
      <c r="A1208" s="106" t="s">
        <v>142</v>
      </c>
      <c r="F1208" s="107">
        <f>ROUND((SUM(F1200:F1207)-F1207)*1.1+F1207,2)</f>
        <v>151.88999999999999</v>
      </c>
      <c r="J1208" s="108">
        <f>ROUND(SUM(J1200:J1207),2)</f>
        <v>125.39</v>
      </c>
      <c r="N1208" s="109">
        <f>ROUND(SUM(N1200:N1207),2)</f>
        <v>139.63</v>
      </c>
    </row>
    <row r="1209" spans="1:30" x14ac:dyDescent="0.2">
      <c r="A1209" s="78" t="s">
        <v>143</v>
      </c>
      <c r="B1209" s="110">
        <f>IF((F1204+F1203+F1202+F1200+F1201)=0,"",((F1204+F1203+F1202+F1200+F1201)-$AB$1202)/(F1204+F1203+F1202+F1200+F1201))</f>
        <v>0.30002556911214956</v>
      </c>
      <c r="D1209" s="139" t="str">
        <f>IF(B1209="","SIN PC",IF(B1209&gt;=0.3,"APROBAR",IF(B1209&gt;=0.2,"REVISAR","RECHAZAR")))</f>
        <v>APROBAR</v>
      </c>
      <c r="E1209" s="139"/>
      <c r="F1209" s="139"/>
      <c r="AD1209">
        <f>SUM(F1202:F1204)-74.1698</f>
        <v>22.370200000000011</v>
      </c>
    </row>
    <row r="1211" spans="1:30" x14ac:dyDescent="0.2">
      <c r="A1211" s="137" t="s">
        <v>1202</v>
      </c>
      <c r="B1211" s="137"/>
      <c r="C1211" s="137"/>
      <c r="D1211" s="137"/>
      <c r="E1211" s="137"/>
      <c r="F1211" s="137"/>
      <c r="H1211" s="137" t="s">
        <v>1203</v>
      </c>
      <c r="I1211" s="137"/>
      <c r="J1211" s="137"/>
      <c r="K1211" s="137"/>
      <c r="L1211" s="76">
        <v>46113</v>
      </c>
      <c r="M1211" s="77" t="s">
        <v>607</v>
      </c>
      <c r="N1211" s="76">
        <v>46142</v>
      </c>
      <c r="R1211" s="138" t="s">
        <v>110</v>
      </c>
      <c r="S1211" s="138"/>
      <c r="T1211" s="138"/>
      <c r="U1211" s="138"/>
      <c r="V1211" s="138"/>
    </row>
    <row r="1212" spans="1:30" x14ac:dyDescent="0.2">
      <c r="A1212" s="78" t="s">
        <v>111</v>
      </c>
      <c r="B1212" s="79" t="s">
        <v>112</v>
      </c>
      <c r="C1212" s="80"/>
      <c r="D1212" s="80"/>
      <c r="E1212" s="80"/>
      <c r="F1212" s="80"/>
      <c r="H1212" s="81" t="s">
        <v>1204</v>
      </c>
      <c r="I1212" s="82"/>
      <c r="J1212" s="82"/>
      <c r="L1212" s="83" t="s">
        <v>1205</v>
      </c>
      <c r="M1212" s="84"/>
      <c r="N1212" s="84"/>
      <c r="R1212" s="85" t="s">
        <v>1206</v>
      </c>
    </row>
    <row r="1213" spans="1:30" x14ac:dyDescent="0.2">
      <c r="B1213" s="68" t="s">
        <v>116</v>
      </c>
      <c r="C1213" s="68" t="s">
        <v>117</v>
      </c>
      <c r="D1213" s="68" t="s">
        <v>118</v>
      </c>
      <c r="E1213" s="68" t="s">
        <v>119</v>
      </c>
      <c r="F1213" s="68" t="s">
        <v>120</v>
      </c>
      <c r="H1213" s="86" t="s">
        <v>116</v>
      </c>
      <c r="I1213" s="86" t="s">
        <v>119</v>
      </c>
      <c r="J1213" s="86" t="s">
        <v>120</v>
      </c>
      <c r="L1213" s="87" t="s">
        <v>116</v>
      </c>
      <c r="M1213" s="87" t="s">
        <v>119</v>
      </c>
      <c r="N1213" s="87" t="s">
        <v>120</v>
      </c>
      <c r="R1213" s="88" t="s">
        <v>1207</v>
      </c>
    </row>
    <row r="1214" spans="1:30" x14ac:dyDescent="0.2">
      <c r="A1214" s="89" t="s">
        <v>122</v>
      </c>
      <c r="B1214" s="90">
        <v>5.5</v>
      </c>
      <c r="C1214" s="91">
        <f>$N$1211-$L$1211+1</f>
        <v>30</v>
      </c>
      <c r="D1214" s="92">
        <v>3.68919</v>
      </c>
      <c r="E1214" s="93">
        <v>3.85</v>
      </c>
      <c r="F1214" s="94">
        <f t="shared" ref="F1214:F1221" si="210">ROUND(B1214*E1214,2)</f>
        <v>21.18</v>
      </c>
      <c r="H1214" s="95">
        <v>5.5</v>
      </c>
      <c r="I1214" s="96">
        <v>3.85</v>
      </c>
      <c r="J1214" s="97">
        <f t="shared" ref="J1214:J1221" si="211">ROUND(H1214*I1214,2)</f>
        <v>21.18</v>
      </c>
      <c r="L1214" s="98">
        <v>5.5</v>
      </c>
      <c r="M1214" s="99">
        <v>3.85</v>
      </c>
      <c r="N1214" s="100">
        <f t="shared" ref="N1214:N1221" si="212">ROUND(L1214*M1214,2)</f>
        <v>21.18</v>
      </c>
      <c r="R1214" s="101" t="s">
        <v>1208</v>
      </c>
    </row>
    <row r="1215" spans="1:30" x14ac:dyDescent="0.2">
      <c r="A1215" s="89" t="s">
        <v>124</v>
      </c>
      <c r="B1215" s="90">
        <v>5.5</v>
      </c>
      <c r="C1215" s="91">
        <f>$N$1211-$L$1211+1</f>
        <v>30</v>
      </c>
      <c r="D1215" s="92">
        <v>1.31928</v>
      </c>
      <c r="E1215" s="93">
        <v>1.33</v>
      </c>
      <c r="F1215" s="94">
        <f t="shared" si="210"/>
        <v>7.32</v>
      </c>
      <c r="H1215" s="95">
        <v>5.5</v>
      </c>
      <c r="I1215" s="96">
        <v>1.33</v>
      </c>
      <c r="J1215" s="97">
        <f t="shared" si="211"/>
        <v>7.32</v>
      </c>
      <c r="L1215" s="98">
        <v>5.5</v>
      </c>
      <c r="M1215" s="99">
        <v>1.33</v>
      </c>
      <c r="N1215" s="100">
        <f t="shared" si="212"/>
        <v>7.32</v>
      </c>
      <c r="R1215" s="102" t="s">
        <v>1209</v>
      </c>
    </row>
    <row r="1216" spans="1:30" x14ac:dyDescent="0.2">
      <c r="A1216" s="89" t="s">
        <v>614</v>
      </c>
      <c r="B1216" s="90">
        <f>IF($P$1216&lt;&gt;"",ROUND(AA1216*(($AB$1216/(1-$P$1216))-28.49)/20.4834,2),IF('Resumen 2.0TD'!$D$3="OPTIMIZAR",ROUND(MAX(AA1216,MIN(AA1216*(($AB$1216/(1-'Resumen 2.0TD'!$F$3))-28.49)/20.4834,AA1216*(60.5613)/20.4834)),3),AA1216))</f>
        <v>94.248999999999995</v>
      </c>
      <c r="C1216" s="103"/>
      <c r="D1216" s="92">
        <v>0.11117100000000001</v>
      </c>
      <c r="E1216" s="93">
        <v>0.129</v>
      </c>
      <c r="F1216" s="94">
        <f t="shared" si="210"/>
        <v>12.16</v>
      </c>
      <c r="H1216" s="95">
        <v>92.626999999999995</v>
      </c>
      <c r="I1216" s="96">
        <v>0.129</v>
      </c>
      <c r="J1216" s="97">
        <f t="shared" si="211"/>
        <v>11.95</v>
      </c>
      <c r="L1216" s="98">
        <v>51.292000000000002</v>
      </c>
      <c r="M1216" s="99">
        <v>0.129</v>
      </c>
      <c r="N1216" s="100">
        <f t="shared" si="212"/>
        <v>6.62</v>
      </c>
      <c r="O1216" s="104" t="s">
        <v>615</v>
      </c>
      <c r="P1216" s="67"/>
      <c r="R1216" s="102" t="s">
        <v>1210</v>
      </c>
      <c r="AA1216">
        <v>53.506999999999998</v>
      </c>
      <c r="AB1216">
        <f>B1214*D1214+B1215*D1215+AA1216*D1216+AA1217*D1217+AA1218*D1218</f>
        <v>45.198983406000004</v>
      </c>
    </row>
    <row r="1217" spans="1:30" x14ac:dyDescent="0.2">
      <c r="A1217" s="89" t="s">
        <v>617</v>
      </c>
      <c r="B1217" s="90">
        <f>IF($P$1216&lt;&gt;"",ROUND(AA1217*(($AB$1216/(1-$P$1216))-28.49)/20.4834,2),IF('Resumen 2.0TD'!$D$3="OPTIMIZAR",ROUND(MAX(AA1217,MIN(AA1217*(($AB$1216/(1-'Resumen 2.0TD'!$F$3))-28.49)/20.4834,AA1217*(60.5613)/20.4834)),3),AA1217))</f>
        <v>74.275999999999996</v>
      </c>
      <c r="C1217" s="103"/>
      <c r="D1217" s="92">
        <v>0.11117100000000001</v>
      </c>
      <c r="E1217" s="93">
        <v>0.129</v>
      </c>
      <c r="F1217" s="94">
        <f t="shared" si="210"/>
        <v>9.58</v>
      </c>
      <c r="H1217" s="95">
        <v>63.817999999999998</v>
      </c>
      <c r="I1217" s="96">
        <v>0.129</v>
      </c>
      <c r="J1217" s="97">
        <f t="shared" si="211"/>
        <v>8.23</v>
      </c>
      <c r="L1217" s="98">
        <v>37.430999999999997</v>
      </c>
      <c r="M1217" s="99">
        <v>0.129</v>
      </c>
      <c r="N1217" s="100">
        <f t="shared" si="212"/>
        <v>4.83</v>
      </c>
      <c r="O1217" s="105" t="s">
        <v>618</v>
      </c>
      <c r="R1217" s="102" t="s">
        <v>619</v>
      </c>
      <c r="AA1217">
        <v>42.167999999999999</v>
      </c>
    </row>
    <row r="1218" spans="1:30" x14ac:dyDescent="0.2">
      <c r="A1218" s="89" t="s">
        <v>620</v>
      </c>
      <c r="B1218" s="90">
        <f>IF($P$1216&lt;&gt;"",ROUND(AA1218*(($AB$1216/(1-$P$1216))-28.49)/20.4834,2),IF('Resumen 2.0TD'!$D$3="OPTIMIZAR",ROUND(MAX(AA1218,MIN(AA1218*(($AB$1216/(1-'Resumen 2.0TD'!$F$3))-28.49)/20.4834,AA1218*(60.5613)/20.4834)),3),AA1218))</f>
        <v>111.16500000000001</v>
      </c>
      <c r="C1218" s="103"/>
      <c r="D1218" s="92">
        <v>0.11117100000000001</v>
      </c>
      <c r="E1218" s="93">
        <v>0.129</v>
      </c>
      <c r="F1218" s="94">
        <f t="shared" si="210"/>
        <v>14.34</v>
      </c>
      <c r="H1218" s="95">
        <v>111.282</v>
      </c>
      <c r="I1218" s="96">
        <v>0.129</v>
      </c>
      <c r="J1218" s="97">
        <f t="shared" si="211"/>
        <v>14.36</v>
      </c>
      <c r="L1218" s="98">
        <v>57.706000000000003</v>
      </c>
      <c r="M1218" s="99">
        <v>0.129</v>
      </c>
      <c r="N1218" s="100">
        <f t="shared" si="212"/>
        <v>7.44</v>
      </c>
      <c r="O1218" s="105" t="s">
        <v>621</v>
      </c>
      <c r="AA1218">
        <v>63.110999999999997</v>
      </c>
    </row>
    <row r="1219" spans="1:30" x14ac:dyDescent="0.2">
      <c r="A1219" s="89" t="s">
        <v>139</v>
      </c>
      <c r="B1219" s="90">
        <v>1</v>
      </c>
      <c r="C1219" s="91">
        <f>$N$1211-$L$1211+1</f>
        <v>30</v>
      </c>
      <c r="D1219" s="92">
        <v>0.79890000000000005</v>
      </c>
      <c r="E1219" s="93">
        <v>3</v>
      </c>
      <c r="F1219" s="94">
        <f t="shared" si="210"/>
        <v>3</v>
      </c>
      <c r="H1219" s="95">
        <v>1</v>
      </c>
      <c r="I1219" s="96">
        <v>3</v>
      </c>
      <c r="J1219" s="97">
        <f t="shared" si="211"/>
        <v>3</v>
      </c>
      <c r="L1219" s="98">
        <v>1</v>
      </c>
      <c r="M1219" s="99">
        <v>3</v>
      </c>
      <c r="N1219" s="100">
        <f t="shared" si="212"/>
        <v>3</v>
      </c>
    </row>
    <row r="1220" spans="1:30" x14ac:dyDescent="0.2">
      <c r="A1220" s="89" t="s">
        <v>140</v>
      </c>
      <c r="B1220" s="90">
        <v>30</v>
      </c>
      <c r="C1220" s="91">
        <f>$N$1211-$L$1211+1</f>
        <v>30</v>
      </c>
      <c r="D1220" s="92">
        <v>0.5736</v>
      </c>
      <c r="E1220" s="93">
        <v>6.2899999999999996E-3</v>
      </c>
      <c r="F1220" s="94">
        <f t="shared" si="210"/>
        <v>0.19</v>
      </c>
      <c r="H1220" s="95">
        <v>30</v>
      </c>
      <c r="I1220" s="96">
        <v>6.2899999999999996E-3</v>
      </c>
      <c r="J1220" s="97">
        <f t="shared" si="211"/>
        <v>0.19</v>
      </c>
      <c r="L1220" s="98">
        <v>30</v>
      </c>
      <c r="M1220" s="99">
        <v>6.2899999999999996E-3</v>
      </c>
      <c r="N1220" s="100">
        <f t="shared" si="212"/>
        <v>0.19</v>
      </c>
    </row>
    <row r="1221" spans="1:30" x14ac:dyDescent="0.2">
      <c r="A1221" s="89" t="s">
        <v>141</v>
      </c>
      <c r="B1221" s="90">
        <v>2.5099999999999998</v>
      </c>
      <c r="C1221" s="103"/>
      <c r="D1221" s="92">
        <v>0.27311999999999997</v>
      </c>
      <c r="E1221" s="93">
        <v>1</v>
      </c>
      <c r="F1221" s="94">
        <f t="shared" si="210"/>
        <v>2.5099999999999998</v>
      </c>
      <c r="H1221" s="95">
        <v>3.23</v>
      </c>
      <c r="I1221" s="96">
        <v>1</v>
      </c>
      <c r="J1221" s="97">
        <f t="shared" si="211"/>
        <v>3.23</v>
      </c>
      <c r="L1221" s="98">
        <v>2.4300000000000002</v>
      </c>
      <c r="M1221" s="99">
        <v>1</v>
      </c>
      <c r="N1221" s="100">
        <f t="shared" si="212"/>
        <v>2.4300000000000002</v>
      </c>
    </row>
    <row r="1222" spans="1:30" x14ac:dyDescent="0.2">
      <c r="A1222" s="106" t="s">
        <v>142</v>
      </c>
      <c r="F1222" s="107">
        <f>ROUND((SUM(F1214:F1221)-F1221)*1.1+F1221,2)</f>
        <v>77.06</v>
      </c>
      <c r="J1222" s="108">
        <f>ROUND(SUM(J1214:J1221),2)</f>
        <v>69.459999999999994</v>
      </c>
      <c r="N1222" s="109">
        <f>ROUND(SUM(N1214:N1221),2)</f>
        <v>53.01</v>
      </c>
    </row>
    <row r="1223" spans="1:30" x14ac:dyDescent="0.2">
      <c r="A1223" s="78" t="s">
        <v>143</v>
      </c>
      <c r="B1223" s="110">
        <f>IF((F1218+F1217+F1216+F1214+F1215)=0,"",((F1218+F1217+F1216+F1214+F1215)-$AB$1216)/(F1218+F1217+F1216+F1214+F1215))</f>
        <v>0.30010864964385253</v>
      </c>
      <c r="D1223" s="139" t="str">
        <f>IF(B1223="","SIN PC",IF(B1223&gt;=0.3,"APROBAR",IF(B1223&gt;=0.2,"REVISAR","RECHAZAR")))</f>
        <v>APROBAR</v>
      </c>
      <c r="E1223" s="139"/>
      <c r="F1223" s="139"/>
      <c r="AD1223">
        <f>SUM(F1216:F1218)-20.4834</f>
        <v>15.596599999999999</v>
      </c>
    </row>
    <row r="1225" spans="1:30" x14ac:dyDescent="0.2">
      <c r="A1225" s="137" t="s">
        <v>1211</v>
      </c>
      <c r="B1225" s="137"/>
      <c r="C1225" s="137"/>
      <c r="D1225" s="137"/>
      <c r="E1225" s="137"/>
      <c r="F1225" s="137"/>
      <c r="H1225" s="137" t="s">
        <v>1212</v>
      </c>
      <c r="I1225" s="137"/>
      <c r="J1225" s="137"/>
      <c r="K1225" s="137"/>
      <c r="L1225" s="76">
        <v>46113</v>
      </c>
      <c r="M1225" s="77" t="s">
        <v>607</v>
      </c>
      <c r="N1225" s="76">
        <v>46142</v>
      </c>
      <c r="R1225" s="138" t="s">
        <v>110</v>
      </c>
      <c r="S1225" s="138"/>
      <c r="T1225" s="138"/>
      <c r="U1225" s="138"/>
      <c r="V1225" s="138"/>
    </row>
    <row r="1226" spans="1:30" x14ac:dyDescent="0.2">
      <c r="A1226" s="78" t="s">
        <v>111</v>
      </c>
      <c r="B1226" s="79" t="s">
        <v>112</v>
      </c>
      <c r="C1226" s="80"/>
      <c r="D1226" s="80"/>
      <c r="E1226" s="80"/>
      <c r="F1226" s="80"/>
      <c r="H1226" s="81" t="s">
        <v>1213</v>
      </c>
      <c r="I1226" s="82"/>
      <c r="J1226" s="82"/>
      <c r="L1226" s="83" t="s">
        <v>1214</v>
      </c>
      <c r="M1226" s="84"/>
      <c r="N1226" s="84"/>
      <c r="R1226" s="85" t="s">
        <v>1215</v>
      </c>
    </row>
    <row r="1227" spans="1:30" x14ac:dyDescent="0.2">
      <c r="B1227" s="68" t="s">
        <v>116</v>
      </c>
      <c r="C1227" s="68" t="s">
        <v>117</v>
      </c>
      <c r="D1227" s="68" t="s">
        <v>118</v>
      </c>
      <c r="E1227" s="68" t="s">
        <v>119</v>
      </c>
      <c r="F1227" s="68" t="s">
        <v>120</v>
      </c>
      <c r="H1227" s="86" t="s">
        <v>116</v>
      </c>
      <c r="I1227" s="86" t="s">
        <v>119</v>
      </c>
      <c r="J1227" s="86" t="s">
        <v>120</v>
      </c>
      <c r="L1227" s="87" t="s">
        <v>116</v>
      </c>
      <c r="M1227" s="87" t="s">
        <v>119</v>
      </c>
      <c r="N1227" s="87" t="s">
        <v>120</v>
      </c>
      <c r="R1227" s="88" t="s">
        <v>1216</v>
      </c>
    </row>
    <row r="1228" spans="1:30" x14ac:dyDescent="0.2">
      <c r="A1228" s="89" t="s">
        <v>122</v>
      </c>
      <c r="B1228" s="90">
        <v>5</v>
      </c>
      <c r="C1228" s="91">
        <f>$N$1225-$L$1225+1</f>
        <v>30</v>
      </c>
      <c r="D1228" s="92">
        <v>3.68919</v>
      </c>
      <c r="E1228" s="93">
        <v>3.85</v>
      </c>
      <c r="F1228" s="94">
        <f t="shared" ref="F1228:F1235" si="213">ROUND(B1228*E1228,2)</f>
        <v>19.25</v>
      </c>
      <c r="H1228" s="95">
        <v>5</v>
      </c>
      <c r="I1228" s="96">
        <v>3.85</v>
      </c>
      <c r="J1228" s="97">
        <f t="shared" ref="J1228:J1235" si="214">ROUND(H1228*I1228,2)</f>
        <v>19.25</v>
      </c>
      <c r="L1228" s="98">
        <v>5</v>
      </c>
      <c r="M1228" s="99">
        <v>3.85</v>
      </c>
      <c r="N1228" s="100">
        <f>ROUND(L1228*M1228,2)</f>
        <v>19.25</v>
      </c>
      <c r="R1228" s="101" t="s">
        <v>1217</v>
      </c>
    </row>
    <row r="1229" spans="1:30" x14ac:dyDescent="0.2">
      <c r="A1229" s="89" t="s">
        <v>124</v>
      </c>
      <c r="B1229" s="90">
        <v>5</v>
      </c>
      <c r="C1229" s="91">
        <f>$N$1225-$L$1225+1</f>
        <v>30</v>
      </c>
      <c r="D1229" s="92">
        <v>1.31928</v>
      </c>
      <c r="E1229" s="93">
        <v>1.33</v>
      </c>
      <c r="F1229" s="94">
        <f t="shared" si="213"/>
        <v>6.65</v>
      </c>
      <c r="H1229" s="95">
        <v>5</v>
      </c>
      <c r="I1229" s="96">
        <v>1.33</v>
      </c>
      <c r="J1229" s="97">
        <f t="shared" si="214"/>
        <v>6.65</v>
      </c>
      <c r="L1229" s="98">
        <v>5</v>
      </c>
      <c r="M1229" s="99">
        <v>1.33</v>
      </c>
      <c r="N1229" s="100">
        <f>ROUND(L1229*M1229,2)</f>
        <v>6.65</v>
      </c>
      <c r="R1229" s="102" t="s">
        <v>1218</v>
      </c>
    </row>
    <row r="1230" spans="1:30" x14ac:dyDescent="0.2">
      <c r="A1230" s="89" t="s">
        <v>614</v>
      </c>
      <c r="B1230" s="90">
        <f>IF($P$1230&lt;&gt;"",ROUND(AA1230*(($AB$1230/(1-$P$1230))-25.9)/95.0874,2),IF('Resumen 2.0TD'!$D$3="OPTIMIZAR",ROUND(MAX(AA1230,MIN(AA1230*(($AB$1230/(1-'Resumen 2.0TD'!$F$3))-25.9)/95.0874,AA1230*(-6.3222)/95.0874)),3),AA1230))</f>
        <v>190.077</v>
      </c>
      <c r="C1230" s="103"/>
      <c r="D1230" s="92">
        <v>0.11117100000000001</v>
      </c>
      <c r="E1230" s="93">
        <v>0.13788</v>
      </c>
      <c r="F1230" s="94">
        <f t="shared" si="213"/>
        <v>26.21</v>
      </c>
      <c r="H1230" s="95">
        <v>329.10899999999998</v>
      </c>
      <c r="I1230" s="96">
        <v>0.13788</v>
      </c>
      <c r="J1230" s="97">
        <f t="shared" si="214"/>
        <v>45.38</v>
      </c>
      <c r="L1230" s="119"/>
      <c r="M1230" s="119"/>
      <c r="N1230" s="119"/>
      <c r="O1230" s="104" t="s">
        <v>615</v>
      </c>
      <c r="P1230" s="67"/>
      <c r="R1230" s="102" t="s">
        <v>1219</v>
      </c>
      <c r="AA1230">
        <v>190.077</v>
      </c>
      <c r="AB1230">
        <f>B1228*D1228+B1229*D1229+AA1230*D1230+AA1231*D1231+AA1232*D1232</f>
        <v>101.71020726899999</v>
      </c>
    </row>
    <row r="1231" spans="1:30" x14ac:dyDescent="0.2">
      <c r="A1231" s="89" t="s">
        <v>617</v>
      </c>
      <c r="B1231" s="90">
        <f>IF($P$1230&lt;&gt;"",ROUND(AA1231*(($AB$1230/(1-$P$1230))-25.9)/95.0874,2),IF('Resumen 2.0TD'!$D$3="OPTIMIZAR",ROUND(MAX(AA1231,MIN(AA1231*(($AB$1230/(1-'Resumen 2.0TD'!$F$3))-25.9)/95.0874,AA1231*(-6.3222)/95.0874)),3),AA1231))</f>
        <v>146.50700000000001</v>
      </c>
      <c r="C1231" s="103"/>
      <c r="D1231" s="92">
        <v>0.11117100000000001</v>
      </c>
      <c r="E1231" s="93">
        <v>0.13788</v>
      </c>
      <c r="F1231" s="94">
        <f t="shared" si="213"/>
        <v>20.2</v>
      </c>
      <c r="H1231" s="95">
        <v>322.19600000000003</v>
      </c>
      <c r="I1231" s="96">
        <v>0.13788</v>
      </c>
      <c r="J1231" s="97">
        <f t="shared" si="214"/>
        <v>44.42</v>
      </c>
      <c r="L1231" s="119"/>
      <c r="M1231" s="119"/>
      <c r="N1231" s="119"/>
      <c r="O1231" s="105" t="s">
        <v>618</v>
      </c>
      <c r="R1231" s="102" t="s">
        <v>619</v>
      </c>
      <c r="AA1231">
        <v>146.50700000000001</v>
      </c>
    </row>
    <row r="1232" spans="1:30" x14ac:dyDescent="0.2">
      <c r="A1232" s="89" t="s">
        <v>620</v>
      </c>
      <c r="B1232" s="90">
        <f>IF($P$1230&lt;&gt;"",ROUND(AA1232*(($AB$1230/(1-$P$1230))-25.9)/95.0874,2),IF('Resumen 2.0TD'!$D$3="OPTIMIZAR",ROUND(MAX(AA1232,MIN(AA1232*(($AB$1230/(1-'Resumen 2.0TD'!$F$3))-25.9)/95.0874,AA1232*(-6.3222)/95.0874)),3),AA1232))</f>
        <v>353.05500000000001</v>
      </c>
      <c r="C1232" s="103"/>
      <c r="D1232" s="92">
        <v>0.11117100000000001</v>
      </c>
      <c r="E1232" s="93">
        <v>0.13788</v>
      </c>
      <c r="F1232" s="94">
        <f t="shared" si="213"/>
        <v>48.68</v>
      </c>
      <c r="H1232" s="95">
        <v>608.36900000000003</v>
      </c>
      <c r="I1232" s="96">
        <v>0.13788</v>
      </c>
      <c r="J1232" s="97">
        <f t="shared" si="214"/>
        <v>83.88</v>
      </c>
      <c r="L1232" s="98">
        <v>0.17100000000000001</v>
      </c>
      <c r="M1232" s="99">
        <v>0.13788</v>
      </c>
      <c r="N1232" s="100">
        <f>ROUND(L1232*M1232,2)</f>
        <v>0.02</v>
      </c>
      <c r="O1232" s="105" t="s">
        <v>621</v>
      </c>
      <c r="AA1232">
        <v>353.05500000000001</v>
      </c>
    </row>
    <row r="1233" spans="1:30" x14ac:dyDescent="0.2">
      <c r="A1233" s="89" t="s">
        <v>139</v>
      </c>
      <c r="B1233" s="90">
        <v>1</v>
      </c>
      <c r="C1233" s="91">
        <f>$N$1225-$L$1225+1</f>
        <v>30</v>
      </c>
      <c r="D1233" s="92">
        <v>0.79890000000000005</v>
      </c>
      <c r="E1233" s="93">
        <v>3</v>
      </c>
      <c r="F1233" s="94">
        <f t="shared" si="213"/>
        <v>3</v>
      </c>
      <c r="H1233" s="95">
        <v>1</v>
      </c>
      <c r="I1233" s="96">
        <v>3</v>
      </c>
      <c r="J1233" s="97">
        <f t="shared" si="214"/>
        <v>3</v>
      </c>
      <c r="L1233" s="98">
        <v>1</v>
      </c>
      <c r="M1233" s="99">
        <v>3</v>
      </c>
      <c r="N1233" s="100">
        <f>ROUND(L1233*M1233,2)</f>
        <v>3</v>
      </c>
    </row>
    <row r="1234" spans="1:30" x14ac:dyDescent="0.2">
      <c r="A1234" s="89" t="s">
        <v>140</v>
      </c>
      <c r="B1234" s="90">
        <v>30</v>
      </c>
      <c r="C1234" s="91">
        <f>$N$1225-$L$1225+1</f>
        <v>30</v>
      </c>
      <c r="D1234" s="92">
        <v>0.5736</v>
      </c>
      <c r="E1234" s="93">
        <v>1.274E-2</v>
      </c>
      <c r="F1234" s="94">
        <f t="shared" si="213"/>
        <v>0.38</v>
      </c>
      <c r="H1234" s="95">
        <v>30</v>
      </c>
      <c r="I1234" s="96">
        <v>1.274E-2</v>
      </c>
      <c r="J1234" s="97">
        <f t="shared" si="214"/>
        <v>0.38</v>
      </c>
      <c r="L1234" s="98">
        <v>30</v>
      </c>
      <c r="M1234" s="99">
        <v>6.2899999999999996E-3</v>
      </c>
      <c r="N1234" s="100">
        <f>ROUND(L1234*M1234,2)</f>
        <v>0.19</v>
      </c>
    </row>
    <row r="1235" spans="1:30" x14ac:dyDescent="0.2">
      <c r="A1235" s="89" t="s">
        <v>141</v>
      </c>
      <c r="B1235" s="90">
        <v>6.19</v>
      </c>
      <c r="C1235" s="103"/>
      <c r="D1235" s="92">
        <v>0.27311999999999997</v>
      </c>
      <c r="E1235" s="93">
        <v>1</v>
      </c>
      <c r="F1235" s="94">
        <f t="shared" si="213"/>
        <v>6.19</v>
      </c>
      <c r="H1235" s="95">
        <v>10.210000000000001</v>
      </c>
      <c r="I1235" s="96">
        <v>1</v>
      </c>
      <c r="J1235" s="97">
        <f t="shared" si="214"/>
        <v>10.210000000000001</v>
      </c>
      <c r="L1235" s="98">
        <v>1.33</v>
      </c>
      <c r="M1235" s="99">
        <v>1</v>
      </c>
      <c r="N1235" s="100">
        <f>ROUND(L1235*M1235,2)</f>
        <v>1.33</v>
      </c>
    </row>
    <row r="1236" spans="1:30" x14ac:dyDescent="0.2">
      <c r="A1236" s="106" t="s">
        <v>142</v>
      </c>
      <c r="F1236" s="107">
        <f>ROUND((SUM(F1228:F1235)-F1235)*1.1+F1235,2)</f>
        <v>143</v>
      </c>
      <c r="J1236" s="108">
        <f>ROUND(SUM(J1228:J1235),2)</f>
        <v>213.17</v>
      </c>
      <c r="N1236" s="109">
        <f>ROUND(SUM(N1228:N1235),2)</f>
        <v>30.44</v>
      </c>
    </row>
    <row r="1237" spans="1:30" x14ac:dyDescent="0.2">
      <c r="A1237" s="78" t="s">
        <v>143</v>
      </c>
      <c r="B1237" s="110">
        <f>IF((F1232+F1231+F1230+F1228+F1229)=0,"",((F1232+F1231+F1230+F1228+F1229)-$AB$1230)/(F1232+F1231+F1230+F1228+F1229))</f>
        <v>0.15935029945450049</v>
      </c>
      <c r="D1237" s="139" t="str">
        <f>IF(B1237="","SIN PC",IF(B1237&gt;=0.3,"APROBAR",IF(B1237&gt;=0.2,"REVISAR","RECHAZAR")))</f>
        <v>RECHAZAR</v>
      </c>
      <c r="E1237" s="139"/>
      <c r="F1237" s="139"/>
      <c r="AD1237">
        <f>SUM(F1230:F1232)-95.0874</f>
        <v>2.6000000000010459E-3</v>
      </c>
    </row>
    <row r="1239" spans="1:30" x14ac:dyDescent="0.2">
      <c r="A1239" s="137" t="s">
        <v>1220</v>
      </c>
      <c r="B1239" s="137"/>
      <c r="C1239" s="137"/>
      <c r="D1239" s="137"/>
      <c r="E1239" s="137"/>
      <c r="F1239" s="137"/>
      <c r="H1239" s="137" t="s">
        <v>1221</v>
      </c>
      <c r="I1239" s="137"/>
      <c r="J1239" s="137"/>
      <c r="K1239" s="137"/>
      <c r="L1239" s="76">
        <v>46113</v>
      </c>
      <c r="M1239" s="77" t="s">
        <v>607</v>
      </c>
      <c r="N1239" s="76">
        <v>46142</v>
      </c>
      <c r="R1239" s="138" t="s">
        <v>110</v>
      </c>
      <c r="S1239" s="138"/>
      <c r="T1239" s="138"/>
      <c r="U1239" s="138"/>
      <c r="V1239" s="138"/>
    </row>
    <row r="1240" spans="1:30" x14ac:dyDescent="0.2">
      <c r="A1240" s="78" t="s">
        <v>111</v>
      </c>
      <c r="B1240" s="79" t="s">
        <v>112</v>
      </c>
      <c r="C1240" s="80"/>
      <c r="D1240" s="80"/>
      <c r="E1240" s="80"/>
      <c r="F1240" s="80"/>
      <c r="H1240" s="81" t="s">
        <v>1222</v>
      </c>
      <c r="I1240" s="82"/>
      <c r="J1240" s="82"/>
      <c r="L1240" s="83" t="s">
        <v>1223</v>
      </c>
      <c r="M1240" s="84"/>
      <c r="N1240" s="84"/>
      <c r="R1240" s="85" t="s">
        <v>1224</v>
      </c>
    </row>
    <row r="1241" spans="1:30" x14ac:dyDescent="0.2">
      <c r="B1241" s="68" t="s">
        <v>116</v>
      </c>
      <c r="C1241" s="68" t="s">
        <v>117</v>
      </c>
      <c r="D1241" s="68" t="s">
        <v>118</v>
      </c>
      <c r="E1241" s="68" t="s">
        <v>119</v>
      </c>
      <c r="F1241" s="68" t="s">
        <v>120</v>
      </c>
      <c r="H1241" s="86" t="s">
        <v>116</v>
      </c>
      <c r="I1241" s="86" t="s">
        <v>119</v>
      </c>
      <c r="J1241" s="86" t="s">
        <v>120</v>
      </c>
      <c r="L1241" s="87" t="s">
        <v>116</v>
      </c>
      <c r="M1241" s="87" t="s">
        <v>119</v>
      </c>
      <c r="N1241" s="87" t="s">
        <v>120</v>
      </c>
      <c r="R1241" s="88" t="s">
        <v>1225</v>
      </c>
    </row>
    <row r="1242" spans="1:30" x14ac:dyDescent="0.2">
      <c r="A1242" s="89" t="s">
        <v>122</v>
      </c>
      <c r="B1242" s="90">
        <v>9.9</v>
      </c>
      <c r="C1242" s="91">
        <f>$N$1239-$L$1239+1</f>
        <v>30</v>
      </c>
      <c r="D1242" s="92">
        <v>3.68919</v>
      </c>
      <c r="E1242" s="93">
        <v>3.85</v>
      </c>
      <c r="F1242" s="94">
        <f t="shared" ref="F1242:F1249" si="215">ROUND(B1242*E1242,2)</f>
        <v>38.119999999999997</v>
      </c>
      <c r="H1242" s="95">
        <v>9.9</v>
      </c>
      <c r="I1242" s="96">
        <v>3.85</v>
      </c>
      <c r="J1242" s="97">
        <f t="shared" ref="J1242:J1249" si="216">ROUND(H1242*I1242,2)</f>
        <v>38.119999999999997</v>
      </c>
      <c r="L1242" s="98">
        <v>9.9</v>
      </c>
      <c r="M1242" s="99">
        <v>4.17</v>
      </c>
      <c r="N1242" s="100">
        <f>ROUND(L1242*M1242,2)</f>
        <v>41.28</v>
      </c>
      <c r="R1242" s="101" t="s">
        <v>1226</v>
      </c>
    </row>
    <row r="1243" spans="1:30" x14ac:dyDescent="0.2">
      <c r="A1243" s="89" t="s">
        <v>124</v>
      </c>
      <c r="B1243" s="90">
        <v>9.9</v>
      </c>
      <c r="C1243" s="91">
        <f>$N$1239-$L$1239+1</f>
        <v>30</v>
      </c>
      <c r="D1243" s="92">
        <v>1.31928</v>
      </c>
      <c r="E1243" s="93">
        <v>1.33</v>
      </c>
      <c r="F1243" s="94">
        <f t="shared" si="215"/>
        <v>13.17</v>
      </c>
      <c r="H1243" s="95">
        <v>9.9</v>
      </c>
      <c r="I1243" s="96">
        <v>1.33</v>
      </c>
      <c r="J1243" s="97">
        <f t="shared" si="216"/>
        <v>13.17</v>
      </c>
      <c r="L1243" s="119"/>
      <c r="M1243" s="119"/>
      <c r="N1243" s="119"/>
      <c r="R1243" s="102" t="s">
        <v>1227</v>
      </c>
    </row>
    <row r="1244" spans="1:30" x14ac:dyDescent="0.2">
      <c r="A1244" s="89" t="s">
        <v>614</v>
      </c>
      <c r="B1244" s="90">
        <f>IF($P$1244&lt;&gt;"",ROUND(AA1244*(($AB$1244/(1-$P$1244))-51.282)/46.5007,2),IF('Resumen 2.0TD'!$D$3="OPTIMIZAR",ROUND(MAX(AA1244,MIN(AA1244*(($AB$1244/(1-'Resumen 2.0TD'!$F$3))-51.282)/46.5007,AA1244*(209.5458)/46.5007)),3),AA1244))</f>
        <v>228.07900000000001</v>
      </c>
      <c r="C1244" s="103"/>
      <c r="D1244" s="92">
        <v>0.11117100000000001</v>
      </c>
      <c r="E1244" s="93">
        <v>0.13788</v>
      </c>
      <c r="F1244" s="94">
        <f t="shared" si="215"/>
        <v>31.45</v>
      </c>
      <c r="H1244" s="95">
        <v>197.86799999999999</v>
      </c>
      <c r="I1244" s="96">
        <v>0.13788</v>
      </c>
      <c r="J1244" s="97">
        <f t="shared" si="216"/>
        <v>27.28</v>
      </c>
      <c r="L1244" s="98">
        <v>305</v>
      </c>
      <c r="M1244" s="99">
        <v>0.13788</v>
      </c>
      <c r="N1244" s="100">
        <f>ROUND(L1244*M1244,2)</f>
        <v>42.05</v>
      </c>
      <c r="O1244" s="104" t="s">
        <v>615</v>
      </c>
      <c r="P1244" s="67"/>
      <c r="R1244" s="102" t="s">
        <v>1228</v>
      </c>
      <c r="AA1244">
        <v>145.06</v>
      </c>
      <c r="AB1244">
        <f>B1242*D1242+B1243*D1243+AA1244*D1244+AA1245*D1245+AA1246*D1246</f>
        <v>87.076828605000003</v>
      </c>
    </row>
    <row r="1245" spans="1:30" x14ac:dyDescent="0.2">
      <c r="A1245" s="89" t="s">
        <v>617</v>
      </c>
      <c r="B1245" s="90">
        <f>IF($P$1244&lt;&gt;"",ROUND(AA1245*(($AB$1244/(1-$P$1244))-51.282)/46.5007,2),IF('Resumen 2.0TD'!$D$3="OPTIMIZAR",ROUND(MAX(AA1245,MIN(AA1245*(($AB$1244/(1-'Resumen 2.0TD'!$F$3))-51.282)/46.5007,AA1245*(209.5458)/46.5007)),3),AA1245))</f>
        <v>98.007000000000005</v>
      </c>
      <c r="C1245" s="103"/>
      <c r="D1245" s="92">
        <v>0.11117100000000001</v>
      </c>
      <c r="E1245" s="93">
        <v>0.13788</v>
      </c>
      <c r="F1245" s="94">
        <f t="shared" si="215"/>
        <v>13.51</v>
      </c>
      <c r="H1245" s="95">
        <v>91.814999999999998</v>
      </c>
      <c r="I1245" s="96">
        <v>0.13788</v>
      </c>
      <c r="J1245" s="97">
        <f t="shared" si="216"/>
        <v>12.66</v>
      </c>
      <c r="L1245" s="119"/>
      <c r="M1245" s="119"/>
      <c r="N1245" s="119"/>
      <c r="O1245" s="105" t="s">
        <v>618</v>
      </c>
      <c r="R1245" s="102" t="s">
        <v>619</v>
      </c>
      <c r="AA1245">
        <v>62.332999999999998</v>
      </c>
    </row>
    <row r="1246" spans="1:30" x14ac:dyDescent="0.2">
      <c r="A1246" s="89" t="s">
        <v>620</v>
      </c>
      <c r="B1246" s="90">
        <f>IF($P$1244&lt;&gt;"",ROUND(AA1246*(($AB$1244/(1-$P$1244))-51.282)/46.5007,2),IF('Resumen 2.0TD'!$D$3="OPTIMIZAR",ROUND(MAX(AA1246,MIN(AA1246*(($AB$1244/(1-'Resumen 2.0TD'!$F$3))-51.282)/46.5007,AA1246*(209.5458)/46.5007)),3),AA1246))</f>
        <v>204.18299999999999</v>
      </c>
      <c r="C1246" s="103"/>
      <c r="D1246" s="92">
        <v>0.11117100000000001</v>
      </c>
      <c r="E1246" s="93">
        <v>0.13788</v>
      </c>
      <c r="F1246" s="94">
        <f t="shared" si="215"/>
        <v>28.15</v>
      </c>
      <c r="H1246" s="95">
        <v>162.875</v>
      </c>
      <c r="I1246" s="96">
        <v>0.13788</v>
      </c>
      <c r="J1246" s="97">
        <f t="shared" si="216"/>
        <v>22.46</v>
      </c>
      <c r="L1246" s="119"/>
      <c r="M1246" s="119"/>
      <c r="N1246" s="119"/>
      <c r="O1246" s="105" t="s">
        <v>621</v>
      </c>
      <c r="AA1246">
        <v>129.86199999999999</v>
      </c>
    </row>
    <row r="1247" spans="1:30" x14ac:dyDescent="0.2">
      <c r="A1247" s="89" t="s">
        <v>139</v>
      </c>
      <c r="B1247" s="90">
        <v>1</v>
      </c>
      <c r="C1247" s="91">
        <f>$N$1239-$L$1239+1</f>
        <v>30</v>
      </c>
      <c r="D1247" s="92">
        <v>1.3413999999999999</v>
      </c>
      <c r="E1247" s="93">
        <v>3</v>
      </c>
      <c r="F1247" s="94">
        <f t="shared" si="215"/>
        <v>3</v>
      </c>
      <c r="H1247" s="95">
        <v>1</v>
      </c>
      <c r="I1247" s="96">
        <v>3</v>
      </c>
      <c r="J1247" s="97">
        <f t="shared" si="216"/>
        <v>3</v>
      </c>
      <c r="L1247" s="98">
        <v>1</v>
      </c>
      <c r="M1247" s="99">
        <v>3</v>
      </c>
      <c r="N1247" s="100">
        <f>ROUND(L1247*M1247,2)</f>
        <v>3</v>
      </c>
    </row>
    <row r="1248" spans="1:30" x14ac:dyDescent="0.2">
      <c r="A1248" s="89" t="s">
        <v>140</v>
      </c>
      <c r="B1248" s="90">
        <v>30</v>
      </c>
      <c r="C1248" s="91">
        <f>$N$1239-$L$1239+1</f>
        <v>30</v>
      </c>
      <c r="D1248" s="92">
        <v>0.5736</v>
      </c>
      <c r="E1248" s="93">
        <v>1.274E-2</v>
      </c>
      <c r="F1248" s="94">
        <f t="shared" si="215"/>
        <v>0.38</v>
      </c>
      <c r="H1248" s="95">
        <v>30</v>
      </c>
      <c r="I1248" s="96">
        <v>1.274E-2</v>
      </c>
      <c r="J1248" s="97">
        <f t="shared" si="216"/>
        <v>0.38</v>
      </c>
      <c r="L1248" s="98">
        <v>30</v>
      </c>
      <c r="M1248" s="99">
        <v>1.274E-2</v>
      </c>
      <c r="N1248" s="100">
        <f>ROUND(L1248*M1248,2)</f>
        <v>0.38</v>
      </c>
    </row>
    <row r="1249" spans="1:30" x14ac:dyDescent="0.2">
      <c r="A1249" s="89" t="s">
        <v>141</v>
      </c>
      <c r="B1249" s="90">
        <v>5.01</v>
      </c>
      <c r="C1249" s="103"/>
      <c r="D1249" s="92">
        <v>2.6710000000000001E-2</v>
      </c>
      <c r="E1249" s="93">
        <v>1</v>
      </c>
      <c r="F1249" s="94">
        <f t="shared" si="215"/>
        <v>5.01</v>
      </c>
      <c r="H1249" s="95">
        <v>5.82</v>
      </c>
      <c r="I1249" s="96">
        <v>1</v>
      </c>
      <c r="J1249" s="97">
        <f t="shared" si="216"/>
        <v>5.82</v>
      </c>
      <c r="L1249" s="98">
        <v>5</v>
      </c>
      <c r="M1249" s="99">
        <v>1</v>
      </c>
      <c r="N1249" s="100">
        <f>ROUND(L1249*M1249,2)</f>
        <v>5</v>
      </c>
    </row>
    <row r="1250" spans="1:30" x14ac:dyDescent="0.2">
      <c r="A1250" s="106" t="s">
        <v>142</v>
      </c>
      <c r="F1250" s="107">
        <f>ROUND((SUM(F1242:F1249)-F1249)*1.1+F1249,2)</f>
        <v>145.57</v>
      </c>
      <c r="J1250" s="108">
        <f>ROUND(SUM(J1242:J1249),2)</f>
        <v>122.89</v>
      </c>
      <c r="N1250" s="109">
        <f>ROUND(SUM(N1242:N1249),2)</f>
        <v>91.71</v>
      </c>
    </row>
    <row r="1251" spans="1:30" x14ac:dyDescent="0.2">
      <c r="A1251" s="78" t="s">
        <v>143</v>
      </c>
      <c r="B1251" s="110">
        <f>IF((F1246+F1245+F1244+F1242+F1243)=0,"",((F1246+F1245+F1244+F1242+F1243)-$AB$1244)/(F1246+F1245+F1244+F1242+F1243))</f>
        <v>0.30002549352893881</v>
      </c>
      <c r="D1251" s="139" t="str">
        <f>IF(B1251="","SIN PC",IF(B1251&gt;=0.3,"APROBAR",IF(B1251&gt;=0.2,"REVISAR","RECHAZAR")))</f>
        <v>APROBAR</v>
      </c>
      <c r="E1251" s="139"/>
      <c r="F1251" s="139"/>
      <c r="AD1251">
        <f>SUM(F1244:F1246)-46.5007</f>
        <v>26.609299999999998</v>
      </c>
    </row>
    <row r="1253" spans="1:30" x14ac:dyDescent="0.2">
      <c r="A1253" s="137" t="s">
        <v>1229</v>
      </c>
      <c r="B1253" s="137"/>
      <c r="C1253" s="137"/>
      <c r="D1253" s="137"/>
      <c r="E1253" s="137"/>
      <c r="F1253" s="137"/>
      <c r="H1253" s="137" t="s">
        <v>1230</v>
      </c>
      <c r="I1253" s="137"/>
      <c r="J1253" s="137"/>
      <c r="K1253" s="137"/>
      <c r="L1253" s="76">
        <v>46113</v>
      </c>
      <c r="M1253" s="77" t="s">
        <v>607</v>
      </c>
      <c r="N1253" s="76">
        <v>46142</v>
      </c>
      <c r="R1253" s="138" t="s">
        <v>110</v>
      </c>
      <c r="S1253" s="138"/>
      <c r="T1253" s="138"/>
      <c r="U1253" s="138"/>
      <c r="V1253" s="138"/>
    </row>
    <row r="1254" spans="1:30" x14ac:dyDescent="0.2">
      <c r="A1254" s="78" t="s">
        <v>111</v>
      </c>
      <c r="B1254" s="79" t="s">
        <v>112</v>
      </c>
      <c r="C1254" s="80"/>
      <c r="D1254" s="80"/>
      <c r="E1254" s="80"/>
      <c r="F1254" s="80"/>
      <c r="H1254" s="81" t="s">
        <v>1231</v>
      </c>
      <c r="I1254" s="82"/>
      <c r="J1254" s="82"/>
      <c r="L1254" s="83" t="s">
        <v>1232</v>
      </c>
      <c r="M1254" s="84"/>
      <c r="N1254" s="84"/>
      <c r="R1254" s="85" t="s">
        <v>1233</v>
      </c>
    </row>
    <row r="1255" spans="1:30" x14ac:dyDescent="0.2">
      <c r="B1255" s="68" t="s">
        <v>116</v>
      </c>
      <c r="C1255" s="68" t="s">
        <v>117</v>
      </c>
      <c r="D1255" s="68" t="s">
        <v>118</v>
      </c>
      <c r="E1255" s="68" t="s">
        <v>119</v>
      </c>
      <c r="F1255" s="68" t="s">
        <v>120</v>
      </c>
      <c r="H1255" s="86" t="s">
        <v>116</v>
      </c>
      <c r="I1255" s="86" t="s">
        <v>119</v>
      </c>
      <c r="J1255" s="86" t="s">
        <v>120</v>
      </c>
      <c r="L1255" s="87" t="s">
        <v>116</v>
      </c>
      <c r="M1255" s="87" t="s">
        <v>119</v>
      </c>
      <c r="N1255" s="87" t="s">
        <v>120</v>
      </c>
      <c r="R1255" s="88" t="s">
        <v>1234</v>
      </c>
    </row>
    <row r="1256" spans="1:30" x14ac:dyDescent="0.2">
      <c r="A1256" s="89" t="s">
        <v>122</v>
      </c>
      <c r="B1256" s="90">
        <v>11</v>
      </c>
      <c r="C1256" s="91">
        <f>$N$1253-$L$1253+1</f>
        <v>30</v>
      </c>
      <c r="D1256" s="92">
        <v>3.68919</v>
      </c>
      <c r="E1256" s="93">
        <v>4.17</v>
      </c>
      <c r="F1256" s="94">
        <f t="shared" ref="F1256:F1263" si="217">ROUND(B1256*E1256,2)</f>
        <v>45.87</v>
      </c>
      <c r="H1256" s="95">
        <v>11</v>
      </c>
      <c r="I1256" s="96">
        <v>4.17</v>
      </c>
      <c r="J1256" s="97">
        <f t="shared" ref="J1256:J1263" si="218">ROUND(H1256*I1256,2)</f>
        <v>45.87</v>
      </c>
      <c r="L1256" s="98">
        <v>11</v>
      </c>
      <c r="M1256" s="99">
        <v>4.17</v>
      </c>
      <c r="N1256" s="100">
        <f t="shared" ref="N1256:N1263" si="219">ROUND(L1256*M1256,2)</f>
        <v>45.87</v>
      </c>
      <c r="R1256" s="101" t="s">
        <v>1235</v>
      </c>
    </row>
    <row r="1257" spans="1:30" x14ac:dyDescent="0.2">
      <c r="A1257" s="89" t="s">
        <v>124</v>
      </c>
      <c r="B1257" s="90">
        <v>11</v>
      </c>
      <c r="C1257" s="91">
        <f>$N$1253-$L$1253+1</f>
        <v>30</v>
      </c>
      <c r="D1257" s="92">
        <v>1.31928</v>
      </c>
      <c r="E1257" s="93">
        <v>1.37</v>
      </c>
      <c r="F1257" s="94">
        <f t="shared" si="217"/>
        <v>15.07</v>
      </c>
      <c r="H1257" s="95">
        <v>11</v>
      </c>
      <c r="I1257" s="96">
        <v>1.37</v>
      </c>
      <c r="J1257" s="97">
        <f t="shared" si="218"/>
        <v>15.07</v>
      </c>
      <c r="L1257" s="98">
        <v>11</v>
      </c>
      <c r="M1257" s="99">
        <v>1.37</v>
      </c>
      <c r="N1257" s="100">
        <f t="shared" si="219"/>
        <v>15.07</v>
      </c>
      <c r="R1257" s="102" t="s">
        <v>1236</v>
      </c>
    </row>
    <row r="1258" spans="1:30" x14ac:dyDescent="0.2">
      <c r="A1258" s="89" t="s">
        <v>614</v>
      </c>
      <c r="B1258" s="90">
        <f>IF($P$1258&lt;&gt;"",ROUND(AA1258*(($AB$1258/(1-$P$1258))-60.94)/403.742,2),IF('Resumen 2.0TD'!$D$3="OPTIMIZAR",ROUND(MAX(AA1258,MIN(AA1258*(($AB$1258/(1-'Resumen 2.0TD'!$F$3))-60.94)/403.742,AA1258*(668.7878)/403.742)),3),AA1258))</f>
        <v>1067.8630000000001</v>
      </c>
      <c r="C1258" s="103"/>
      <c r="D1258" s="92">
        <v>0.11117100000000001</v>
      </c>
      <c r="E1258" s="93">
        <v>0.129</v>
      </c>
      <c r="F1258" s="94">
        <f t="shared" si="217"/>
        <v>137.75</v>
      </c>
      <c r="H1258" s="95">
        <v>741.32299999999998</v>
      </c>
      <c r="I1258" s="96">
        <v>0.129</v>
      </c>
      <c r="J1258" s="97">
        <f t="shared" si="218"/>
        <v>95.63</v>
      </c>
      <c r="L1258" s="98">
        <v>617.70699999999999</v>
      </c>
      <c r="M1258" s="99">
        <v>0.14937</v>
      </c>
      <c r="N1258" s="100">
        <f t="shared" si="219"/>
        <v>92.27</v>
      </c>
      <c r="O1258" s="104" t="s">
        <v>615</v>
      </c>
      <c r="P1258" s="67"/>
      <c r="R1258" s="102" t="s">
        <v>1237</v>
      </c>
      <c r="AA1258">
        <v>837.45500000000004</v>
      </c>
      <c r="AB1258">
        <f>B1256*D1256+B1257*D1257+AA1258*D1258+AA1259*D1259+AA1260*D1260</f>
        <v>403.03427589299997</v>
      </c>
    </row>
    <row r="1259" spans="1:30" x14ac:dyDescent="0.2">
      <c r="A1259" s="89" t="s">
        <v>617</v>
      </c>
      <c r="B1259" s="90">
        <f>IF($P$1258&lt;&gt;"",ROUND(AA1259*(($AB$1258/(1-$P$1258))-60.94)/403.742,2),IF('Resumen 2.0TD'!$D$3="OPTIMIZAR",ROUND(MAX(AA1259,MIN(AA1259*(($AB$1258/(1-'Resumen 2.0TD'!$F$3))-60.94)/403.742,AA1259*(668.7878)/403.742)),3),AA1259))</f>
        <v>995.64400000000001</v>
      </c>
      <c r="C1259" s="103"/>
      <c r="D1259" s="92">
        <v>0.11117100000000001</v>
      </c>
      <c r="E1259" s="93">
        <v>0.129</v>
      </c>
      <c r="F1259" s="94">
        <f t="shared" si="217"/>
        <v>128.44</v>
      </c>
      <c r="H1259" s="95">
        <v>536.85199999999998</v>
      </c>
      <c r="I1259" s="96">
        <v>0.129</v>
      </c>
      <c r="J1259" s="97">
        <f t="shared" si="218"/>
        <v>69.25</v>
      </c>
      <c r="L1259" s="98">
        <v>506.77</v>
      </c>
      <c r="M1259" s="99">
        <v>0.14937</v>
      </c>
      <c r="N1259" s="100">
        <f t="shared" si="219"/>
        <v>75.7</v>
      </c>
      <c r="O1259" s="105" t="s">
        <v>618</v>
      </c>
      <c r="R1259" s="102" t="s">
        <v>619</v>
      </c>
      <c r="AA1259">
        <v>780.81799999999998</v>
      </c>
    </row>
    <row r="1260" spans="1:30" x14ac:dyDescent="0.2">
      <c r="A1260" s="89" t="s">
        <v>620</v>
      </c>
      <c r="B1260" s="90">
        <f>IF($P$1258&lt;&gt;"",ROUND(AA1260*(($AB$1258/(1-$P$1258))-60.94)/403.742,2),IF('Resumen 2.0TD'!$D$3="OPTIMIZAR",ROUND(MAX(AA1260,MIN(AA1260*(($AB$1258/(1-'Resumen 2.0TD'!$F$3))-60.94)/403.742,AA1260*(668.7878)/403.742)),3),AA1260))</f>
        <v>1927.3710000000001</v>
      </c>
      <c r="C1260" s="103"/>
      <c r="D1260" s="92">
        <v>0.11117100000000001</v>
      </c>
      <c r="E1260" s="93">
        <v>0.129</v>
      </c>
      <c r="F1260" s="94">
        <f t="shared" si="217"/>
        <v>248.63</v>
      </c>
      <c r="H1260" s="95">
        <v>1298.26</v>
      </c>
      <c r="I1260" s="96">
        <v>0.129</v>
      </c>
      <c r="J1260" s="97">
        <f t="shared" si="218"/>
        <v>167.48</v>
      </c>
      <c r="L1260" s="98">
        <v>1039.06</v>
      </c>
      <c r="M1260" s="99">
        <v>0.14937</v>
      </c>
      <c r="N1260" s="100">
        <f t="shared" si="219"/>
        <v>155.19999999999999</v>
      </c>
      <c r="O1260" s="105" t="s">
        <v>621</v>
      </c>
      <c r="AA1260">
        <v>1511.51</v>
      </c>
    </row>
    <row r="1261" spans="1:30" x14ac:dyDescent="0.2">
      <c r="A1261" s="89" t="s">
        <v>139</v>
      </c>
      <c r="B1261" s="90">
        <v>1</v>
      </c>
      <c r="C1261" s="91">
        <f>$N$1253-$L$1253+1</f>
        <v>30</v>
      </c>
      <c r="D1261" s="92">
        <v>1.3413999999999999</v>
      </c>
      <c r="E1261" s="93">
        <v>4</v>
      </c>
      <c r="F1261" s="94">
        <f t="shared" si="217"/>
        <v>4</v>
      </c>
      <c r="H1261" s="95">
        <v>1</v>
      </c>
      <c r="I1261" s="96">
        <v>1</v>
      </c>
      <c r="J1261" s="97">
        <f t="shared" si="218"/>
        <v>1</v>
      </c>
      <c r="L1261" s="98">
        <v>1</v>
      </c>
      <c r="M1261" s="99">
        <v>4</v>
      </c>
      <c r="N1261" s="100">
        <f t="shared" si="219"/>
        <v>4</v>
      </c>
    </row>
    <row r="1262" spans="1:30" x14ac:dyDescent="0.2">
      <c r="A1262" s="89" t="s">
        <v>140</v>
      </c>
      <c r="B1262" s="90">
        <v>30</v>
      </c>
      <c r="C1262" s="91">
        <f>$N$1253-$L$1253+1</f>
        <v>30</v>
      </c>
      <c r="D1262" s="92">
        <v>0.5736</v>
      </c>
      <c r="E1262" s="93">
        <v>1.274E-2</v>
      </c>
      <c r="F1262" s="94">
        <f t="shared" si="217"/>
        <v>0.38</v>
      </c>
      <c r="H1262" s="95">
        <v>30</v>
      </c>
      <c r="I1262" s="96">
        <v>1.274E-2</v>
      </c>
      <c r="J1262" s="97">
        <f t="shared" si="218"/>
        <v>0.38</v>
      </c>
      <c r="L1262" s="98">
        <v>30</v>
      </c>
      <c r="M1262" s="99">
        <v>6.2899999999999996E-3</v>
      </c>
      <c r="N1262" s="100">
        <f t="shared" si="219"/>
        <v>0.19</v>
      </c>
    </row>
    <row r="1263" spans="1:30" x14ac:dyDescent="0.2">
      <c r="A1263" s="89" t="s">
        <v>141</v>
      </c>
      <c r="B1263" s="90">
        <v>25.15</v>
      </c>
      <c r="C1263" s="103"/>
      <c r="D1263" s="92">
        <v>0.27311999999999997</v>
      </c>
      <c r="E1263" s="93">
        <v>1</v>
      </c>
      <c r="F1263" s="94">
        <f t="shared" si="217"/>
        <v>25.15</v>
      </c>
      <c r="H1263" s="95">
        <v>21.33</v>
      </c>
      <c r="I1263" s="96">
        <v>1</v>
      </c>
      <c r="J1263" s="97">
        <f t="shared" si="218"/>
        <v>21.33</v>
      </c>
      <c r="L1263" s="98">
        <v>19.64</v>
      </c>
      <c r="M1263" s="99">
        <v>1</v>
      </c>
      <c r="N1263" s="100">
        <f t="shared" si="219"/>
        <v>19.64</v>
      </c>
    </row>
    <row r="1264" spans="1:30" x14ac:dyDescent="0.2">
      <c r="A1264" s="106" t="s">
        <v>142</v>
      </c>
      <c r="F1264" s="107">
        <f>ROUND((SUM(F1256:F1263)-F1263)*1.1+F1263,2)</f>
        <v>663.3</v>
      </c>
      <c r="J1264" s="108">
        <f>ROUND(SUM(J1256:J1263),2)</f>
        <v>416.01</v>
      </c>
      <c r="N1264" s="109">
        <f>ROUND(SUM(N1256:N1263),2)</f>
        <v>407.94</v>
      </c>
    </row>
    <row r="1265" spans="1:30" x14ac:dyDescent="0.2">
      <c r="A1265" s="78" t="s">
        <v>143</v>
      </c>
      <c r="B1265" s="110">
        <f>IF((F1260+F1259+F1258+F1256+F1257)=0,"",((F1260+F1259+F1258+F1256+F1257)-$AB$1258)/(F1260+F1259+F1258+F1256+F1257))</f>
        <v>0.29999604714985412</v>
      </c>
      <c r="D1265" s="139" t="str">
        <f>IF(B1265="","SIN PC",IF(B1265&gt;=0.3,"APROBAR",IF(B1265&gt;=0.2,"REVISAR","RECHAZAR")))</f>
        <v>REVISAR</v>
      </c>
      <c r="E1265" s="139"/>
      <c r="F1265" s="139"/>
      <c r="AD1265">
        <f>SUM(F1258:F1260)-403.742</f>
        <v>111.07799999999992</v>
      </c>
    </row>
    <row r="1267" spans="1:30" x14ac:dyDescent="0.2">
      <c r="A1267" s="137" t="s">
        <v>1238</v>
      </c>
      <c r="B1267" s="137"/>
      <c r="C1267" s="137"/>
      <c r="D1267" s="137"/>
      <c r="E1267" s="137"/>
      <c r="F1267" s="137"/>
      <c r="H1267" s="137" t="s">
        <v>1239</v>
      </c>
      <c r="I1267" s="137"/>
      <c r="J1267" s="137"/>
      <c r="K1267" s="137"/>
      <c r="L1267" s="76">
        <v>46113</v>
      </c>
      <c r="M1267" s="77" t="s">
        <v>607</v>
      </c>
      <c r="N1267" s="76">
        <v>46142</v>
      </c>
      <c r="R1267" s="138" t="s">
        <v>110</v>
      </c>
      <c r="S1267" s="138"/>
      <c r="T1267" s="138"/>
      <c r="U1267" s="138"/>
      <c r="V1267" s="138"/>
    </row>
    <row r="1268" spans="1:30" x14ac:dyDescent="0.2">
      <c r="A1268" s="78" t="s">
        <v>111</v>
      </c>
      <c r="B1268" s="79" t="s">
        <v>112</v>
      </c>
      <c r="C1268" s="80"/>
      <c r="D1268" s="80"/>
      <c r="E1268" s="80"/>
      <c r="F1268" s="80"/>
      <c r="H1268" s="81" t="s">
        <v>1240</v>
      </c>
      <c r="I1268" s="82"/>
      <c r="J1268" s="82"/>
      <c r="L1268" s="83" t="s">
        <v>1241</v>
      </c>
      <c r="M1268" s="84"/>
      <c r="N1268" s="84"/>
      <c r="R1268" s="85" t="s">
        <v>1242</v>
      </c>
    </row>
    <row r="1269" spans="1:30" x14ac:dyDescent="0.2">
      <c r="B1269" s="68" t="s">
        <v>116</v>
      </c>
      <c r="C1269" s="68" t="s">
        <v>117</v>
      </c>
      <c r="D1269" s="68" t="s">
        <v>118</v>
      </c>
      <c r="E1269" s="68" t="s">
        <v>119</v>
      </c>
      <c r="F1269" s="68" t="s">
        <v>120</v>
      </c>
      <c r="H1269" s="86" t="s">
        <v>116</v>
      </c>
      <c r="I1269" s="86" t="s">
        <v>119</v>
      </c>
      <c r="J1269" s="86" t="s">
        <v>120</v>
      </c>
      <c r="L1269" s="87" t="s">
        <v>116</v>
      </c>
      <c r="M1269" s="87" t="s">
        <v>119</v>
      </c>
      <c r="N1269" s="87" t="s">
        <v>120</v>
      </c>
      <c r="R1269" s="88" t="s">
        <v>1243</v>
      </c>
    </row>
    <row r="1270" spans="1:30" x14ac:dyDescent="0.2">
      <c r="A1270" s="89" t="s">
        <v>122</v>
      </c>
      <c r="B1270" s="90">
        <v>3.45</v>
      </c>
      <c r="C1270" s="91">
        <f>$N$1267-$L$1267+1</f>
        <v>30</v>
      </c>
      <c r="D1270" s="92">
        <v>3.68919</v>
      </c>
      <c r="E1270" s="93">
        <v>3.85</v>
      </c>
      <c r="F1270" s="94">
        <f t="shared" ref="F1270:F1277" si="220">ROUND(B1270*E1270,2)</f>
        <v>13.28</v>
      </c>
      <c r="H1270" s="95">
        <v>3.45</v>
      </c>
      <c r="I1270" s="96">
        <v>3.85</v>
      </c>
      <c r="J1270" s="97">
        <f t="shared" ref="J1270:J1277" si="221">ROUND(H1270*I1270,2)</f>
        <v>13.28</v>
      </c>
      <c r="L1270" s="98">
        <v>3.45</v>
      </c>
      <c r="M1270" s="99">
        <v>3.85</v>
      </c>
      <c r="N1270" s="100">
        <f>ROUND(L1270*M1270,2)</f>
        <v>13.28</v>
      </c>
      <c r="R1270" s="101" t="s">
        <v>1244</v>
      </c>
    </row>
    <row r="1271" spans="1:30" x14ac:dyDescent="0.2">
      <c r="A1271" s="89" t="s">
        <v>124</v>
      </c>
      <c r="B1271" s="90">
        <v>3.45</v>
      </c>
      <c r="C1271" s="91">
        <f>$N$1267-$L$1267+1</f>
        <v>30</v>
      </c>
      <c r="D1271" s="92">
        <v>1.31928</v>
      </c>
      <c r="E1271" s="93">
        <v>1.33</v>
      </c>
      <c r="F1271" s="94">
        <f t="shared" si="220"/>
        <v>4.59</v>
      </c>
      <c r="H1271" s="95">
        <v>3.45</v>
      </c>
      <c r="I1271" s="96">
        <v>1.33</v>
      </c>
      <c r="J1271" s="97">
        <f t="shared" si="221"/>
        <v>4.59</v>
      </c>
      <c r="L1271" s="98">
        <v>3.45</v>
      </c>
      <c r="M1271" s="99">
        <v>1.33</v>
      </c>
      <c r="N1271" s="100">
        <f>ROUND(L1271*M1271,2)</f>
        <v>4.59</v>
      </c>
      <c r="R1271" s="102" t="s">
        <v>1245</v>
      </c>
    </row>
    <row r="1272" spans="1:30" x14ac:dyDescent="0.2">
      <c r="A1272" s="89" t="s">
        <v>614</v>
      </c>
      <c r="B1272" s="90">
        <f>IF($P$1272&lt;&gt;"",ROUND(AA1272*(($AB$1272/(1-$P$1272))-17.871)/83.2412,2),IF('Resumen 2.0TD'!$D$3="OPTIMIZAR",ROUND(MAX(AA1272,MIN(AA1272*(($AB$1272/(1-'Resumen 2.0TD'!$F$3))-17.871)/83.2412,AA1272*(191.6868)/83.2412)),3),AA1272))</f>
        <v>144.72499999999999</v>
      </c>
      <c r="C1272" s="103"/>
      <c r="D1272" s="92">
        <v>0.120671</v>
      </c>
      <c r="E1272" s="93">
        <v>0.13788</v>
      </c>
      <c r="F1272" s="94">
        <f t="shared" si="220"/>
        <v>19.95</v>
      </c>
      <c r="H1272" s="95">
        <v>194.82400000000001</v>
      </c>
      <c r="I1272" s="96">
        <v>0.13788</v>
      </c>
      <c r="J1272" s="97">
        <f t="shared" si="221"/>
        <v>26.86</v>
      </c>
      <c r="L1272" s="98">
        <v>1250</v>
      </c>
      <c r="M1272" s="99">
        <v>0.13788</v>
      </c>
      <c r="N1272" s="100">
        <f>ROUND(L1272*M1272,2)</f>
        <v>172.35</v>
      </c>
      <c r="O1272" s="104" t="s">
        <v>615</v>
      </c>
      <c r="P1272" s="67"/>
      <c r="R1272" s="102" t="s">
        <v>1246</v>
      </c>
      <c r="AA1272">
        <v>108.642</v>
      </c>
      <c r="AB1272">
        <f>B1270*D1270+B1271*D1271+AA1272*D1272+AA1273*D1273+AA1274*D1274</f>
        <v>90.130958962000008</v>
      </c>
    </row>
    <row r="1273" spans="1:30" x14ac:dyDescent="0.2">
      <c r="A1273" s="89" t="s">
        <v>617</v>
      </c>
      <c r="B1273" s="90">
        <f>IF($P$1272&lt;&gt;"",ROUND(AA1273*(($AB$1272/(1-$P$1272))-17.871)/83.2412,2),IF('Resumen 2.0TD'!$D$3="OPTIMIZAR",ROUND(MAX(AA1273,MIN(AA1273*(($AB$1272/(1-'Resumen 2.0TD'!$F$3))-17.871)/83.2412,AA1273*(191.6868)/83.2412)),3),AA1273))</f>
        <v>282.233</v>
      </c>
      <c r="C1273" s="103"/>
      <c r="D1273" s="92">
        <v>0.120671</v>
      </c>
      <c r="E1273" s="93">
        <v>0.13788</v>
      </c>
      <c r="F1273" s="94">
        <f t="shared" si="220"/>
        <v>38.909999999999997</v>
      </c>
      <c r="H1273" s="95">
        <v>192.971</v>
      </c>
      <c r="I1273" s="96">
        <v>0.13788</v>
      </c>
      <c r="J1273" s="97">
        <f t="shared" si="221"/>
        <v>26.61</v>
      </c>
      <c r="L1273" s="119"/>
      <c r="M1273" s="119"/>
      <c r="N1273" s="119"/>
      <c r="O1273" s="105" t="s">
        <v>618</v>
      </c>
      <c r="R1273" s="102" t="s">
        <v>619</v>
      </c>
      <c r="AA1273">
        <v>211.86699999999999</v>
      </c>
    </row>
    <row r="1274" spans="1:30" x14ac:dyDescent="0.2">
      <c r="A1274" s="89" t="s">
        <v>620</v>
      </c>
      <c r="B1274" s="90">
        <f>IF($P$1272&lt;&gt;"",ROUND(AA1274*(($AB$1272/(1-$P$1272))-17.871)/83.2412,2),IF('Resumen 2.0TD'!$D$3="OPTIMIZAR",ROUND(MAX(AA1274,MIN(AA1274*(($AB$1272/(1-'Resumen 2.0TD'!$F$3))-17.871)/83.2412,AA1274*(191.6868)/83.2412)),3),AA1274))</f>
        <v>377.27499999999998</v>
      </c>
      <c r="C1274" s="103"/>
      <c r="D1274" s="92">
        <v>0.120671</v>
      </c>
      <c r="E1274" s="93">
        <v>0.13788</v>
      </c>
      <c r="F1274" s="94">
        <f t="shared" si="220"/>
        <v>52.02</v>
      </c>
      <c r="H1274" s="95">
        <v>134.62899999999999</v>
      </c>
      <c r="I1274" s="96">
        <v>0.13788</v>
      </c>
      <c r="J1274" s="97">
        <f t="shared" si="221"/>
        <v>18.559999999999999</v>
      </c>
      <c r="L1274" s="119"/>
      <c r="M1274" s="119"/>
      <c r="N1274" s="119"/>
      <c r="O1274" s="105" t="s">
        <v>621</v>
      </c>
      <c r="AA1274">
        <v>283.21300000000002</v>
      </c>
    </row>
    <row r="1275" spans="1:30" x14ac:dyDescent="0.2">
      <c r="A1275" s="89" t="s">
        <v>139</v>
      </c>
      <c r="B1275" s="90">
        <v>1</v>
      </c>
      <c r="C1275" s="91">
        <f>$N$1267-$L$1267+1</f>
        <v>30</v>
      </c>
      <c r="D1275" s="92">
        <v>0.79890000000000005</v>
      </c>
      <c r="E1275" s="93">
        <v>3</v>
      </c>
      <c r="F1275" s="94">
        <f t="shared" si="220"/>
        <v>3</v>
      </c>
      <c r="H1275" s="95">
        <v>1</v>
      </c>
      <c r="I1275" s="96">
        <v>3</v>
      </c>
      <c r="J1275" s="97">
        <f t="shared" si="221"/>
        <v>3</v>
      </c>
      <c r="L1275" s="98">
        <v>1</v>
      </c>
      <c r="M1275" s="99">
        <v>3</v>
      </c>
      <c r="N1275" s="100">
        <f>ROUND(L1275*M1275,2)</f>
        <v>3</v>
      </c>
    </row>
    <row r="1276" spans="1:30" x14ac:dyDescent="0.2">
      <c r="A1276" s="89" t="s">
        <v>140</v>
      </c>
      <c r="B1276" s="90">
        <v>30</v>
      </c>
      <c r="C1276" s="91">
        <f>$N$1267-$L$1267+1</f>
        <v>30</v>
      </c>
      <c r="D1276" s="92">
        <v>0.5736</v>
      </c>
      <c r="E1276" s="93">
        <v>1.274E-2</v>
      </c>
      <c r="F1276" s="94">
        <f t="shared" si="220"/>
        <v>0.38</v>
      </c>
      <c r="H1276" s="95">
        <v>30</v>
      </c>
      <c r="I1276" s="96">
        <v>1.274E-2</v>
      </c>
      <c r="J1276" s="97">
        <f t="shared" si="221"/>
        <v>0.38</v>
      </c>
      <c r="L1276" s="98">
        <v>30</v>
      </c>
      <c r="M1276" s="99">
        <v>6.2899999999999996E-3</v>
      </c>
      <c r="N1276" s="100">
        <f>ROUND(L1276*M1276,2)</f>
        <v>0.19</v>
      </c>
    </row>
    <row r="1277" spans="1:30" x14ac:dyDescent="0.2">
      <c r="A1277" s="89" t="s">
        <v>141</v>
      </c>
      <c r="B1277" s="90">
        <v>5.53</v>
      </c>
      <c r="C1277" s="103"/>
      <c r="D1277" s="92">
        <v>0.27457999999999999</v>
      </c>
      <c r="E1277" s="93">
        <v>1</v>
      </c>
      <c r="F1277" s="94">
        <f t="shared" si="220"/>
        <v>5.53</v>
      </c>
      <c r="H1277" s="95">
        <v>4.92</v>
      </c>
      <c r="I1277" s="96">
        <v>1</v>
      </c>
      <c r="J1277" s="97">
        <f t="shared" si="221"/>
        <v>4.92</v>
      </c>
      <c r="L1277" s="98">
        <v>0.92</v>
      </c>
      <c r="M1277" s="99">
        <v>1</v>
      </c>
      <c r="N1277" s="100">
        <f>ROUND(L1277*M1277,2)</f>
        <v>0.92</v>
      </c>
    </row>
    <row r="1278" spans="1:30" x14ac:dyDescent="0.2">
      <c r="A1278" s="106" t="s">
        <v>142</v>
      </c>
      <c r="F1278" s="107">
        <f>ROUND((SUM(F1270:F1277)-F1277)*1.1+F1277,2)</f>
        <v>150.87</v>
      </c>
      <c r="J1278" s="108">
        <f>ROUND(SUM(J1270:J1277),2)</f>
        <v>98.2</v>
      </c>
      <c r="N1278" s="109">
        <f>ROUND(SUM(N1270:N1277),2)</f>
        <v>194.33</v>
      </c>
    </row>
    <row r="1279" spans="1:30" x14ac:dyDescent="0.2">
      <c r="A1279" s="78" t="s">
        <v>143</v>
      </c>
      <c r="B1279" s="110">
        <f>IF((F1274+F1273+F1272+F1270+F1271)=0,"",((F1274+F1273+F1272+F1270+F1271)-$AB$1272)/(F1274+F1273+F1272+F1270+F1271))</f>
        <v>0.29995371679999994</v>
      </c>
      <c r="D1279" s="139" t="str">
        <f>IF(B1279="","SIN PC",IF(B1279&gt;=0.3,"APROBAR",IF(B1279&gt;=0.2,"REVISAR","RECHAZAR")))</f>
        <v>REVISAR</v>
      </c>
      <c r="E1279" s="139"/>
      <c r="F1279" s="139"/>
      <c r="AD1279">
        <f>SUM(F1272:F1274)-83.2412</f>
        <v>27.638799999999989</v>
      </c>
    </row>
    <row r="1281" spans="1:30" x14ac:dyDescent="0.2">
      <c r="A1281" s="137" t="s">
        <v>1247</v>
      </c>
      <c r="B1281" s="137"/>
      <c r="C1281" s="137"/>
      <c r="D1281" s="137"/>
      <c r="E1281" s="137"/>
      <c r="F1281" s="137"/>
      <c r="H1281" s="137" t="s">
        <v>1248</v>
      </c>
      <c r="I1281" s="137"/>
      <c r="J1281" s="137"/>
      <c r="K1281" s="137"/>
      <c r="L1281" s="76">
        <v>46113</v>
      </c>
      <c r="M1281" s="77" t="s">
        <v>607</v>
      </c>
      <c r="N1281" s="76">
        <v>46142</v>
      </c>
      <c r="R1281" s="138" t="s">
        <v>110</v>
      </c>
      <c r="S1281" s="138"/>
      <c r="T1281" s="138"/>
      <c r="U1281" s="138"/>
      <c r="V1281" s="138"/>
    </row>
    <row r="1282" spans="1:30" x14ac:dyDescent="0.2">
      <c r="A1282" s="78" t="s">
        <v>111</v>
      </c>
      <c r="B1282" s="79" t="s">
        <v>112</v>
      </c>
      <c r="C1282" s="80"/>
      <c r="D1282" s="80"/>
      <c r="E1282" s="80"/>
      <c r="F1282" s="80"/>
      <c r="H1282" s="81" t="s">
        <v>1249</v>
      </c>
      <c r="I1282" s="82"/>
      <c r="J1282" s="82"/>
      <c r="L1282" s="83" t="s">
        <v>1250</v>
      </c>
      <c r="M1282" s="84"/>
      <c r="N1282" s="84"/>
      <c r="R1282" s="85" t="s">
        <v>1251</v>
      </c>
    </row>
    <row r="1283" spans="1:30" x14ac:dyDescent="0.2">
      <c r="B1283" s="68" t="s">
        <v>116</v>
      </c>
      <c r="C1283" s="68" t="s">
        <v>117</v>
      </c>
      <c r="D1283" s="68" t="s">
        <v>118</v>
      </c>
      <c r="E1283" s="68" t="s">
        <v>119</v>
      </c>
      <c r="F1283" s="68" t="s">
        <v>120</v>
      </c>
      <c r="H1283" s="86" t="s">
        <v>116</v>
      </c>
      <c r="I1283" s="86" t="s">
        <v>119</v>
      </c>
      <c r="J1283" s="86" t="s">
        <v>120</v>
      </c>
      <c r="L1283" s="87" t="s">
        <v>116</v>
      </c>
      <c r="M1283" s="87" t="s">
        <v>119</v>
      </c>
      <c r="N1283" s="87" t="s">
        <v>120</v>
      </c>
      <c r="R1283" s="88" t="s">
        <v>1252</v>
      </c>
    </row>
    <row r="1284" spans="1:30" x14ac:dyDescent="0.2">
      <c r="A1284" s="89" t="s">
        <v>122</v>
      </c>
      <c r="B1284" s="90">
        <v>5.5</v>
      </c>
      <c r="C1284" s="91">
        <f>$N$1281-$L$1281+1</f>
        <v>30</v>
      </c>
      <c r="D1284" s="92">
        <v>3.68919</v>
      </c>
      <c r="E1284" s="93">
        <v>3.85</v>
      </c>
      <c r="F1284" s="94">
        <f t="shared" ref="F1284:F1291" si="222">ROUND(B1284*E1284,2)</f>
        <v>21.18</v>
      </c>
      <c r="H1284" s="95">
        <v>5.5</v>
      </c>
      <c r="I1284" s="96">
        <v>3.85</v>
      </c>
      <c r="J1284" s="97">
        <f t="shared" ref="J1284:J1291" si="223">ROUND(H1284*I1284,2)</f>
        <v>21.18</v>
      </c>
      <c r="L1284" s="98">
        <v>5.5</v>
      </c>
      <c r="M1284" s="99">
        <v>3.85</v>
      </c>
      <c r="N1284" s="100">
        <f t="shared" ref="N1284:N1291" si="224">ROUND(L1284*M1284,2)</f>
        <v>21.18</v>
      </c>
      <c r="R1284" s="101" t="s">
        <v>1253</v>
      </c>
    </row>
    <row r="1285" spans="1:30" x14ac:dyDescent="0.2">
      <c r="A1285" s="89" t="s">
        <v>124</v>
      </c>
      <c r="B1285" s="90">
        <v>5.5</v>
      </c>
      <c r="C1285" s="91">
        <f>$N$1281-$L$1281+1</f>
        <v>30</v>
      </c>
      <c r="D1285" s="92">
        <v>1.31928</v>
      </c>
      <c r="E1285" s="93">
        <v>1.33</v>
      </c>
      <c r="F1285" s="94">
        <f t="shared" si="222"/>
        <v>7.32</v>
      </c>
      <c r="H1285" s="95">
        <v>5.5</v>
      </c>
      <c r="I1285" s="96">
        <v>1.33</v>
      </c>
      <c r="J1285" s="97">
        <f t="shared" si="223"/>
        <v>7.32</v>
      </c>
      <c r="L1285" s="98">
        <v>5.5</v>
      </c>
      <c r="M1285" s="99">
        <v>1.33</v>
      </c>
      <c r="N1285" s="100">
        <f t="shared" si="224"/>
        <v>7.32</v>
      </c>
      <c r="R1285" s="102" t="s">
        <v>1254</v>
      </c>
    </row>
    <row r="1286" spans="1:30" x14ac:dyDescent="0.2">
      <c r="A1286" s="89" t="s">
        <v>614</v>
      </c>
      <c r="B1286" s="90">
        <f>IF($P$1286&lt;&gt;"",ROUND(AA1286*(($AB$1286/(1-$P$1286))-28.49)/56.8271,2),IF('Resumen 2.0TD'!$D$3="OPTIMIZAR",ROUND(MAX(AA1286,MIN(AA1286*(($AB$1286/(1-'Resumen 2.0TD'!$F$3))-28.49)/56.8271,AA1286*(73.1778)/56.8271)),3),AA1286))</f>
        <v>159.703</v>
      </c>
      <c r="C1286" s="103"/>
      <c r="D1286" s="92">
        <v>0.11117100000000001</v>
      </c>
      <c r="E1286" s="93">
        <v>0.129</v>
      </c>
      <c r="F1286" s="94">
        <f t="shared" si="222"/>
        <v>20.6</v>
      </c>
      <c r="H1286" s="95">
        <v>124.004</v>
      </c>
      <c r="I1286" s="96">
        <v>0.13788</v>
      </c>
      <c r="J1286" s="97">
        <f t="shared" si="223"/>
        <v>17.100000000000001</v>
      </c>
      <c r="L1286" s="98">
        <v>37.808999999999997</v>
      </c>
      <c r="M1286" s="99">
        <v>0.13788</v>
      </c>
      <c r="N1286" s="100">
        <f t="shared" si="224"/>
        <v>5.21</v>
      </c>
      <c r="O1286" s="104" t="s">
        <v>615</v>
      </c>
      <c r="P1286" s="67"/>
      <c r="R1286" s="102" t="s">
        <v>1255</v>
      </c>
      <c r="AA1286">
        <v>124.01900000000001</v>
      </c>
      <c r="AB1286">
        <f>B1284*D1284+B1285*D1285+AA1286*D1286+AA1287*D1287+AA1288*D1288</f>
        <v>76.519633920000004</v>
      </c>
    </row>
    <row r="1287" spans="1:30" x14ac:dyDescent="0.2">
      <c r="A1287" s="89" t="s">
        <v>617</v>
      </c>
      <c r="B1287" s="90">
        <f>IF($P$1286&lt;&gt;"",ROUND(AA1287*(($AB$1286/(1-$P$1286))-28.49)/56.8271,2),IF('Resumen 2.0TD'!$D$3="OPTIMIZAR",ROUND(MAX(AA1287,MIN(AA1287*(($AB$1286/(1-'Resumen 2.0TD'!$F$3))-28.49)/56.8271,AA1287*(73.1778)/56.8271)),3),AA1287))</f>
        <v>116.754</v>
      </c>
      <c r="C1287" s="103"/>
      <c r="D1287" s="92">
        <v>0.11117100000000001</v>
      </c>
      <c r="E1287" s="93">
        <v>0.129</v>
      </c>
      <c r="F1287" s="94">
        <f t="shared" si="222"/>
        <v>15.06</v>
      </c>
      <c r="H1287" s="95">
        <v>117.61</v>
      </c>
      <c r="I1287" s="96">
        <v>0.13788</v>
      </c>
      <c r="J1287" s="97">
        <f t="shared" si="223"/>
        <v>16.22</v>
      </c>
      <c r="L1287" s="98">
        <v>40.052999999999997</v>
      </c>
      <c r="M1287" s="99">
        <v>0.13788</v>
      </c>
      <c r="N1287" s="100">
        <f t="shared" si="224"/>
        <v>5.52</v>
      </c>
      <c r="O1287" s="105" t="s">
        <v>618</v>
      </c>
      <c r="R1287" s="102" t="s">
        <v>619</v>
      </c>
      <c r="AA1287">
        <v>90.667000000000002</v>
      </c>
    </row>
    <row r="1288" spans="1:30" x14ac:dyDescent="0.2">
      <c r="A1288" s="89" t="s">
        <v>620</v>
      </c>
      <c r="B1288" s="90">
        <f>IF($P$1286&lt;&gt;"",ROUND(AA1288*(($AB$1286/(1-$P$1286))-28.49)/56.8271,2),IF('Resumen 2.0TD'!$D$3="OPTIMIZAR",ROUND(MAX(AA1288,MIN(AA1288*(($AB$1286/(1-'Resumen 2.0TD'!$F$3))-28.49)/56.8271,AA1288*(73.1778)/56.8271)),3),AA1288))</f>
        <v>290.81299999999999</v>
      </c>
      <c r="C1288" s="103"/>
      <c r="D1288" s="92">
        <v>0.11117100000000001</v>
      </c>
      <c r="E1288" s="93">
        <v>0.129</v>
      </c>
      <c r="F1288" s="94">
        <f t="shared" si="222"/>
        <v>37.51</v>
      </c>
      <c r="H1288" s="95">
        <v>232.77600000000001</v>
      </c>
      <c r="I1288" s="96">
        <v>0.13788</v>
      </c>
      <c r="J1288" s="97">
        <f t="shared" si="223"/>
        <v>32.1</v>
      </c>
      <c r="L1288" s="98">
        <v>99.488</v>
      </c>
      <c r="M1288" s="99">
        <v>0.13788</v>
      </c>
      <c r="N1288" s="100">
        <f t="shared" si="224"/>
        <v>13.72</v>
      </c>
      <c r="O1288" s="105" t="s">
        <v>621</v>
      </c>
      <c r="AA1288">
        <v>225.834</v>
      </c>
    </row>
    <row r="1289" spans="1:30" x14ac:dyDescent="0.2">
      <c r="A1289" s="89" t="s">
        <v>139</v>
      </c>
      <c r="B1289" s="90">
        <v>1</v>
      </c>
      <c r="C1289" s="91">
        <f>$N$1281-$L$1281+1</f>
        <v>30</v>
      </c>
      <c r="D1289" s="92">
        <v>0.79890000000000005</v>
      </c>
      <c r="E1289" s="93">
        <v>3</v>
      </c>
      <c r="F1289" s="94">
        <f t="shared" si="222"/>
        <v>3</v>
      </c>
      <c r="H1289" s="95">
        <v>1</v>
      </c>
      <c r="I1289" s="96">
        <v>3</v>
      </c>
      <c r="J1289" s="97">
        <f t="shared" si="223"/>
        <v>3</v>
      </c>
      <c r="L1289" s="98">
        <v>1</v>
      </c>
      <c r="M1289" s="99">
        <v>3</v>
      </c>
      <c r="N1289" s="100">
        <f t="shared" si="224"/>
        <v>3</v>
      </c>
    </row>
    <row r="1290" spans="1:30" x14ac:dyDescent="0.2">
      <c r="A1290" s="89" t="s">
        <v>140</v>
      </c>
      <c r="B1290" s="90">
        <v>30</v>
      </c>
      <c r="C1290" s="91">
        <f>$N$1281-$L$1281+1</f>
        <v>30</v>
      </c>
      <c r="D1290" s="92">
        <v>0.5736</v>
      </c>
      <c r="E1290" s="93">
        <v>1.274E-2</v>
      </c>
      <c r="F1290" s="94">
        <f t="shared" si="222"/>
        <v>0.38</v>
      </c>
      <c r="H1290" s="95">
        <v>30</v>
      </c>
      <c r="I1290" s="96">
        <v>1.274E-2</v>
      </c>
      <c r="J1290" s="97">
        <f t="shared" si="223"/>
        <v>0.38</v>
      </c>
      <c r="L1290" s="98">
        <v>30</v>
      </c>
      <c r="M1290" s="99">
        <v>6.2899999999999996E-3</v>
      </c>
      <c r="N1290" s="100">
        <f t="shared" si="224"/>
        <v>0.19</v>
      </c>
    </row>
    <row r="1291" spans="1:30" x14ac:dyDescent="0.2">
      <c r="A1291" s="89" t="s">
        <v>141</v>
      </c>
      <c r="B1291" s="90">
        <v>4.76</v>
      </c>
      <c r="C1291" s="103"/>
      <c r="D1291" s="92">
        <v>0.27311999999999997</v>
      </c>
      <c r="E1291" s="93">
        <v>1</v>
      </c>
      <c r="F1291" s="94">
        <f t="shared" si="222"/>
        <v>4.76</v>
      </c>
      <c r="H1291" s="95">
        <v>4.8099999999999996</v>
      </c>
      <c r="I1291" s="96">
        <v>1</v>
      </c>
      <c r="J1291" s="97">
        <f t="shared" si="223"/>
        <v>4.8099999999999996</v>
      </c>
      <c r="L1291" s="98">
        <v>2.72</v>
      </c>
      <c r="M1291" s="99">
        <v>1</v>
      </c>
      <c r="N1291" s="100">
        <f t="shared" si="224"/>
        <v>2.72</v>
      </c>
    </row>
    <row r="1292" spans="1:30" x14ac:dyDescent="0.2">
      <c r="A1292" s="106" t="s">
        <v>142</v>
      </c>
      <c r="F1292" s="107">
        <f>ROUND((SUM(F1284:F1291)-F1291)*1.1+F1291,2)</f>
        <v>120.32</v>
      </c>
      <c r="J1292" s="108">
        <f>ROUND(SUM(J1284:J1291),2)</f>
        <v>102.11</v>
      </c>
      <c r="N1292" s="109">
        <f>ROUND(SUM(N1284:N1291),2)</f>
        <v>58.86</v>
      </c>
    </row>
    <row r="1293" spans="1:30" x14ac:dyDescent="0.2">
      <c r="A1293" s="78" t="s">
        <v>143</v>
      </c>
      <c r="B1293" s="110">
        <f>IF((F1288+F1287+F1286+F1284+F1285)=0,"",((F1288+F1287+F1286+F1284+F1285)-$AB$1286)/(F1288+F1287+F1286+F1284+F1285))</f>
        <v>0.24737253939215095</v>
      </c>
      <c r="D1293" s="139" t="str">
        <f>IF(B1293="","SIN PC",IF(B1293&gt;=0.3,"APROBAR",IF(B1293&gt;=0.2,"REVISAR","RECHAZAR")))</f>
        <v>REVISAR</v>
      </c>
      <c r="E1293" s="139"/>
      <c r="F1293" s="139"/>
      <c r="AD1293">
        <f>SUM(F1286:F1288)-56.8271</f>
        <v>16.3429</v>
      </c>
    </row>
    <row r="1295" spans="1:30" x14ac:dyDescent="0.2">
      <c r="A1295" s="137" t="s">
        <v>1256</v>
      </c>
      <c r="B1295" s="137"/>
      <c r="C1295" s="137"/>
      <c r="D1295" s="137"/>
      <c r="E1295" s="137"/>
      <c r="F1295" s="137"/>
      <c r="H1295" s="137" t="s">
        <v>1257</v>
      </c>
      <c r="I1295" s="137"/>
      <c r="J1295" s="137"/>
      <c r="K1295" s="137"/>
      <c r="L1295" s="76">
        <v>46113</v>
      </c>
      <c r="M1295" s="77" t="s">
        <v>607</v>
      </c>
      <c r="N1295" s="76">
        <v>46142</v>
      </c>
      <c r="R1295" s="138" t="s">
        <v>110</v>
      </c>
      <c r="S1295" s="138"/>
      <c r="T1295" s="138"/>
      <c r="U1295" s="138"/>
      <c r="V1295" s="138"/>
    </row>
    <row r="1296" spans="1:30" x14ac:dyDescent="0.2">
      <c r="A1296" s="78" t="s">
        <v>111</v>
      </c>
      <c r="B1296" s="79" t="s">
        <v>112</v>
      </c>
      <c r="C1296" s="80"/>
      <c r="D1296" s="80"/>
      <c r="E1296" s="80"/>
      <c r="F1296" s="80"/>
      <c r="H1296" s="81" t="s">
        <v>1258</v>
      </c>
      <c r="I1296" s="82"/>
      <c r="J1296" s="82"/>
      <c r="L1296" s="83" t="s">
        <v>1259</v>
      </c>
      <c r="M1296" s="84"/>
      <c r="N1296" s="84"/>
      <c r="R1296" s="85" t="s">
        <v>1260</v>
      </c>
    </row>
    <row r="1297" spans="1:30" x14ac:dyDescent="0.2">
      <c r="B1297" s="68" t="s">
        <v>116</v>
      </c>
      <c r="C1297" s="68" t="s">
        <v>117</v>
      </c>
      <c r="D1297" s="68" t="s">
        <v>118</v>
      </c>
      <c r="E1297" s="68" t="s">
        <v>119</v>
      </c>
      <c r="F1297" s="68" t="s">
        <v>120</v>
      </c>
      <c r="H1297" s="86" t="s">
        <v>116</v>
      </c>
      <c r="I1297" s="86" t="s">
        <v>119</v>
      </c>
      <c r="J1297" s="86" t="s">
        <v>120</v>
      </c>
      <c r="L1297" s="87" t="s">
        <v>116</v>
      </c>
      <c r="M1297" s="87" t="s">
        <v>119</v>
      </c>
      <c r="N1297" s="87" t="s">
        <v>120</v>
      </c>
      <c r="R1297" s="88" t="s">
        <v>1261</v>
      </c>
    </row>
    <row r="1298" spans="1:30" x14ac:dyDescent="0.2">
      <c r="A1298" s="89" t="s">
        <v>122</v>
      </c>
      <c r="B1298" s="90">
        <v>10</v>
      </c>
      <c r="C1298" s="91">
        <f>$N$1295-$L$1295+1</f>
        <v>30</v>
      </c>
      <c r="D1298" s="92">
        <v>3.68919</v>
      </c>
      <c r="E1298" s="93">
        <v>4.17</v>
      </c>
      <c r="F1298" s="94">
        <f t="shared" ref="F1298:F1305" si="225">ROUND(B1298*E1298,2)</f>
        <v>41.7</v>
      </c>
      <c r="H1298" s="95">
        <v>10</v>
      </c>
      <c r="I1298" s="96">
        <v>4.17</v>
      </c>
      <c r="J1298" s="97">
        <f t="shared" ref="J1298:J1305" si="226">ROUND(H1298*I1298,2)</f>
        <v>41.7</v>
      </c>
      <c r="L1298" s="98">
        <v>10</v>
      </c>
      <c r="M1298" s="99">
        <v>4.82</v>
      </c>
      <c r="N1298" s="100">
        <f t="shared" ref="N1298:N1305" si="227">ROUND(L1298*M1298,2)</f>
        <v>48.2</v>
      </c>
      <c r="R1298" s="101" t="s">
        <v>1262</v>
      </c>
    </row>
    <row r="1299" spans="1:30" x14ac:dyDescent="0.2">
      <c r="A1299" s="89" t="s">
        <v>124</v>
      </c>
      <c r="B1299" s="90">
        <v>10</v>
      </c>
      <c r="C1299" s="91">
        <f>$N$1295-$L$1295+1</f>
        <v>30</v>
      </c>
      <c r="D1299" s="92">
        <v>1.31928</v>
      </c>
      <c r="E1299" s="93">
        <v>1.37</v>
      </c>
      <c r="F1299" s="94">
        <f t="shared" si="225"/>
        <v>13.7</v>
      </c>
      <c r="H1299" s="95">
        <v>10</v>
      </c>
      <c r="I1299" s="96">
        <v>1.37</v>
      </c>
      <c r="J1299" s="97">
        <f t="shared" si="226"/>
        <v>13.7</v>
      </c>
      <c r="L1299" s="98">
        <v>10</v>
      </c>
      <c r="M1299" s="99">
        <v>2.3744000000000001</v>
      </c>
      <c r="N1299" s="100">
        <f t="shared" si="227"/>
        <v>23.74</v>
      </c>
      <c r="R1299" s="102" t="s">
        <v>1263</v>
      </c>
    </row>
    <row r="1300" spans="1:30" x14ac:dyDescent="0.2">
      <c r="A1300" s="89" t="s">
        <v>614</v>
      </c>
      <c r="B1300" s="90">
        <f>IF($P$1300&lt;&gt;"",ROUND(AA1300*(($AB$1300/(1-$P$1300))-55.4)/48.8904,2),IF('Resumen 2.0TD'!$D$3="OPTIMIZAR",ROUND(MAX(AA1300,MIN(AA1300*(($AB$1300/(1-'Resumen 2.0TD'!$F$3))-55.4)/48.8904,AA1300*(281.1778)/48.8904)),3),AA1300))</f>
        <v>97.075000000000003</v>
      </c>
      <c r="C1300" s="103"/>
      <c r="D1300" s="92">
        <v>0.11117100000000001</v>
      </c>
      <c r="E1300" s="93">
        <v>0.14937</v>
      </c>
      <c r="F1300" s="94">
        <f t="shared" si="225"/>
        <v>14.5</v>
      </c>
      <c r="H1300" s="95">
        <v>162.32499999999999</v>
      </c>
      <c r="I1300" s="96">
        <v>0.14937</v>
      </c>
      <c r="J1300" s="97">
        <f t="shared" si="226"/>
        <v>24.25</v>
      </c>
      <c r="L1300" s="98">
        <v>140.27600000000001</v>
      </c>
      <c r="M1300" s="99">
        <v>0.1724</v>
      </c>
      <c r="N1300" s="100">
        <f t="shared" si="227"/>
        <v>24.18</v>
      </c>
      <c r="O1300" s="104" t="s">
        <v>615</v>
      </c>
      <c r="P1300" s="67"/>
      <c r="R1300" s="102" t="s">
        <v>1264</v>
      </c>
      <c r="AA1300">
        <v>69.66</v>
      </c>
      <c r="AB1300">
        <f>B1298*D1298+B1299*D1299+AA1300*D1300+AA1301*D1301+AA1302*D1302</f>
        <v>86.472191180999999</v>
      </c>
    </row>
    <row r="1301" spans="1:30" x14ac:dyDescent="0.2">
      <c r="A1301" s="89" t="s">
        <v>617</v>
      </c>
      <c r="B1301" s="90">
        <f>IF($P$1300&lt;&gt;"",ROUND(AA1301*(($AB$1300/(1-$P$1300))-55.4)/48.8904,2),IF('Resumen 2.0TD'!$D$3="OPTIMIZAR",ROUND(MAX(AA1301,MIN(AA1301*(($AB$1300/(1-'Resumen 2.0TD'!$F$3))-55.4)/48.8904,AA1301*(281.1778)/48.8904)),3),AA1301))</f>
        <v>108.069</v>
      </c>
      <c r="C1301" s="103"/>
      <c r="D1301" s="92">
        <v>0.11117100000000001</v>
      </c>
      <c r="E1301" s="93">
        <v>0.14937</v>
      </c>
      <c r="F1301" s="94">
        <f t="shared" si="225"/>
        <v>16.14</v>
      </c>
      <c r="H1301" s="95">
        <v>166.72399999999999</v>
      </c>
      <c r="I1301" s="96">
        <v>0.14937</v>
      </c>
      <c r="J1301" s="97">
        <f t="shared" si="226"/>
        <v>24.9</v>
      </c>
      <c r="L1301" s="98">
        <v>114.937</v>
      </c>
      <c r="M1301" s="99">
        <v>0.1724</v>
      </c>
      <c r="N1301" s="100">
        <f t="shared" si="227"/>
        <v>19.82</v>
      </c>
      <c r="O1301" s="105" t="s">
        <v>618</v>
      </c>
      <c r="R1301" s="102" t="s">
        <v>619</v>
      </c>
      <c r="AA1301">
        <v>77.549000000000007</v>
      </c>
    </row>
    <row r="1302" spans="1:30" x14ac:dyDescent="0.2">
      <c r="A1302" s="89" t="s">
        <v>620</v>
      </c>
      <c r="B1302" s="90">
        <f>IF($P$1300&lt;&gt;"",ROUND(AA1302*(($AB$1300/(1-$P$1300))-55.4)/48.8904,2),IF('Resumen 2.0TD'!$D$3="OPTIMIZAR",ROUND(MAX(AA1302,MIN(AA1302*(($AB$1300/(1-'Resumen 2.0TD'!$F$3))-55.4)/48.8904,AA1302*(281.1778)/48.8904)),3),AA1302))</f>
        <v>250.983</v>
      </c>
      <c r="C1302" s="103"/>
      <c r="D1302" s="92">
        <v>0.11117100000000001</v>
      </c>
      <c r="E1302" s="93">
        <v>0.14937</v>
      </c>
      <c r="F1302" s="94">
        <f t="shared" si="225"/>
        <v>37.49</v>
      </c>
      <c r="H1302" s="95">
        <v>286.93799999999999</v>
      </c>
      <c r="I1302" s="96">
        <v>0.14937</v>
      </c>
      <c r="J1302" s="97">
        <f t="shared" si="226"/>
        <v>42.86</v>
      </c>
      <c r="L1302" s="98">
        <v>234.65799999999999</v>
      </c>
      <c r="M1302" s="99">
        <v>0.1724</v>
      </c>
      <c r="N1302" s="100">
        <f t="shared" si="227"/>
        <v>40.46</v>
      </c>
      <c r="O1302" s="105" t="s">
        <v>621</v>
      </c>
      <c r="AA1302">
        <v>180.102</v>
      </c>
    </row>
    <row r="1303" spans="1:30" x14ac:dyDescent="0.2">
      <c r="A1303" s="89" t="s">
        <v>139</v>
      </c>
      <c r="B1303" s="90">
        <v>1</v>
      </c>
      <c r="C1303" s="91">
        <f>$N$1295-$L$1295+1</f>
        <v>30</v>
      </c>
      <c r="D1303" s="92">
        <v>0.79890000000000005</v>
      </c>
      <c r="E1303" s="93">
        <v>4</v>
      </c>
      <c r="F1303" s="94">
        <f t="shared" si="225"/>
        <v>4</v>
      </c>
      <c r="H1303" s="95">
        <v>1</v>
      </c>
      <c r="I1303" s="96">
        <v>4</v>
      </c>
      <c r="J1303" s="97">
        <f t="shared" si="226"/>
        <v>4</v>
      </c>
      <c r="L1303" s="98">
        <v>1</v>
      </c>
      <c r="M1303" s="99">
        <v>6</v>
      </c>
      <c r="N1303" s="100">
        <f t="shared" si="227"/>
        <v>6</v>
      </c>
    </row>
    <row r="1304" spans="1:30" x14ac:dyDescent="0.2">
      <c r="A1304" s="89" t="s">
        <v>140</v>
      </c>
      <c r="B1304" s="90">
        <v>30</v>
      </c>
      <c r="C1304" s="91">
        <f>$N$1295-$L$1295+1</f>
        <v>30</v>
      </c>
      <c r="D1304" s="92">
        <v>0.5736</v>
      </c>
      <c r="E1304" s="93">
        <v>1.274E-2</v>
      </c>
      <c r="F1304" s="94">
        <f t="shared" si="225"/>
        <v>0.38</v>
      </c>
      <c r="H1304" s="95">
        <v>30</v>
      </c>
      <c r="I1304" s="96">
        <v>1.274E-2</v>
      </c>
      <c r="J1304" s="97">
        <f t="shared" si="226"/>
        <v>0.38</v>
      </c>
      <c r="L1304" s="98">
        <v>30</v>
      </c>
      <c r="M1304" s="99">
        <v>6.2899999999999996E-3</v>
      </c>
      <c r="N1304" s="100">
        <f t="shared" si="227"/>
        <v>0.19</v>
      </c>
    </row>
    <row r="1305" spans="1:30" x14ac:dyDescent="0.2">
      <c r="A1305" s="89" t="s">
        <v>141</v>
      </c>
      <c r="B1305" s="90">
        <v>5.34</v>
      </c>
      <c r="C1305" s="103"/>
      <c r="D1305" s="92">
        <v>2.6710000000000001E-2</v>
      </c>
      <c r="E1305" s="93">
        <v>1</v>
      </c>
      <c r="F1305" s="94">
        <f t="shared" si="225"/>
        <v>5.34</v>
      </c>
      <c r="H1305" s="95">
        <v>7.54</v>
      </c>
      <c r="I1305" s="96">
        <v>1</v>
      </c>
      <c r="J1305" s="97">
        <f t="shared" si="226"/>
        <v>7.54</v>
      </c>
      <c r="L1305" s="98">
        <v>8</v>
      </c>
      <c r="M1305" s="99">
        <v>1</v>
      </c>
      <c r="N1305" s="100">
        <f t="shared" si="227"/>
        <v>8</v>
      </c>
    </row>
    <row r="1306" spans="1:30" x14ac:dyDescent="0.2">
      <c r="A1306" s="106" t="s">
        <v>142</v>
      </c>
      <c r="F1306" s="107">
        <f>ROUND((SUM(F1298:F1305)-F1305)*1.1+F1305,2)</f>
        <v>146.04</v>
      </c>
      <c r="J1306" s="108">
        <f>ROUND(SUM(J1298:J1305),2)</f>
        <v>159.33000000000001</v>
      </c>
      <c r="N1306" s="109">
        <f>ROUND(SUM(N1298:N1305),2)</f>
        <v>170.59</v>
      </c>
    </row>
    <row r="1307" spans="1:30" x14ac:dyDescent="0.2">
      <c r="A1307" s="78" t="s">
        <v>143</v>
      </c>
      <c r="B1307" s="110">
        <f>IF((F1302+F1301+F1300+F1298+F1299)=0,"",((F1302+F1301+F1300+F1298+F1299)-$AB$1300)/(F1302+F1301+F1300+F1298+F1299))</f>
        <v>0.29999035715210881</v>
      </c>
      <c r="D1307" s="139" t="str">
        <f>IF(B1307="","SIN PC",IF(B1307&gt;=0.3,"APROBAR",IF(B1307&gt;=0.2,"REVISAR","RECHAZAR")))</f>
        <v>REVISAR</v>
      </c>
      <c r="E1307" s="139"/>
      <c r="F1307" s="139"/>
      <c r="AD1307">
        <f>SUM(F1300:F1302)-48.8904</f>
        <v>19.239599999999996</v>
      </c>
    </row>
    <row r="1309" spans="1:30" x14ac:dyDescent="0.2">
      <c r="A1309" s="137" t="s">
        <v>1265</v>
      </c>
      <c r="B1309" s="137"/>
      <c r="C1309" s="137"/>
      <c r="D1309" s="137"/>
      <c r="E1309" s="137"/>
      <c r="F1309" s="137"/>
      <c r="H1309" s="137" t="s">
        <v>1266</v>
      </c>
      <c r="I1309" s="137"/>
      <c r="J1309" s="137"/>
      <c r="K1309" s="137"/>
      <c r="L1309" s="76">
        <v>46113</v>
      </c>
      <c r="M1309" s="77" t="s">
        <v>607</v>
      </c>
      <c r="N1309" s="76">
        <v>46142</v>
      </c>
      <c r="R1309" s="138" t="s">
        <v>110</v>
      </c>
      <c r="S1309" s="138"/>
      <c r="T1309" s="138"/>
      <c r="U1309" s="138"/>
      <c r="V1309" s="138"/>
    </row>
    <row r="1310" spans="1:30" x14ac:dyDescent="0.2">
      <c r="A1310" s="78" t="s">
        <v>111</v>
      </c>
      <c r="B1310" s="79" t="s">
        <v>112</v>
      </c>
      <c r="C1310" s="80"/>
      <c r="D1310" s="80"/>
      <c r="E1310" s="80"/>
      <c r="F1310" s="80"/>
      <c r="H1310" s="81" t="s">
        <v>1267</v>
      </c>
      <c r="I1310" s="82"/>
      <c r="J1310" s="82"/>
      <c r="L1310" s="83" t="s">
        <v>1268</v>
      </c>
      <c r="M1310" s="84"/>
      <c r="N1310" s="84"/>
      <c r="R1310" s="85" t="s">
        <v>1269</v>
      </c>
    </row>
    <row r="1311" spans="1:30" x14ac:dyDescent="0.2">
      <c r="B1311" s="68" t="s">
        <v>116</v>
      </c>
      <c r="C1311" s="68" t="s">
        <v>117</v>
      </c>
      <c r="D1311" s="68" t="s">
        <v>118</v>
      </c>
      <c r="E1311" s="68" t="s">
        <v>119</v>
      </c>
      <c r="F1311" s="68" t="s">
        <v>120</v>
      </c>
      <c r="H1311" s="86" t="s">
        <v>116</v>
      </c>
      <c r="I1311" s="86" t="s">
        <v>119</v>
      </c>
      <c r="J1311" s="86" t="s">
        <v>120</v>
      </c>
      <c r="L1311" s="87" t="s">
        <v>116</v>
      </c>
      <c r="M1311" s="87" t="s">
        <v>119</v>
      </c>
      <c r="N1311" s="87" t="s">
        <v>120</v>
      </c>
      <c r="R1311" s="88" t="s">
        <v>1270</v>
      </c>
    </row>
    <row r="1312" spans="1:30" x14ac:dyDescent="0.2">
      <c r="A1312" s="89" t="s">
        <v>122</v>
      </c>
      <c r="B1312" s="90">
        <v>10.391999999999999</v>
      </c>
      <c r="C1312" s="91">
        <f>$N$1309-$L$1309+1</f>
        <v>30</v>
      </c>
      <c r="D1312" s="92">
        <v>3.68919</v>
      </c>
      <c r="E1312" s="93">
        <v>4.17</v>
      </c>
      <c r="F1312" s="94">
        <f t="shared" ref="F1312:F1319" si="228">ROUND(B1312*E1312,2)</f>
        <v>43.33</v>
      </c>
      <c r="H1312" s="95">
        <v>10.391999999999999</v>
      </c>
      <c r="I1312" s="96">
        <v>4.17</v>
      </c>
      <c r="J1312" s="97">
        <f t="shared" ref="J1312:J1319" si="229">ROUND(H1312*I1312,2)</f>
        <v>43.33</v>
      </c>
      <c r="L1312" s="98">
        <v>10.391999999999999</v>
      </c>
      <c r="M1312" s="99">
        <v>4.17</v>
      </c>
      <c r="N1312" s="100">
        <f t="shared" ref="N1312:N1319" si="230">ROUND(L1312*M1312,2)</f>
        <v>43.33</v>
      </c>
      <c r="R1312" s="101" t="s">
        <v>1271</v>
      </c>
    </row>
    <row r="1313" spans="1:30" x14ac:dyDescent="0.2">
      <c r="A1313" s="89" t="s">
        <v>124</v>
      </c>
      <c r="B1313" s="90">
        <v>10.391999999999999</v>
      </c>
      <c r="C1313" s="91">
        <f>$N$1309-$L$1309+1</f>
        <v>30</v>
      </c>
      <c r="D1313" s="92">
        <v>1.31928</v>
      </c>
      <c r="E1313" s="93">
        <v>1.37</v>
      </c>
      <c r="F1313" s="94">
        <f t="shared" si="228"/>
        <v>14.24</v>
      </c>
      <c r="H1313" s="95">
        <v>10.391999999999999</v>
      </c>
      <c r="I1313" s="96">
        <v>1.37</v>
      </c>
      <c r="J1313" s="97">
        <f t="shared" si="229"/>
        <v>14.24</v>
      </c>
      <c r="L1313" s="98">
        <v>10.391999999999999</v>
      </c>
      <c r="M1313" s="99">
        <v>1.37</v>
      </c>
      <c r="N1313" s="100">
        <f t="shared" si="230"/>
        <v>14.24</v>
      </c>
      <c r="R1313" s="102" t="s">
        <v>1272</v>
      </c>
    </row>
    <row r="1314" spans="1:30" x14ac:dyDescent="0.2">
      <c r="A1314" s="89" t="s">
        <v>614</v>
      </c>
      <c r="B1314" s="90">
        <f>IF($P$1314&lt;&gt;"",ROUND(AA1314*(($AB$1314/(1-$P$1314))-57.5717)/36.9954,2),IF('Resumen 2.0TD'!$D$3="OPTIMIZAR",ROUND(MAX(AA1314,MIN(AA1314*(($AB$1314/(1-'Resumen 2.0TD'!$F$3))-57.5717)/36.9954,AA1314*(93.6161)/36.9954)),3),AA1314))</f>
        <v>108.83</v>
      </c>
      <c r="C1314" s="103"/>
      <c r="D1314" s="92">
        <v>0.11117100000000001</v>
      </c>
      <c r="E1314" s="93">
        <v>0.14937</v>
      </c>
      <c r="F1314" s="94">
        <f t="shared" si="228"/>
        <v>16.260000000000002</v>
      </c>
      <c r="H1314" s="95">
        <v>213.80199999999999</v>
      </c>
      <c r="I1314" s="96">
        <v>0.14937</v>
      </c>
      <c r="J1314" s="97">
        <f t="shared" si="229"/>
        <v>31.94</v>
      </c>
      <c r="L1314" s="98">
        <v>77.051000000000002</v>
      </c>
      <c r="M1314" s="99">
        <v>0.14937</v>
      </c>
      <c r="N1314" s="100">
        <f t="shared" si="230"/>
        <v>11.51</v>
      </c>
      <c r="O1314" s="104" t="s">
        <v>615</v>
      </c>
      <c r="P1314" s="67"/>
      <c r="R1314" s="102" t="s">
        <v>1273</v>
      </c>
      <c r="AA1314">
        <v>71.745999999999995</v>
      </c>
      <c r="AB1314">
        <f>B1312*D1312+B1313*D1313+AA1314*D1314+AA1315*D1315+AA1316*D1316</f>
        <v>79.582408835999999</v>
      </c>
    </row>
    <row r="1315" spans="1:30" x14ac:dyDescent="0.2">
      <c r="A1315" s="89" t="s">
        <v>617</v>
      </c>
      <c r="B1315" s="90">
        <f>IF($P$1314&lt;&gt;"",ROUND(AA1315*(($AB$1314/(1-$P$1314))-57.5717)/36.9954,2),IF('Resumen 2.0TD'!$D$3="OPTIMIZAR",ROUND(MAX(AA1315,MIN(AA1315*(($AB$1314/(1-'Resumen 2.0TD'!$F$3))-57.5717)/36.9954,AA1315*(93.6161)/36.9954)),3),AA1315))</f>
        <v>175.53299999999999</v>
      </c>
      <c r="C1315" s="103"/>
      <c r="D1315" s="92">
        <v>0.11117100000000001</v>
      </c>
      <c r="E1315" s="93">
        <v>0.14937</v>
      </c>
      <c r="F1315" s="94">
        <f t="shared" si="228"/>
        <v>26.22</v>
      </c>
      <c r="H1315" s="95">
        <v>189.608</v>
      </c>
      <c r="I1315" s="96">
        <v>0.14937</v>
      </c>
      <c r="J1315" s="97">
        <f t="shared" si="229"/>
        <v>28.32</v>
      </c>
      <c r="L1315" s="98">
        <v>136.37200000000001</v>
      </c>
      <c r="M1315" s="99">
        <v>0.14937</v>
      </c>
      <c r="N1315" s="100">
        <f t="shared" si="230"/>
        <v>20.37</v>
      </c>
      <c r="O1315" s="105" t="s">
        <v>618</v>
      </c>
      <c r="R1315" s="102" t="s">
        <v>619</v>
      </c>
      <c r="AA1315">
        <v>115.72</v>
      </c>
    </row>
    <row r="1316" spans="1:30" x14ac:dyDescent="0.2">
      <c r="A1316" s="89" t="s">
        <v>620</v>
      </c>
      <c r="B1316" s="90">
        <f>IF($P$1314&lt;&gt;"",ROUND(AA1316*(($AB$1314/(1-$P$1314))-57.5717)/36.9954,2),IF('Resumen 2.0TD'!$D$3="OPTIMIZAR",ROUND(MAX(AA1316,MIN(AA1316*(($AB$1314/(1-'Resumen 2.0TD'!$F$3))-57.5717)/36.9954,AA1316*(93.6161)/36.9954)),3),AA1316))</f>
        <v>91.331000000000003</v>
      </c>
      <c r="C1316" s="103"/>
      <c r="D1316" s="92">
        <v>0.11117100000000001</v>
      </c>
      <c r="E1316" s="93">
        <v>0.14937</v>
      </c>
      <c r="F1316" s="94">
        <f t="shared" si="228"/>
        <v>13.64</v>
      </c>
      <c r="H1316" s="95">
        <v>44.88</v>
      </c>
      <c r="I1316" s="96">
        <v>0.14937</v>
      </c>
      <c r="J1316" s="97">
        <f t="shared" si="229"/>
        <v>6.7</v>
      </c>
      <c r="L1316" s="98">
        <v>55.37</v>
      </c>
      <c r="M1316" s="99">
        <v>0.14937</v>
      </c>
      <c r="N1316" s="100">
        <f t="shared" si="230"/>
        <v>8.27</v>
      </c>
      <c r="O1316" s="105" t="s">
        <v>621</v>
      </c>
      <c r="AA1316">
        <v>60.21</v>
      </c>
    </row>
    <row r="1317" spans="1:30" x14ac:dyDescent="0.2">
      <c r="A1317" s="89" t="s">
        <v>139</v>
      </c>
      <c r="B1317" s="90">
        <v>1</v>
      </c>
      <c r="C1317" s="91">
        <f>$N$1309-$L$1309+1</f>
        <v>30</v>
      </c>
      <c r="D1317" s="92">
        <v>1.3413999999999999</v>
      </c>
      <c r="E1317" s="93">
        <v>4</v>
      </c>
      <c r="F1317" s="94">
        <f t="shared" si="228"/>
        <v>4</v>
      </c>
      <c r="H1317" s="95">
        <v>1</v>
      </c>
      <c r="I1317" s="96">
        <v>4</v>
      </c>
      <c r="J1317" s="97">
        <f t="shared" si="229"/>
        <v>4</v>
      </c>
      <c r="L1317" s="98">
        <v>1</v>
      </c>
      <c r="M1317" s="99">
        <v>4</v>
      </c>
      <c r="N1317" s="100">
        <f t="shared" si="230"/>
        <v>4</v>
      </c>
    </row>
    <row r="1318" spans="1:30" x14ac:dyDescent="0.2">
      <c r="A1318" s="89" t="s">
        <v>140</v>
      </c>
      <c r="B1318" s="90">
        <v>30</v>
      </c>
      <c r="C1318" s="91">
        <f>$N$1309-$L$1309+1</f>
        <v>30</v>
      </c>
      <c r="D1318" s="92">
        <v>0.5736</v>
      </c>
      <c r="E1318" s="93">
        <v>1.274E-2</v>
      </c>
      <c r="F1318" s="94">
        <f t="shared" si="228"/>
        <v>0.38</v>
      </c>
      <c r="H1318" s="95">
        <v>30</v>
      </c>
      <c r="I1318" s="96">
        <v>1.274E-2</v>
      </c>
      <c r="J1318" s="97">
        <f t="shared" si="229"/>
        <v>0.38</v>
      </c>
      <c r="L1318" s="98">
        <v>30</v>
      </c>
      <c r="M1318" s="99">
        <v>6.2899999999999996E-3</v>
      </c>
      <c r="N1318" s="100">
        <f t="shared" si="230"/>
        <v>0.19</v>
      </c>
    </row>
    <row r="1319" spans="1:30" x14ac:dyDescent="0.2">
      <c r="A1319" s="89" t="s">
        <v>141</v>
      </c>
      <c r="B1319" s="90">
        <v>4.84</v>
      </c>
      <c r="C1319" s="103"/>
      <c r="D1319" s="92">
        <v>2.6710000000000001E-2</v>
      </c>
      <c r="E1319" s="93">
        <v>1</v>
      </c>
      <c r="F1319" s="94">
        <f t="shared" si="228"/>
        <v>4.84</v>
      </c>
      <c r="H1319" s="95">
        <v>6.37</v>
      </c>
      <c r="I1319" s="96">
        <v>1</v>
      </c>
      <c r="J1319" s="97">
        <f t="shared" si="229"/>
        <v>6.37</v>
      </c>
      <c r="L1319" s="98">
        <v>5</v>
      </c>
      <c r="M1319" s="99">
        <v>1</v>
      </c>
      <c r="N1319" s="100">
        <f t="shared" si="230"/>
        <v>5</v>
      </c>
    </row>
    <row r="1320" spans="1:30" x14ac:dyDescent="0.2">
      <c r="A1320" s="106" t="s">
        <v>142</v>
      </c>
      <c r="F1320" s="107">
        <f>ROUND((SUM(F1312:F1319)-F1319)*1.1+F1319,2)</f>
        <v>134.72</v>
      </c>
      <c r="J1320" s="108">
        <f>ROUND(SUM(J1312:J1319),2)</f>
        <v>135.28</v>
      </c>
      <c r="N1320" s="109">
        <f>ROUND(SUM(N1312:N1319),2)</f>
        <v>106.91</v>
      </c>
    </row>
    <row r="1321" spans="1:30" x14ac:dyDescent="0.2">
      <c r="A1321" s="78" t="s">
        <v>143</v>
      </c>
      <c r="B1321" s="110">
        <f>IF((F1316+F1315+F1314+F1312+F1313)=0,"",((F1316+F1315+F1314+F1312+F1313)-$AB$1314)/(F1316+F1315+F1314+F1312+F1313))</f>
        <v>0.30000519978889961</v>
      </c>
      <c r="D1321" s="139" t="str">
        <f>IF(B1321="","SIN PC",IF(B1321&gt;=0.3,"APROBAR",IF(B1321&gt;=0.2,"REVISAR","RECHAZAR")))</f>
        <v>APROBAR</v>
      </c>
      <c r="E1321" s="139"/>
      <c r="F1321" s="139"/>
      <c r="AD1321">
        <f>SUM(F1314:F1316)-36.9954</f>
        <v>19.124600000000008</v>
      </c>
    </row>
    <row r="1323" spans="1:30" x14ac:dyDescent="0.2">
      <c r="A1323" s="137" t="s">
        <v>1274</v>
      </c>
      <c r="B1323" s="137"/>
      <c r="C1323" s="137"/>
      <c r="D1323" s="137"/>
      <c r="E1323" s="137"/>
      <c r="F1323" s="137"/>
      <c r="H1323" s="137" t="s">
        <v>1275</v>
      </c>
      <c r="I1323" s="137"/>
      <c r="J1323" s="137"/>
      <c r="K1323" s="137"/>
      <c r="L1323" s="76">
        <v>46113</v>
      </c>
      <c r="M1323" s="77" t="s">
        <v>607</v>
      </c>
      <c r="N1323" s="76">
        <v>46142</v>
      </c>
      <c r="R1323" s="138" t="s">
        <v>110</v>
      </c>
      <c r="S1323" s="138"/>
      <c r="T1323" s="138"/>
      <c r="U1323" s="138"/>
      <c r="V1323" s="138"/>
    </row>
    <row r="1324" spans="1:30" x14ac:dyDescent="0.2">
      <c r="A1324" s="78" t="s">
        <v>111</v>
      </c>
      <c r="B1324" s="79" t="s">
        <v>112</v>
      </c>
      <c r="C1324" s="80"/>
      <c r="D1324" s="80"/>
      <c r="E1324" s="80"/>
      <c r="F1324" s="80"/>
      <c r="H1324" s="81" t="s">
        <v>1276</v>
      </c>
      <c r="I1324" s="82"/>
      <c r="J1324" s="82"/>
      <c r="L1324" s="83" t="s">
        <v>1277</v>
      </c>
      <c r="M1324" s="84"/>
      <c r="N1324" s="84"/>
      <c r="R1324" s="85" t="s">
        <v>1278</v>
      </c>
    </row>
    <row r="1325" spans="1:30" x14ac:dyDescent="0.2">
      <c r="B1325" s="68" t="s">
        <v>116</v>
      </c>
      <c r="C1325" s="68" t="s">
        <v>117</v>
      </c>
      <c r="D1325" s="68" t="s">
        <v>118</v>
      </c>
      <c r="E1325" s="68" t="s">
        <v>119</v>
      </c>
      <c r="F1325" s="68" t="s">
        <v>120</v>
      </c>
      <c r="H1325" s="86" t="s">
        <v>116</v>
      </c>
      <c r="I1325" s="86" t="s">
        <v>119</v>
      </c>
      <c r="J1325" s="86" t="s">
        <v>120</v>
      </c>
      <c r="L1325" s="87" t="s">
        <v>116</v>
      </c>
      <c r="M1325" s="87" t="s">
        <v>119</v>
      </c>
      <c r="N1325" s="87" t="s">
        <v>120</v>
      </c>
      <c r="R1325" s="88" t="s">
        <v>1279</v>
      </c>
    </row>
    <row r="1326" spans="1:30" x14ac:dyDescent="0.2">
      <c r="A1326" s="89" t="s">
        <v>122</v>
      </c>
      <c r="B1326" s="90">
        <v>9.9</v>
      </c>
      <c r="C1326" s="91">
        <f>$N$1323-$L$1323+1</f>
        <v>30</v>
      </c>
      <c r="D1326" s="92">
        <v>3.68919</v>
      </c>
      <c r="E1326" s="93">
        <v>3.85</v>
      </c>
      <c r="F1326" s="94">
        <f t="shared" ref="F1326:F1333" si="231">ROUND(B1326*E1326,2)</f>
        <v>38.119999999999997</v>
      </c>
      <c r="H1326" s="95">
        <v>9.9</v>
      </c>
      <c r="I1326" s="96">
        <v>3.85</v>
      </c>
      <c r="J1326" s="97">
        <f t="shared" ref="J1326:J1333" si="232">ROUND(H1326*I1326,2)</f>
        <v>38.119999999999997</v>
      </c>
      <c r="L1326" s="98">
        <v>9.9</v>
      </c>
      <c r="M1326" s="99">
        <v>3.85</v>
      </c>
      <c r="N1326" s="100">
        <f t="shared" ref="N1326:N1333" si="233">ROUND(L1326*M1326,2)</f>
        <v>38.119999999999997</v>
      </c>
      <c r="R1326" s="101" t="s">
        <v>1280</v>
      </c>
    </row>
    <row r="1327" spans="1:30" x14ac:dyDescent="0.2">
      <c r="A1327" s="89" t="s">
        <v>124</v>
      </c>
      <c r="B1327" s="90">
        <v>9.9</v>
      </c>
      <c r="C1327" s="91">
        <f>$N$1323-$L$1323+1</f>
        <v>30</v>
      </c>
      <c r="D1327" s="92">
        <v>1.31928</v>
      </c>
      <c r="E1327" s="93">
        <v>1.33</v>
      </c>
      <c r="F1327" s="94">
        <f t="shared" si="231"/>
        <v>13.17</v>
      </c>
      <c r="H1327" s="95">
        <v>9.9</v>
      </c>
      <c r="I1327" s="96">
        <v>1.33</v>
      </c>
      <c r="J1327" s="97">
        <f t="shared" si="232"/>
        <v>13.17</v>
      </c>
      <c r="L1327" s="98">
        <v>9.9</v>
      </c>
      <c r="M1327" s="99">
        <v>1.33</v>
      </c>
      <c r="N1327" s="100">
        <f t="shared" si="233"/>
        <v>13.17</v>
      </c>
      <c r="R1327" s="102" t="s">
        <v>1281</v>
      </c>
    </row>
    <row r="1328" spans="1:30" x14ac:dyDescent="0.2">
      <c r="A1328" s="89" t="s">
        <v>614</v>
      </c>
      <c r="B1328" s="90">
        <f>IF($P$1328&lt;&gt;"",ROUND(AA1328*(($AB$1328/(1-$P$1328))-51.282)/24.6888,2),IF('Resumen 2.0TD'!$D$3="OPTIMIZAR",ROUND(MAX(AA1328,MIN(AA1328*(($AB$1328/(1-'Resumen 2.0TD'!$F$3))-51.282)/24.6888,AA1328*(52.0458)/24.6888)),3),AA1328))</f>
        <v>105.804</v>
      </c>
      <c r="C1328" s="103"/>
      <c r="D1328" s="92">
        <v>0.11117100000000001</v>
      </c>
      <c r="E1328" s="93">
        <v>0.13788</v>
      </c>
      <c r="F1328" s="94">
        <f t="shared" si="231"/>
        <v>14.59</v>
      </c>
      <c r="H1328" s="95">
        <v>64.227999999999994</v>
      </c>
      <c r="I1328" s="96">
        <v>0.13788</v>
      </c>
      <c r="J1328" s="97">
        <f t="shared" si="232"/>
        <v>8.86</v>
      </c>
      <c r="L1328" s="98">
        <v>47.515999999999998</v>
      </c>
      <c r="M1328" s="99">
        <v>0.13788</v>
      </c>
      <c r="N1328" s="100">
        <f t="shared" si="233"/>
        <v>6.55</v>
      </c>
      <c r="O1328" s="104" t="s">
        <v>615</v>
      </c>
      <c r="P1328" s="67"/>
      <c r="R1328" s="102" t="s">
        <v>1282</v>
      </c>
      <c r="AA1328">
        <v>54.432000000000002</v>
      </c>
      <c r="AB1328">
        <f>B1326*D1326+B1327*D1327+AA1328*D1328+AA1329*D1329+AA1330*D1330</f>
        <v>69.49013226000001</v>
      </c>
    </row>
    <row r="1329" spans="1:30" x14ac:dyDescent="0.2">
      <c r="A1329" s="89" t="s">
        <v>617</v>
      </c>
      <c r="B1329" s="90">
        <f>IF($P$1328&lt;&gt;"",ROUND(AA1329*(($AB$1328/(1-$P$1328))-51.282)/24.6888,2),IF('Resumen 2.0TD'!$D$3="OPTIMIZAR",ROUND(MAX(AA1329,MIN(AA1329*(($AB$1328/(1-'Resumen 2.0TD'!$F$3))-51.282)/24.6888,AA1329*(52.0458)/24.6888)),3),AA1329))</f>
        <v>126.843</v>
      </c>
      <c r="C1329" s="103"/>
      <c r="D1329" s="92">
        <v>0.11117100000000001</v>
      </c>
      <c r="E1329" s="93">
        <v>0.13788</v>
      </c>
      <c r="F1329" s="94">
        <f t="shared" si="231"/>
        <v>17.489999999999998</v>
      </c>
      <c r="H1329" s="95">
        <v>72.528000000000006</v>
      </c>
      <c r="I1329" s="96">
        <v>0.13788</v>
      </c>
      <c r="J1329" s="97">
        <f t="shared" si="232"/>
        <v>10</v>
      </c>
      <c r="L1329" s="98">
        <v>70.600999999999999</v>
      </c>
      <c r="M1329" s="99">
        <v>0.13788</v>
      </c>
      <c r="N1329" s="100">
        <f t="shared" si="233"/>
        <v>9.73</v>
      </c>
      <c r="O1329" s="105" t="s">
        <v>618</v>
      </c>
      <c r="R1329" s="102" t="s">
        <v>619</v>
      </c>
      <c r="AA1329">
        <v>65.256</v>
      </c>
    </row>
    <row r="1330" spans="1:30" x14ac:dyDescent="0.2">
      <c r="A1330" s="89" t="s">
        <v>620</v>
      </c>
      <c r="B1330" s="90">
        <f>IF($P$1328&lt;&gt;"",ROUND(AA1330*(($AB$1328/(1-$P$1328))-51.282)/24.6888,2),IF('Resumen 2.0TD'!$D$3="OPTIMIZAR",ROUND(MAX(AA1330,MIN(AA1330*(($AB$1328/(1-'Resumen 2.0TD'!$F$3))-51.282)/24.6888,AA1330*(52.0458)/24.6888)),3),AA1330))</f>
        <v>115.40600000000001</v>
      </c>
      <c r="C1330" s="103"/>
      <c r="D1330" s="92">
        <v>0.11117100000000001</v>
      </c>
      <c r="E1330" s="93">
        <v>0.13788</v>
      </c>
      <c r="F1330" s="94">
        <f t="shared" si="231"/>
        <v>15.91</v>
      </c>
      <c r="H1330" s="95">
        <v>51.703000000000003</v>
      </c>
      <c r="I1330" s="96">
        <v>0.13788</v>
      </c>
      <c r="J1330" s="97">
        <f t="shared" si="232"/>
        <v>7.13</v>
      </c>
      <c r="L1330" s="98">
        <v>59.668999999999997</v>
      </c>
      <c r="M1330" s="99">
        <v>0.13788</v>
      </c>
      <c r="N1330" s="100">
        <f t="shared" si="233"/>
        <v>8.23</v>
      </c>
      <c r="O1330" s="105" t="s">
        <v>621</v>
      </c>
      <c r="AA1330">
        <v>59.372</v>
      </c>
    </row>
    <row r="1331" spans="1:30" x14ac:dyDescent="0.2">
      <c r="A1331" s="89" t="s">
        <v>139</v>
      </c>
      <c r="B1331" s="90">
        <v>1</v>
      </c>
      <c r="C1331" s="91">
        <f>$N$1323-$L$1323+1</f>
        <v>30</v>
      </c>
      <c r="D1331" s="92">
        <v>1.3413999999999999</v>
      </c>
      <c r="E1331" s="93">
        <v>3</v>
      </c>
      <c r="F1331" s="94">
        <f t="shared" si="231"/>
        <v>3</v>
      </c>
      <c r="H1331" s="95">
        <v>1</v>
      </c>
      <c r="I1331" s="96">
        <v>3</v>
      </c>
      <c r="J1331" s="97">
        <f t="shared" si="232"/>
        <v>3</v>
      </c>
      <c r="L1331" s="98">
        <v>1</v>
      </c>
      <c r="M1331" s="99">
        <v>3</v>
      </c>
      <c r="N1331" s="100">
        <f t="shared" si="233"/>
        <v>3</v>
      </c>
    </row>
    <row r="1332" spans="1:30" x14ac:dyDescent="0.2">
      <c r="A1332" s="89" t="s">
        <v>140</v>
      </c>
      <c r="B1332" s="90">
        <v>30</v>
      </c>
      <c r="C1332" s="91">
        <f>$N$1323-$L$1323+1</f>
        <v>30</v>
      </c>
      <c r="D1332" s="92">
        <v>0.5736</v>
      </c>
      <c r="E1332" s="93">
        <v>1.274E-2</v>
      </c>
      <c r="F1332" s="94">
        <f t="shared" si="231"/>
        <v>0.38</v>
      </c>
      <c r="H1332" s="95">
        <v>30</v>
      </c>
      <c r="I1332" s="96">
        <v>1.274E-2</v>
      </c>
      <c r="J1332" s="97">
        <f t="shared" si="232"/>
        <v>0.38</v>
      </c>
      <c r="L1332" s="98">
        <v>30</v>
      </c>
      <c r="M1332" s="99">
        <v>6.2899999999999996E-3</v>
      </c>
      <c r="N1332" s="100">
        <f t="shared" si="233"/>
        <v>0.19</v>
      </c>
    </row>
    <row r="1333" spans="1:30" x14ac:dyDescent="0.2">
      <c r="A1333" s="89" t="s">
        <v>141</v>
      </c>
      <c r="B1333" s="90">
        <v>3.89</v>
      </c>
      <c r="C1333" s="103"/>
      <c r="D1333" s="92">
        <v>2.6710000000000001E-2</v>
      </c>
      <c r="E1333" s="93">
        <v>1</v>
      </c>
      <c r="F1333" s="94">
        <f t="shared" si="231"/>
        <v>3.89</v>
      </c>
      <c r="H1333" s="95">
        <v>3.96</v>
      </c>
      <c r="I1333" s="96">
        <v>1</v>
      </c>
      <c r="J1333" s="97">
        <f t="shared" si="232"/>
        <v>3.96</v>
      </c>
      <c r="L1333" s="98">
        <v>3.88</v>
      </c>
      <c r="M1333" s="99">
        <v>1</v>
      </c>
      <c r="N1333" s="100">
        <f t="shared" si="233"/>
        <v>3.88</v>
      </c>
    </row>
    <row r="1334" spans="1:30" x14ac:dyDescent="0.2">
      <c r="A1334" s="106" t="s">
        <v>142</v>
      </c>
      <c r="F1334" s="107">
        <f>ROUND((SUM(F1326:F1333)-F1333)*1.1+F1333,2)</f>
        <v>116.82</v>
      </c>
      <c r="J1334" s="108">
        <f>ROUND(SUM(J1326:J1333),2)</f>
        <v>84.62</v>
      </c>
      <c r="N1334" s="109">
        <f>ROUND(SUM(N1326:N1333),2)</f>
        <v>82.87</v>
      </c>
    </row>
    <row r="1335" spans="1:30" x14ac:dyDescent="0.2">
      <c r="A1335" s="78" t="s">
        <v>143</v>
      </c>
      <c r="B1335" s="110">
        <f>IF((F1330+F1329+F1328+F1326+F1327)=0,"",((F1330+F1329+F1328+F1326+F1327)-$AB$1328)/(F1330+F1329+F1328+F1326+F1327))</f>
        <v>0.30005910294117627</v>
      </c>
      <c r="D1335" s="139" t="str">
        <f>IF(B1335="","SIN PC",IF(B1335&gt;=0.3,"APROBAR",IF(B1335&gt;=0.2,"REVISAR","RECHAZAR")))</f>
        <v>APROBAR</v>
      </c>
      <c r="E1335" s="139"/>
      <c r="F1335" s="139"/>
      <c r="AD1335">
        <f>SUM(F1328:F1330)-24.6888</f>
        <v>23.301199999999994</v>
      </c>
    </row>
    <row r="1337" spans="1:30" x14ac:dyDescent="0.2">
      <c r="A1337" s="137" t="s">
        <v>1283</v>
      </c>
      <c r="B1337" s="137"/>
      <c r="C1337" s="137"/>
      <c r="D1337" s="137"/>
      <c r="E1337" s="137"/>
      <c r="F1337" s="137"/>
      <c r="H1337" s="137" t="s">
        <v>1284</v>
      </c>
      <c r="I1337" s="137"/>
      <c r="J1337" s="137"/>
      <c r="K1337" s="137"/>
      <c r="L1337" s="76">
        <v>46113</v>
      </c>
      <c r="M1337" s="77" t="s">
        <v>607</v>
      </c>
      <c r="N1337" s="76">
        <v>46142</v>
      </c>
      <c r="R1337" s="138" t="s">
        <v>110</v>
      </c>
      <c r="S1337" s="138"/>
      <c r="T1337" s="138"/>
      <c r="U1337" s="138"/>
      <c r="V1337" s="138"/>
    </row>
    <row r="1338" spans="1:30" x14ac:dyDescent="0.2">
      <c r="A1338" s="78" t="s">
        <v>111</v>
      </c>
      <c r="B1338" s="79" t="s">
        <v>112</v>
      </c>
      <c r="C1338" s="80"/>
      <c r="D1338" s="80"/>
      <c r="E1338" s="80"/>
      <c r="F1338" s="80"/>
      <c r="H1338" s="81" t="s">
        <v>1285</v>
      </c>
      <c r="I1338" s="82"/>
      <c r="J1338" s="82"/>
      <c r="L1338" s="83" t="s">
        <v>1286</v>
      </c>
      <c r="M1338" s="84"/>
      <c r="N1338" s="84"/>
      <c r="R1338" s="85" t="s">
        <v>1287</v>
      </c>
    </row>
    <row r="1339" spans="1:30" x14ac:dyDescent="0.2">
      <c r="B1339" s="68" t="s">
        <v>116</v>
      </c>
      <c r="C1339" s="68" t="s">
        <v>117</v>
      </c>
      <c r="D1339" s="68" t="s">
        <v>118</v>
      </c>
      <c r="E1339" s="68" t="s">
        <v>119</v>
      </c>
      <c r="F1339" s="68" t="s">
        <v>120</v>
      </c>
      <c r="H1339" s="86" t="s">
        <v>116</v>
      </c>
      <c r="I1339" s="86" t="s">
        <v>119</v>
      </c>
      <c r="J1339" s="86" t="s">
        <v>120</v>
      </c>
      <c r="L1339" s="87" t="s">
        <v>116</v>
      </c>
      <c r="M1339" s="87" t="s">
        <v>119</v>
      </c>
      <c r="N1339" s="87" t="s">
        <v>120</v>
      </c>
      <c r="R1339" s="88" t="s">
        <v>1288</v>
      </c>
    </row>
    <row r="1340" spans="1:30" x14ac:dyDescent="0.2">
      <c r="A1340" s="89" t="s">
        <v>122</v>
      </c>
      <c r="B1340" s="90">
        <v>10.391999999999999</v>
      </c>
      <c r="C1340" s="91">
        <f>$N$1337-$L$1337+1</f>
        <v>30</v>
      </c>
      <c r="D1340" s="92">
        <v>3.68919</v>
      </c>
      <c r="E1340" s="93">
        <v>3.85</v>
      </c>
      <c r="F1340" s="94">
        <f t="shared" ref="F1340:F1347" si="234">ROUND(B1340*E1340,2)</f>
        <v>40.01</v>
      </c>
      <c r="H1340" s="95">
        <v>10.391999999999999</v>
      </c>
      <c r="I1340" s="96">
        <v>3.85</v>
      </c>
      <c r="J1340" s="97">
        <f t="shared" ref="J1340:J1347" si="235">ROUND(H1340*I1340,2)</f>
        <v>40.01</v>
      </c>
      <c r="L1340" s="98">
        <v>10.391999999999999</v>
      </c>
      <c r="M1340" s="99">
        <v>3.85</v>
      </c>
      <c r="N1340" s="100">
        <f t="shared" ref="N1340:N1347" si="236">ROUND(L1340*M1340,2)</f>
        <v>40.01</v>
      </c>
      <c r="R1340" s="101" t="s">
        <v>1289</v>
      </c>
    </row>
    <row r="1341" spans="1:30" x14ac:dyDescent="0.2">
      <c r="A1341" s="89" t="s">
        <v>124</v>
      </c>
      <c r="B1341" s="90">
        <v>10.391999999999999</v>
      </c>
      <c r="C1341" s="91">
        <f>$N$1337-$L$1337+1</f>
        <v>30</v>
      </c>
      <c r="D1341" s="92">
        <v>1.31928</v>
      </c>
      <c r="E1341" s="93">
        <v>1.33</v>
      </c>
      <c r="F1341" s="94">
        <f t="shared" si="234"/>
        <v>13.82</v>
      </c>
      <c r="H1341" s="95">
        <v>10.391999999999999</v>
      </c>
      <c r="I1341" s="96">
        <v>1.33</v>
      </c>
      <c r="J1341" s="97">
        <f t="shared" si="235"/>
        <v>13.82</v>
      </c>
      <c r="L1341" s="98">
        <v>10.391999999999999</v>
      </c>
      <c r="M1341" s="99">
        <v>1.33</v>
      </c>
      <c r="N1341" s="100">
        <f t="shared" si="236"/>
        <v>13.82</v>
      </c>
      <c r="R1341" s="102" t="s">
        <v>1290</v>
      </c>
    </row>
    <row r="1342" spans="1:30" x14ac:dyDescent="0.2">
      <c r="A1342" s="89" t="s">
        <v>614</v>
      </c>
      <c r="B1342" s="90">
        <f>IF($P$1342&lt;&gt;"",ROUND(AA1342*(($AB$1342/(1-$P$1342))-53.8306)/32.4159,2),IF('Resumen 2.0TD'!$D$3="OPTIMIZAR",ROUND(MAX(AA1342,MIN(AA1342*(($AB$1342/(1-'Resumen 2.0TD'!$F$3))-53.8306)/32.4159,AA1342*(51.5572)/32.4159)),3),AA1342))</f>
        <v>125.798</v>
      </c>
      <c r="C1342" s="103"/>
      <c r="D1342" s="92">
        <v>0.11117100000000001</v>
      </c>
      <c r="E1342" s="93">
        <v>0.13788</v>
      </c>
      <c r="F1342" s="94">
        <f t="shared" si="234"/>
        <v>17.350000000000001</v>
      </c>
      <c r="H1342" s="95">
        <v>103.876</v>
      </c>
      <c r="I1342" s="96">
        <v>0.13788</v>
      </c>
      <c r="J1342" s="97">
        <f t="shared" si="235"/>
        <v>14.32</v>
      </c>
      <c r="L1342" s="98">
        <v>65.745999999999995</v>
      </c>
      <c r="M1342" s="99">
        <v>0.13788</v>
      </c>
      <c r="N1342" s="100">
        <f t="shared" si="236"/>
        <v>9.07</v>
      </c>
      <c r="O1342" s="104" t="s">
        <v>615</v>
      </c>
      <c r="P1342" s="67"/>
      <c r="R1342" s="102" t="s">
        <v>1291</v>
      </c>
      <c r="AA1342">
        <v>79.093999999999994</v>
      </c>
      <c r="AB1342">
        <f>B1340*D1340+B1341*D1341+AA1342*D1342+AA1343*D1343+AA1344*D1344</f>
        <v>78.184544681999995</v>
      </c>
    </row>
    <row r="1343" spans="1:30" x14ac:dyDescent="0.2">
      <c r="A1343" s="89" t="s">
        <v>617</v>
      </c>
      <c r="B1343" s="90">
        <f>IF($P$1342&lt;&gt;"",ROUND(AA1343*(($AB$1342/(1-$P$1342))-53.8306)/32.4159,2),IF('Resumen 2.0TD'!$D$3="OPTIMIZAR",ROUND(MAX(AA1343,MIN(AA1343*(($AB$1342/(1-'Resumen 2.0TD'!$F$3))-53.8306)/32.4159,AA1343*(51.5572)/32.4159)),3),AA1343))</f>
        <v>137.65100000000001</v>
      </c>
      <c r="C1343" s="103"/>
      <c r="D1343" s="92">
        <v>0.11117100000000001</v>
      </c>
      <c r="E1343" s="93">
        <v>0.13788</v>
      </c>
      <c r="F1343" s="94">
        <f t="shared" si="234"/>
        <v>18.98</v>
      </c>
      <c r="H1343" s="95">
        <v>99.260999999999996</v>
      </c>
      <c r="I1343" s="96">
        <v>0.13788</v>
      </c>
      <c r="J1343" s="97">
        <f t="shared" si="235"/>
        <v>13.69</v>
      </c>
      <c r="L1343" s="98">
        <v>75.474000000000004</v>
      </c>
      <c r="M1343" s="99">
        <v>0.13788</v>
      </c>
      <c r="N1343" s="100">
        <f t="shared" si="236"/>
        <v>10.41</v>
      </c>
      <c r="O1343" s="105" t="s">
        <v>618</v>
      </c>
      <c r="R1343" s="102" t="s">
        <v>619</v>
      </c>
      <c r="AA1343">
        <v>86.546000000000006</v>
      </c>
    </row>
    <row r="1344" spans="1:30" x14ac:dyDescent="0.2">
      <c r="A1344" s="89" t="s">
        <v>620</v>
      </c>
      <c r="B1344" s="90">
        <f>IF($P$1342&lt;&gt;"",ROUND(AA1344*(($AB$1342/(1-$P$1342))-53.8306)/32.4159,2),IF('Resumen 2.0TD'!$D$3="OPTIMIZAR",ROUND(MAX(AA1344,MIN(AA1344*(($AB$1342/(1-'Resumen 2.0TD'!$F$3))-53.8306)/32.4159,AA1344*(51.5572)/32.4159)),3),AA1344))</f>
        <v>110.479</v>
      </c>
      <c r="C1344" s="103"/>
      <c r="D1344" s="92">
        <v>0.11117100000000001</v>
      </c>
      <c r="E1344" s="93">
        <v>0.13788</v>
      </c>
      <c r="F1344" s="94">
        <f t="shared" si="234"/>
        <v>15.23</v>
      </c>
      <c r="H1344" s="95">
        <v>52.48</v>
      </c>
      <c r="I1344" s="96">
        <v>0.13788</v>
      </c>
      <c r="J1344" s="97">
        <f t="shared" si="235"/>
        <v>7.24</v>
      </c>
      <c r="L1344" s="98">
        <v>62.344000000000001</v>
      </c>
      <c r="M1344" s="99">
        <v>0.13788</v>
      </c>
      <c r="N1344" s="100">
        <f t="shared" si="236"/>
        <v>8.6</v>
      </c>
      <c r="O1344" s="105" t="s">
        <v>621</v>
      </c>
      <c r="AA1344">
        <v>69.462000000000003</v>
      </c>
    </row>
    <row r="1345" spans="1:30" x14ac:dyDescent="0.2">
      <c r="A1345" s="89" t="s">
        <v>139</v>
      </c>
      <c r="B1345" s="90">
        <v>1</v>
      </c>
      <c r="C1345" s="91">
        <f>$N$1337-$L$1337+1</f>
        <v>30</v>
      </c>
      <c r="D1345" s="92">
        <v>1.3413999999999999</v>
      </c>
      <c r="E1345" s="93">
        <v>3</v>
      </c>
      <c r="F1345" s="94">
        <f t="shared" si="234"/>
        <v>3</v>
      </c>
      <c r="H1345" s="95">
        <v>1</v>
      </c>
      <c r="I1345" s="96">
        <v>3</v>
      </c>
      <c r="J1345" s="97">
        <f t="shared" si="235"/>
        <v>3</v>
      </c>
      <c r="L1345" s="98">
        <v>1</v>
      </c>
      <c r="M1345" s="99">
        <v>3</v>
      </c>
      <c r="N1345" s="100">
        <f t="shared" si="236"/>
        <v>3</v>
      </c>
    </row>
    <row r="1346" spans="1:30" x14ac:dyDescent="0.2">
      <c r="A1346" s="89" t="s">
        <v>140</v>
      </c>
      <c r="B1346" s="90">
        <v>30</v>
      </c>
      <c r="C1346" s="91">
        <f>$N$1337-$L$1337+1</f>
        <v>30</v>
      </c>
      <c r="D1346" s="92">
        <v>0.5736</v>
      </c>
      <c r="E1346" s="93">
        <v>1.274E-2</v>
      </c>
      <c r="F1346" s="94">
        <f t="shared" si="234"/>
        <v>0.38</v>
      </c>
      <c r="H1346" s="95">
        <v>30</v>
      </c>
      <c r="I1346" s="96">
        <v>1.274E-2</v>
      </c>
      <c r="J1346" s="97">
        <f t="shared" si="235"/>
        <v>0.38</v>
      </c>
      <c r="L1346" s="98">
        <v>30</v>
      </c>
      <c r="M1346" s="99">
        <v>6.2899999999999996E-3</v>
      </c>
      <c r="N1346" s="100">
        <f t="shared" si="236"/>
        <v>0.19</v>
      </c>
    </row>
    <row r="1347" spans="1:30" x14ac:dyDescent="0.2">
      <c r="A1347" s="89" t="s">
        <v>141</v>
      </c>
      <c r="B1347" s="90">
        <v>4.42</v>
      </c>
      <c r="C1347" s="103"/>
      <c r="D1347" s="92">
        <v>2.6710000000000001E-2</v>
      </c>
      <c r="E1347" s="93">
        <v>1</v>
      </c>
      <c r="F1347" s="94">
        <f t="shared" si="234"/>
        <v>4.42</v>
      </c>
      <c r="H1347" s="95">
        <v>4.5599999999999996</v>
      </c>
      <c r="I1347" s="96">
        <v>1</v>
      </c>
      <c r="J1347" s="97">
        <f t="shared" si="235"/>
        <v>4.5599999999999996</v>
      </c>
      <c r="L1347" s="98">
        <v>4.2</v>
      </c>
      <c r="M1347" s="99">
        <v>1</v>
      </c>
      <c r="N1347" s="100">
        <f t="shared" si="236"/>
        <v>4.2</v>
      </c>
    </row>
    <row r="1348" spans="1:30" x14ac:dyDescent="0.2">
      <c r="A1348" s="106" t="s">
        <v>142</v>
      </c>
      <c r="F1348" s="107">
        <f>ROUND((SUM(F1340:F1347)-F1347)*1.1+F1347,2)</f>
        <v>124.07</v>
      </c>
      <c r="J1348" s="108">
        <f>ROUND(SUM(J1340:J1347),2)</f>
        <v>97.02</v>
      </c>
      <c r="N1348" s="109">
        <f>ROUND(SUM(N1340:N1347),2)</f>
        <v>89.3</v>
      </c>
    </row>
    <row r="1349" spans="1:30" x14ac:dyDescent="0.2">
      <c r="A1349" s="78" t="s">
        <v>143</v>
      </c>
      <c r="B1349" s="110">
        <f>IF((F1344+F1343+F1342+F1340+F1341)=0,"",((F1344+F1343+F1342+F1340+F1341)-$AB$1342)/(F1344+F1343+F1342+F1340+F1341))</f>
        <v>0.25814076589809276</v>
      </c>
      <c r="D1349" s="139" t="str">
        <f>IF(B1349="","SIN PC",IF(B1349&gt;=0.3,"APROBAR",IF(B1349&gt;=0.2,"REVISAR","RECHAZAR")))</f>
        <v>REVISAR</v>
      </c>
      <c r="E1349" s="139"/>
      <c r="F1349" s="139"/>
      <c r="AD1349">
        <f>SUM(F1342:F1344)-32.4159</f>
        <v>19.144100000000002</v>
      </c>
    </row>
    <row r="1351" spans="1:30" x14ac:dyDescent="0.2">
      <c r="A1351" s="137" t="s">
        <v>1292</v>
      </c>
      <c r="B1351" s="137"/>
      <c r="C1351" s="137"/>
      <c r="D1351" s="137"/>
      <c r="E1351" s="137"/>
      <c r="F1351" s="137"/>
      <c r="H1351" s="137" t="s">
        <v>1293</v>
      </c>
      <c r="I1351" s="137"/>
      <c r="J1351" s="137"/>
      <c r="K1351" s="137"/>
      <c r="L1351" s="76">
        <v>46113</v>
      </c>
      <c r="M1351" s="77" t="s">
        <v>607</v>
      </c>
      <c r="N1351" s="76">
        <v>46142</v>
      </c>
      <c r="R1351" s="138" t="s">
        <v>110</v>
      </c>
      <c r="S1351" s="138"/>
      <c r="T1351" s="138"/>
      <c r="U1351" s="138"/>
      <c r="V1351" s="138"/>
    </row>
    <row r="1352" spans="1:30" x14ac:dyDescent="0.2">
      <c r="A1352" s="78" t="s">
        <v>111</v>
      </c>
      <c r="B1352" s="79" t="s">
        <v>112</v>
      </c>
      <c r="C1352" s="80"/>
      <c r="D1352" s="80"/>
      <c r="E1352" s="80"/>
      <c r="F1352" s="80"/>
      <c r="H1352" s="81" t="s">
        <v>1294</v>
      </c>
      <c r="I1352" s="82"/>
      <c r="J1352" s="82"/>
      <c r="L1352" s="83" t="s">
        <v>1295</v>
      </c>
      <c r="M1352" s="84"/>
      <c r="N1352" s="84"/>
      <c r="R1352" s="85" t="s">
        <v>1296</v>
      </c>
    </row>
    <row r="1353" spans="1:30" x14ac:dyDescent="0.2">
      <c r="B1353" s="68" t="s">
        <v>116</v>
      </c>
      <c r="C1353" s="68" t="s">
        <v>117</v>
      </c>
      <c r="D1353" s="68" t="s">
        <v>118</v>
      </c>
      <c r="E1353" s="68" t="s">
        <v>119</v>
      </c>
      <c r="F1353" s="68" t="s">
        <v>120</v>
      </c>
      <c r="H1353" s="86" t="s">
        <v>116</v>
      </c>
      <c r="I1353" s="86" t="s">
        <v>119</v>
      </c>
      <c r="J1353" s="86" t="s">
        <v>120</v>
      </c>
      <c r="L1353" s="87" t="s">
        <v>116</v>
      </c>
      <c r="M1353" s="87" t="s">
        <v>119</v>
      </c>
      <c r="N1353" s="87" t="s">
        <v>120</v>
      </c>
      <c r="R1353" s="88" t="s">
        <v>1297</v>
      </c>
    </row>
    <row r="1354" spans="1:30" x14ac:dyDescent="0.2">
      <c r="A1354" s="89" t="s">
        <v>122</v>
      </c>
      <c r="B1354" s="90">
        <v>4</v>
      </c>
      <c r="C1354" s="91">
        <f>$N$1351-$L$1351+1</f>
        <v>30</v>
      </c>
      <c r="D1354" s="92">
        <v>3.68919</v>
      </c>
      <c r="E1354" s="93">
        <v>3.85</v>
      </c>
      <c r="F1354" s="94">
        <f t="shared" ref="F1354:F1361" si="237">ROUND(B1354*E1354,2)</f>
        <v>15.4</v>
      </c>
      <c r="H1354" s="95">
        <v>4</v>
      </c>
      <c r="I1354" s="96">
        <v>3.85</v>
      </c>
      <c r="J1354" s="97">
        <f t="shared" ref="J1354:J1361" si="238">ROUND(H1354*I1354,2)</f>
        <v>15.4</v>
      </c>
      <c r="L1354" s="98">
        <v>4</v>
      </c>
      <c r="M1354" s="99">
        <v>3.85</v>
      </c>
      <c r="N1354" s="100">
        <f t="shared" ref="N1354:N1361" si="239">ROUND(L1354*M1354,2)</f>
        <v>15.4</v>
      </c>
      <c r="R1354" s="101" t="s">
        <v>1298</v>
      </c>
    </row>
    <row r="1355" spans="1:30" x14ac:dyDescent="0.2">
      <c r="A1355" s="89" t="s">
        <v>124</v>
      </c>
      <c r="B1355" s="90">
        <v>4</v>
      </c>
      <c r="C1355" s="91">
        <f>$N$1351-$L$1351+1</f>
        <v>30</v>
      </c>
      <c r="D1355" s="92">
        <v>1.31928</v>
      </c>
      <c r="E1355" s="93">
        <v>1.33</v>
      </c>
      <c r="F1355" s="94">
        <f t="shared" si="237"/>
        <v>5.32</v>
      </c>
      <c r="H1355" s="95">
        <v>4</v>
      </c>
      <c r="I1355" s="96">
        <v>1.33</v>
      </c>
      <c r="J1355" s="97">
        <f t="shared" si="238"/>
        <v>5.32</v>
      </c>
      <c r="L1355" s="98">
        <v>4</v>
      </c>
      <c r="M1355" s="99">
        <v>1.33</v>
      </c>
      <c r="N1355" s="100">
        <f t="shared" si="239"/>
        <v>5.32</v>
      </c>
      <c r="R1355" s="102" t="s">
        <v>1299</v>
      </c>
    </row>
    <row r="1356" spans="1:30" x14ac:dyDescent="0.2">
      <c r="A1356" s="89" t="s">
        <v>614</v>
      </c>
      <c r="B1356" s="90">
        <f>IF($P$1356&lt;&gt;"",ROUND(AA1356*(($AB$1356/(1-$P$1356))-20.72)/25.3607,2),IF('Resumen 2.0TD'!$D$3="OPTIMIZAR",ROUND(MAX(AA1356,MIN(AA1356*(($AB$1356/(1-'Resumen 2.0TD'!$F$3))-20.72)/25.3607,AA1356*(57.3678)/25.3607)),3),AA1356))</f>
        <v>91.332999999999998</v>
      </c>
      <c r="C1356" s="103"/>
      <c r="D1356" s="92">
        <v>0.11117100000000001</v>
      </c>
      <c r="E1356" s="93">
        <v>0.13788</v>
      </c>
      <c r="F1356" s="94">
        <f t="shared" si="237"/>
        <v>12.59</v>
      </c>
      <c r="H1356" s="95">
        <v>80.849999999999994</v>
      </c>
      <c r="I1356" s="96">
        <v>0.13788</v>
      </c>
      <c r="J1356" s="97">
        <f t="shared" si="238"/>
        <v>11.15</v>
      </c>
      <c r="L1356" s="98">
        <v>59.973999999999997</v>
      </c>
      <c r="M1356" s="99">
        <v>0.13788</v>
      </c>
      <c r="N1356" s="100">
        <f t="shared" si="239"/>
        <v>8.27</v>
      </c>
      <c r="O1356" s="104" t="s">
        <v>615</v>
      </c>
      <c r="P1356" s="67"/>
      <c r="R1356" s="102" t="s">
        <v>1300</v>
      </c>
      <c r="AA1356">
        <v>62.414000000000001</v>
      </c>
      <c r="AB1356">
        <f>B1354*D1354+B1355*D1355+AA1356*D1356+AA1357*D1357+AA1358*D1358</f>
        <v>40.481895543</v>
      </c>
    </row>
    <row r="1357" spans="1:30" x14ac:dyDescent="0.2">
      <c r="A1357" s="89" t="s">
        <v>617</v>
      </c>
      <c r="B1357" s="90">
        <f>IF($P$1356&lt;&gt;"",ROUND(AA1357*(($AB$1356/(1-$P$1356))-20.72)/25.3607,2),IF('Resumen 2.0TD'!$D$3="OPTIMIZAR",ROUND(MAX(AA1357,MIN(AA1357*(($AB$1356/(1-'Resumen 2.0TD'!$F$3))-20.72)/25.3607,AA1357*(57.3678)/25.3607)),3),AA1357))</f>
        <v>72.364000000000004</v>
      </c>
      <c r="C1357" s="103"/>
      <c r="D1357" s="92">
        <v>0.11117100000000001</v>
      </c>
      <c r="E1357" s="93">
        <v>0.13788</v>
      </c>
      <c r="F1357" s="94">
        <f t="shared" si="237"/>
        <v>9.98</v>
      </c>
      <c r="H1357" s="95">
        <v>66.350999999999999</v>
      </c>
      <c r="I1357" s="96">
        <v>0.13788</v>
      </c>
      <c r="J1357" s="97">
        <f t="shared" si="238"/>
        <v>9.15</v>
      </c>
      <c r="L1357" s="98">
        <v>42.198999999999998</v>
      </c>
      <c r="M1357" s="99">
        <v>0.13788</v>
      </c>
      <c r="N1357" s="100">
        <f t="shared" si="239"/>
        <v>5.82</v>
      </c>
      <c r="O1357" s="105" t="s">
        <v>618</v>
      </c>
      <c r="R1357" s="102" t="s">
        <v>619</v>
      </c>
      <c r="AA1357">
        <v>49.451000000000001</v>
      </c>
    </row>
    <row r="1358" spans="1:30" x14ac:dyDescent="0.2">
      <c r="A1358" s="89" t="s">
        <v>620</v>
      </c>
      <c r="B1358" s="90">
        <f>IF($P$1356&lt;&gt;"",ROUND(AA1358*(($AB$1356/(1-$P$1356))-20.72)/25.3607,2),IF('Resumen 2.0TD'!$D$3="OPTIMIZAR",ROUND(MAX(AA1358,MIN(AA1358*(($AB$1356/(1-'Resumen 2.0TD'!$F$3))-20.72)/25.3607,AA1358*(57.3678)/25.3607)),3),AA1358))</f>
        <v>105.46</v>
      </c>
      <c r="C1358" s="103"/>
      <c r="D1358" s="92">
        <v>0.11117100000000001</v>
      </c>
      <c r="E1358" s="93">
        <v>0.13788</v>
      </c>
      <c r="F1358" s="94">
        <f t="shared" si="237"/>
        <v>14.54</v>
      </c>
      <c r="H1358" s="95">
        <v>99.415999999999997</v>
      </c>
      <c r="I1358" s="96">
        <v>0.13788</v>
      </c>
      <c r="J1358" s="97">
        <f t="shared" si="238"/>
        <v>13.71</v>
      </c>
      <c r="L1358" s="98">
        <v>74.275999999999996</v>
      </c>
      <c r="M1358" s="99">
        <v>0.13788</v>
      </c>
      <c r="N1358" s="100">
        <f t="shared" si="239"/>
        <v>10.24</v>
      </c>
      <c r="O1358" s="105" t="s">
        <v>621</v>
      </c>
      <c r="AA1358">
        <v>72.067999999999998</v>
      </c>
    </row>
    <row r="1359" spans="1:30" x14ac:dyDescent="0.2">
      <c r="A1359" s="89" t="s">
        <v>139</v>
      </c>
      <c r="B1359" s="90">
        <v>1</v>
      </c>
      <c r="C1359" s="91">
        <f>$N$1351-$L$1351+1</f>
        <v>30</v>
      </c>
      <c r="D1359" s="92">
        <v>0.79890000000000005</v>
      </c>
      <c r="E1359" s="93">
        <v>3</v>
      </c>
      <c r="F1359" s="94">
        <f t="shared" si="237"/>
        <v>3</v>
      </c>
      <c r="H1359" s="95">
        <v>1</v>
      </c>
      <c r="I1359" s="96">
        <v>3</v>
      </c>
      <c r="J1359" s="97">
        <f t="shared" si="238"/>
        <v>3</v>
      </c>
      <c r="L1359" s="98">
        <v>1</v>
      </c>
      <c r="M1359" s="99">
        <v>3</v>
      </c>
      <c r="N1359" s="100">
        <f t="shared" si="239"/>
        <v>3</v>
      </c>
    </row>
    <row r="1360" spans="1:30" x14ac:dyDescent="0.2">
      <c r="A1360" s="89" t="s">
        <v>140</v>
      </c>
      <c r="B1360" s="90">
        <v>30</v>
      </c>
      <c r="C1360" s="91">
        <f>$N$1351-$L$1351+1</f>
        <v>30</v>
      </c>
      <c r="D1360" s="92">
        <v>0.5736</v>
      </c>
      <c r="E1360" s="93">
        <v>1.274E-2</v>
      </c>
      <c r="F1360" s="94">
        <f t="shared" si="237"/>
        <v>0.38</v>
      </c>
      <c r="H1360" s="95">
        <v>30</v>
      </c>
      <c r="I1360" s="96">
        <v>1.274E-2</v>
      </c>
      <c r="J1360" s="97">
        <f t="shared" si="238"/>
        <v>0.38</v>
      </c>
      <c r="L1360" s="98">
        <v>30</v>
      </c>
      <c r="M1360" s="99">
        <v>6.2899999999999996E-3</v>
      </c>
      <c r="N1360" s="100">
        <f t="shared" si="239"/>
        <v>0.19</v>
      </c>
    </row>
    <row r="1361" spans="1:30" x14ac:dyDescent="0.2">
      <c r="A1361" s="89" t="s">
        <v>141</v>
      </c>
      <c r="B1361" s="90">
        <v>2.36</v>
      </c>
      <c r="C1361" s="103"/>
      <c r="D1361" s="92">
        <v>0.27311999999999997</v>
      </c>
      <c r="E1361" s="93">
        <v>1</v>
      </c>
      <c r="F1361" s="94">
        <f t="shared" si="237"/>
        <v>2.36</v>
      </c>
      <c r="H1361" s="95">
        <v>2.81</v>
      </c>
      <c r="I1361" s="96">
        <v>1</v>
      </c>
      <c r="J1361" s="97">
        <f t="shared" si="238"/>
        <v>2.81</v>
      </c>
      <c r="L1361" s="98">
        <v>2.31</v>
      </c>
      <c r="M1361" s="99">
        <v>1</v>
      </c>
      <c r="N1361" s="100">
        <f t="shared" si="239"/>
        <v>2.31</v>
      </c>
    </row>
    <row r="1362" spans="1:30" x14ac:dyDescent="0.2">
      <c r="A1362" s="106" t="s">
        <v>142</v>
      </c>
      <c r="F1362" s="107">
        <f>ROUND((SUM(F1354:F1361)-F1361)*1.1+F1361,2)</f>
        <v>69.69</v>
      </c>
      <c r="J1362" s="108">
        <f>ROUND(SUM(J1354:J1361),2)</f>
        <v>60.92</v>
      </c>
      <c r="N1362" s="109">
        <f>ROUND(SUM(N1354:N1361),2)</f>
        <v>50.55</v>
      </c>
    </row>
    <row r="1363" spans="1:30" x14ac:dyDescent="0.2">
      <c r="A1363" s="78" t="s">
        <v>143</v>
      </c>
      <c r="B1363" s="110">
        <f>IF((F1358+F1357+F1356+F1354+F1355)=0,"",((F1358+F1357+F1356+F1354+F1355)-$AB$1356)/(F1358+F1357+F1356+F1354+F1355))</f>
        <v>0.29998451421407574</v>
      </c>
      <c r="D1363" s="139" t="str">
        <f>IF(B1363="","SIN PC",IF(B1363&gt;=0.3,"APROBAR",IF(B1363&gt;=0.2,"REVISAR","RECHAZAR")))</f>
        <v>REVISAR</v>
      </c>
      <c r="E1363" s="139"/>
      <c r="F1363" s="139"/>
      <c r="AD1363">
        <f>SUM(F1356:F1358)-25.3607</f>
        <v>11.749299999999998</v>
      </c>
    </row>
    <row r="1365" spans="1:30" x14ac:dyDescent="0.2">
      <c r="A1365" s="137" t="s">
        <v>1301</v>
      </c>
      <c r="B1365" s="137"/>
      <c r="C1365" s="137"/>
      <c r="D1365" s="137"/>
      <c r="E1365" s="137"/>
      <c r="F1365" s="137"/>
      <c r="H1365" s="137" t="s">
        <v>751</v>
      </c>
      <c r="I1365" s="137"/>
      <c r="J1365" s="137"/>
      <c r="K1365" s="137"/>
      <c r="L1365" s="76">
        <v>46113</v>
      </c>
      <c r="M1365" s="77" t="s">
        <v>607</v>
      </c>
      <c r="N1365" s="76">
        <v>46142</v>
      </c>
      <c r="R1365" s="138" t="s">
        <v>110</v>
      </c>
      <c r="S1365" s="138"/>
      <c r="T1365" s="138"/>
      <c r="U1365" s="138"/>
      <c r="V1365" s="138"/>
    </row>
    <row r="1366" spans="1:30" x14ac:dyDescent="0.2">
      <c r="A1366" s="78" t="s">
        <v>111</v>
      </c>
      <c r="B1366" s="79" t="s">
        <v>112</v>
      </c>
      <c r="C1366" s="80"/>
      <c r="D1366" s="80"/>
      <c r="E1366" s="80"/>
      <c r="F1366" s="80"/>
      <c r="H1366" s="81" t="s">
        <v>752</v>
      </c>
      <c r="I1366" s="82"/>
      <c r="J1366" s="82"/>
      <c r="L1366" s="83" t="s">
        <v>753</v>
      </c>
      <c r="M1366" s="84"/>
      <c r="N1366" s="84"/>
      <c r="R1366" s="85" t="s">
        <v>754</v>
      </c>
    </row>
    <row r="1367" spans="1:30" x14ac:dyDescent="0.2">
      <c r="B1367" s="68" t="s">
        <v>116</v>
      </c>
      <c r="C1367" s="68" t="s">
        <v>117</v>
      </c>
      <c r="D1367" s="68" t="s">
        <v>118</v>
      </c>
      <c r="E1367" s="68" t="s">
        <v>119</v>
      </c>
      <c r="F1367" s="68" t="s">
        <v>120</v>
      </c>
      <c r="H1367" s="86" t="s">
        <v>116</v>
      </c>
      <c r="I1367" s="86" t="s">
        <v>119</v>
      </c>
      <c r="J1367" s="86" t="s">
        <v>120</v>
      </c>
      <c r="L1367" s="87" t="s">
        <v>116</v>
      </c>
      <c r="M1367" s="87" t="s">
        <v>119</v>
      </c>
      <c r="N1367" s="87" t="s">
        <v>120</v>
      </c>
      <c r="R1367" s="88" t="s">
        <v>755</v>
      </c>
    </row>
    <row r="1368" spans="1:30" x14ac:dyDescent="0.2">
      <c r="A1368" s="89" t="s">
        <v>122</v>
      </c>
      <c r="B1368" s="90">
        <v>13.2</v>
      </c>
      <c r="C1368" s="91">
        <f>$N$1365-$L$1365+1</f>
        <v>30</v>
      </c>
      <c r="D1368" s="92">
        <v>3.68919</v>
      </c>
      <c r="E1368" s="93">
        <v>3.85</v>
      </c>
      <c r="F1368" s="94">
        <f t="shared" ref="F1368:F1375" si="240">ROUND(B1368*E1368,2)</f>
        <v>50.82</v>
      </c>
      <c r="H1368" s="95">
        <v>13.2</v>
      </c>
      <c r="I1368" s="96">
        <v>3.85</v>
      </c>
      <c r="J1368" s="97">
        <f t="shared" ref="J1368:J1375" si="241">ROUND(H1368*I1368,2)</f>
        <v>50.82</v>
      </c>
      <c r="L1368" s="98">
        <v>13.2</v>
      </c>
      <c r="M1368" s="99">
        <v>3.85</v>
      </c>
      <c r="N1368" s="100">
        <f t="shared" ref="N1368:N1375" si="242">ROUND(L1368*M1368,2)</f>
        <v>50.82</v>
      </c>
      <c r="R1368" s="101" t="s">
        <v>756</v>
      </c>
    </row>
    <row r="1369" spans="1:30" x14ac:dyDescent="0.2">
      <c r="A1369" s="89" t="s">
        <v>124</v>
      </c>
      <c r="B1369" s="90">
        <v>13.2</v>
      </c>
      <c r="C1369" s="91">
        <f>$N$1365-$L$1365+1</f>
        <v>30</v>
      </c>
      <c r="D1369" s="92">
        <v>1.31928</v>
      </c>
      <c r="E1369" s="93">
        <v>1.33</v>
      </c>
      <c r="F1369" s="94">
        <f t="shared" si="240"/>
        <v>17.559999999999999</v>
      </c>
      <c r="H1369" s="95">
        <v>13.2</v>
      </c>
      <c r="I1369" s="96">
        <v>1.33</v>
      </c>
      <c r="J1369" s="97">
        <f t="shared" si="241"/>
        <v>17.559999999999999</v>
      </c>
      <c r="L1369" s="98">
        <v>13.2</v>
      </c>
      <c r="M1369" s="99">
        <v>1.33</v>
      </c>
      <c r="N1369" s="100">
        <f t="shared" si="242"/>
        <v>17.559999999999999</v>
      </c>
      <c r="R1369" s="102" t="s">
        <v>757</v>
      </c>
    </row>
    <row r="1370" spans="1:30" x14ac:dyDescent="0.2">
      <c r="A1370" s="89" t="s">
        <v>614</v>
      </c>
      <c r="B1370" s="90">
        <f>IF($P$1370&lt;&gt;"",ROUND(AA1370*(($AB$1370/(1-$P$1370))-68.376)/122.8025,2),IF('Resumen 2.0TD'!$D$3="OPTIMIZAR",ROUND(MAX(AA1370,MIN(AA1370*(($AB$1370/(1-'Resumen 2.0TD'!$F$3))-68.376)/122.8025,AA1370*(209.7518)/122.8025)),3),AA1370))</f>
        <v>352.61099999999999</v>
      </c>
      <c r="C1370" s="103"/>
      <c r="D1370" s="92">
        <v>0.11117100000000001</v>
      </c>
      <c r="E1370" s="93">
        <v>0.13788</v>
      </c>
      <c r="F1370" s="94">
        <f t="shared" si="240"/>
        <v>48.62</v>
      </c>
      <c r="H1370" s="95">
        <v>442.536</v>
      </c>
      <c r="I1370" s="96">
        <v>0.129</v>
      </c>
      <c r="J1370" s="97">
        <f t="shared" si="241"/>
        <v>57.09</v>
      </c>
      <c r="L1370" s="98">
        <v>256.23200000000003</v>
      </c>
      <c r="M1370" s="99">
        <v>0.13788</v>
      </c>
      <c r="N1370" s="100">
        <f t="shared" si="242"/>
        <v>35.33</v>
      </c>
      <c r="O1370" s="104" t="s">
        <v>615</v>
      </c>
      <c r="P1370" s="67"/>
      <c r="R1370" s="102" t="s">
        <v>758</v>
      </c>
      <c r="AA1370">
        <v>258.488</v>
      </c>
      <c r="AB1370">
        <f>B1368*D1368+B1369*D1369+AA1370*D1370+AA1371*D1371+AA1372*D1372</f>
        <v>165.12603280800002</v>
      </c>
    </row>
    <row r="1371" spans="1:30" x14ac:dyDescent="0.2">
      <c r="A1371" s="89" t="s">
        <v>617</v>
      </c>
      <c r="B1371" s="90">
        <f>IF($P$1370&lt;&gt;"",ROUND(AA1371*(($AB$1370/(1-$P$1370))-68.376)/122.8025,2),IF('Resumen 2.0TD'!$D$3="OPTIMIZAR",ROUND(MAX(AA1371,MIN(AA1371*(($AB$1370/(1-'Resumen 2.0TD'!$F$3))-68.376)/122.8025,AA1371*(209.7518)/122.8025)),3),AA1371))</f>
        <v>416.63600000000002</v>
      </c>
      <c r="C1371" s="103"/>
      <c r="D1371" s="92">
        <v>0.11117100000000001</v>
      </c>
      <c r="E1371" s="93">
        <v>0.13788</v>
      </c>
      <c r="F1371" s="94">
        <f t="shared" si="240"/>
        <v>57.45</v>
      </c>
      <c r="H1371" s="95">
        <v>441.52699999999999</v>
      </c>
      <c r="I1371" s="96">
        <v>0.129</v>
      </c>
      <c r="J1371" s="97">
        <f t="shared" si="241"/>
        <v>56.96</v>
      </c>
      <c r="L1371" s="98">
        <v>333.72</v>
      </c>
      <c r="M1371" s="99">
        <v>0.13788</v>
      </c>
      <c r="N1371" s="100">
        <f t="shared" si="242"/>
        <v>46.01</v>
      </c>
      <c r="O1371" s="105" t="s">
        <v>618</v>
      </c>
      <c r="R1371" s="102" t="s">
        <v>619</v>
      </c>
      <c r="AA1371">
        <v>305.423</v>
      </c>
    </row>
    <row r="1372" spans="1:30" x14ac:dyDescent="0.2">
      <c r="A1372" s="89" t="s">
        <v>620</v>
      </c>
      <c r="B1372" s="90">
        <f>IF($P$1370&lt;&gt;"",ROUND(AA1372*(($AB$1370/(1-$P$1370))-68.376)/122.8025,2),IF('Resumen 2.0TD'!$D$3="OPTIMIZAR",ROUND(MAX(AA1372,MIN(AA1372*(($AB$1370/(1-'Resumen 2.0TD'!$F$3))-68.376)/122.8025,AA1372*(209.7518)/122.8025)),3),AA1372))</f>
        <v>445.71100000000001</v>
      </c>
      <c r="C1372" s="103"/>
      <c r="D1372" s="92">
        <v>0.11117100000000001</v>
      </c>
      <c r="E1372" s="93">
        <v>0.13788</v>
      </c>
      <c r="F1372" s="94">
        <f t="shared" si="240"/>
        <v>61.45</v>
      </c>
      <c r="H1372" s="95">
        <v>295.77300000000002</v>
      </c>
      <c r="I1372" s="96">
        <v>0.129</v>
      </c>
      <c r="J1372" s="97">
        <f t="shared" si="241"/>
        <v>38.15</v>
      </c>
      <c r="L1372" s="98">
        <v>202.33500000000001</v>
      </c>
      <c r="M1372" s="99">
        <v>0.13788</v>
      </c>
      <c r="N1372" s="100">
        <f t="shared" si="242"/>
        <v>27.9</v>
      </c>
      <c r="O1372" s="105" t="s">
        <v>621</v>
      </c>
      <c r="AA1372">
        <v>326.73700000000002</v>
      </c>
    </row>
    <row r="1373" spans="1:30" x14ac:dyDescent="0.2">
      <c r="A1373" s="89" t="s">
        <v>139</v>
      </c>
      <c r="B1373" s="90">
        <v>1</v>
      </c>
      <c r="C1373" s="91">
        <f>$N$1365-$L$1365+1</f>
        <v>30</v>
      </c>
      <c r="D1373" s="92">
        <v>1.3413999999999999</v>
      </c>
      <c r="E1373" s="93">
        <v>3</v>
      </c>
      <c r="F1373" s="94">
        <f t="shared" si="240"/>
        <v>3</v>
      </c>
      <c r="H1373" s="95">
        <v>1</v>
      </c>
      <c r="I1373" s="96">
        <v>3</v>
      </c>
      <c r="J1373" s="97">
        <f t="shared" si="241"/>
        <v>3</v>
      </c>
      <c r="L1373" s="98">
        <v>1</v>
      </c>
      <c r="M1373" s="99">
        <v>3</v>
      </c>
      <c r="N1373" s="100">
        <f t="shared" si="242"/>
        <v>3</v>
      </c>
    </row>
    <row r="1374" spans="1:30" x14ac:dyDescent="0.2">
      <c r="A1374" s="89" t="s">
        <v>140</v>
      </c>
      <c r="B1374" s="90">
        <v>30</v>
      </c>
      <c r="C1374" s="91">
        <f>$N$1365-$L$1365+1</f>
        <v>30</v>
      </c>
      <c r="D1374" s="92">
        <v>0.5736</v>
      </c>
      <c r="E1374" s="93">
        <v>1.274E-2</v>
      </c>
      <c r="F1374" s="94">
        <f t="shared" si="240"/>
        <v>0.38</v>
      </c>
      <c r="H1374" s="95">
        <v>30</v>
      </c>
      <c r="I1374" s="96">
        <v>1.274E-2</v>
      </c>
      <c r="J1374" s="97">
        <f t="shared" si="241"/>
        <v>0.38</v>
      </c>
      <c r="L1374" s="98">
        <v>30</v>
      </c>
      <c r="M1374" s="99">
        <v>6.2899999999999996E-3</v>
      </c>
      <c r="N1374" s="100">
        <f t="shared" si="242"/>
        <v>0.19</v>
      </c>
    </row>
    <row r="1375" spans="1:30" x14ac:dyDescent="0.2">
      <c r="A1375" s="89" t="s">
        <v>141</v>
      </c>
      <c r="B1375" s="90">
        <v>9.7799999999999994</v>
      </c>
      <c r="C1375" s="103"/>
      <c r="D1375" s="92">
        <v>0.27311999999999997</v>
      </c>
      <c r="E1375" s="93">
        <v>1</v>
      </c>
      <c r="F1375" s="94">
        <f t="shared" si="240"/>
        <v>9.7799999999999994</v>
      </c>
      <c r="H1375" s="95">
        <v>12.04</v>
      </c>
      <c r="I1375" s="96">
        <v>1</v>
      </c>
      <c r="J1375" s="97">
        <f t="shared" si="241"/>
        <v>12.04</v>
      </c>
      <c r="L1375" s="98">
        <v>9.09</v>
      </c>
      <c r="M1375" s="99">
        <v>1</v>
      </c>
      <c r="N1375" s="100">
        <f t="shared" si="242"/>
        <v>9.09</v>
      </c>
    </row>
    <row r="1376" spans="1:30" x14ac:dyDescent="0.2">
      <c r="A1376" s="106" t="s">
        <v>142</v>
      </c>
      <c r="F1376" s="107">
        <f>ROUND((SUM(F1368:F1375)-F1375)*1.1+F1375,2)</f>
        <v>272.99</v>
      </c>
      <c r="J1376" s="108">
        <f>ROUND(SUM(J1368:J1375),2)</f>
        <v>236</v>
      </c>
      <c r="N1376" s="109">
        <f>ROUND(SUM(N1368:N1375),2)</f>
        <v>189.9</v>
      </c>
    </row>
    <row r="1377" spans="1:30" x14ac:dyDescent="0.2">
      <c r="A1377" s="78" t="s">
        <v>143</v>
      </c>
      <c r="B1377" s="110">
        <f>IF((F1372+F1371+F1370+F1368+F1369)=0,"",((F1372+F1371+F1370+F1368+F1369)-$AB$1370)/(F1372+F1371+F1370+F1368+F1369))</f>
        <v>0.30001681726155144</v>
      </c>
      <c r="D1377" s="139" t="str">
        <f>IF(B1377="","SIN PC",IF(B1377&gt;=0.3,"APROBAR",IF(B1377&gt;=0.2,"REVISAR","RECHAZAR")))</f>
        <v>APROBAR</v>
      </c>
      <c r="E1377" s="139"/>
      <c r="F1377" s="139"/>
      <c r="AD1377">
        <f>SUM(F1370:F1372)-122.8025</f>
        <v>44.717499999999987</v>
      </c>
    </row>
    <row r="1379" spans="1:30" x14ac:dyDescent="0.2">
      <c r="A1379" s="137" t="s">
        <v>1302</v>
      </c>
      <c r="B1379" s="137"/>
      <c r="C1379" s="137"/>
      <c r="D1379" s="137"/>
      <c r="E1379" s="137"/>
      <c r="F1379" s="137"/>
      <c r="H1379" s="137" t="s">
        <v>1303</v>
      </c>
      <c r="I1379" s="137"/>
      <c r="J1379" s="137"/>
      <c r="K1379" s="137"/>
      <c r="L1379" s="76">
        <v>46113</v>
      </c>
      <c r="M1379" s="77" t="s">
        <v>607</v>
      </c>
      <c r="N1379" s="76">
        <v>46142</v>
      </c>
      <c r="R1379" s="138" t="s">
        <v>110</v>
      </c>
      <c r="S1379" s="138"/>
      <c r="T1379" s="138"/>
      <c r="U1379" s="138"/>
      <c r="V1379" s="138"/>
    </row>
    <row r="1380" spans="1:30" x14ac:dyDescent="0.2">
      <c r="A1380" s="78" t="s">
        <v>111</v>
      </c>
      <c r="B1380" s="79" t="s">
        <v>112</v>
      </c>
      <c r="C1380" s="80"/>
      <c r="D1380" s="80"/>
      <c r="E1380" s="80"/>
      <c r="F1380" s="80"/>
      <c r="H1380" s="81" t="s">
        <v>1304</v>
      </c>
      <c r="I1380" s="82"/>
      <c r="J1380" s="82"/>
      <c r="L1380" s="83" t="s">
        <v>1305</v>
      </c>
      <c r="M1380" s="84"/>
      <c r="N1380" s="84"/>
      <c r="R1380" s="85" t="s">
        <v>1306</v>
      </c>
    </row>
    <row r="1381" spans="1:30" x14ac:dyDescent="0.2">
      <c r="B1381" s="68" t="s">
        <v>116</v>
      </c>
      <c r="C1381" s="68" t="s">
        <v>117</v>
      </c>
      <c r="D1381" s="68" t="s">
        <v>118</v>
      </c>
      <c r="E1381" s="68" t="s">
        <v>119</v>
      </c>
      <c r="F1381" s="68" t="s">
        <v>120</v>
      </c>
      <c r="H1381" s="86" t="s">
        <v>116</v>
      </c>
      <c r="I1381" s="86" t="s">
        <v>119</v>
      </c>
      <c r="J1381" s="86" t="s">
        <v>120</v>
      </c>
      <c r="L1381" s="87" t="s">
        <v>116</v>
      </c>
      <c r="M1381" s="87" t="s">
        <v>119</v>
      </c>
      <c r="N1381" s="87" t="s">
        <v>120</v>
      </c>
      <c r="R1381" s="88" t="s">
        <v>1307</v>
      </c>
    </row>
    <row r="1382" spans="1:30" x14ac:dyDescent="0.2">
      <c r="A1382" s="89" t="s">
        <v>122</v>
      </c>
      <c r="B1382" s="90">
        <v>10</v>
      </c>
      <c r="C1382" s="91">
        <f>$N$1379-$L$1379+1</f>
        <v>30</v>
      </c>
      <c r="D1382" s="92">
        <v>3.68919</v>
      </c>
      <c r="E1382" s="93">
        <v>3.85</v>
      </c>
      <c r="F1382" s="94">
        <f t="shared" ref="F1382:F1389" si="243">ROUND(B1382*E1382,2)</f>
        <v>38.5</v>
      </c>
      <c r="H1382" s="95">
        <v>10</v>
      </c>
      <c r="I1382" s="96">
        <v>3.85</v>
      </c>
      <c r="J1382" s="97">
        <f t="shared" ref="J1382:J1389" si="244">ROUND(H1382*I1382,2)</f>
        <v>38.5</v>
      </c>
      <c r="L1382" s="98">
        <v>10</v>
      </c>
      <c r="M1382" s="99">
        <v>3.85</v>
      </c>
      <c r="N1382" s="100">
        <f t="shared" ref="N1382:N1389" si="245">ROUND(L1382*M1382,2)</f>
        <v>38.5</v>
      </c>
      <c r="R1382" s="101" t="s">
        <v>1308</v>
      </c>
    </row>
    <row r="1383" spans="1:30" x14ac:dyDescent="0.2">
      <c r="A1383" s="89" t="s">
        <v>124</v>
      </c>
      <c r="B1383" s="90">
        <v>10</v>
      </c>
      <c r="C1383" s="91">
        <f>$N$1379-$L$1379+1</f>
        <v>30</v>
      </c>
      <c r="D1383" s="92">
        <v>1.31928</v>
      </c>
      <c r="E1383" s="93">
        <v>1.33</v>
      </c>
      <c r="F1383" s="94">
        <f t="shared" si="243"/>
        <v>13.3</v>
      </c>
      <c r="H1383" s="95">
        <v>10</v>
      </c>
      <c r="I1383" s="96">
        <v>1.33</v>
      </c>
      <c r="J1383" s="97">
        <f t="shared" si="244"/>
        <v>13.3</v>
      </c>
      <c r="L1383" s="98">
        <v>10</v>
      </c>
      <c r="M1383" s="99">
        <v>1.33</v>
      </c>
      <c r="N1383" s="100">
        <f t="shared" si="245"/>
        <v>13.3</v>
      </c>
      <c r="R1383" s="102" t="s">
        <v>1309</v>
      </c>
    </row>
    <row r="1384" spans="1:30" x14ac:dyDescent="0.2">
      <c r="A1384" s="89" t="s">
        <v>614</v>
      </c>
      <c r="B1384" s="90">
        <f>IF($P$1384&lt;&gt;"",ROUND(AA1384*(($AB$1384/(1-$P$1384))-51.8)/132.0721,2),IF('Resumen 2.0TD'!$D$3="OPTIMIZAR",ROUND(MAX(AA1384,MIN(AA1384*(($AB$1384/(1-'Resumen 2.0TD'!$F$3))-51.8)/132.0721,AA1384*(261.1978)/132.0721)),3),AA1384))</f>
        <v>333.82499999999999</v>
      </c>
      <c r="C1384" s="103"/>
      <c r="D1384" s="92">
        <v>0.11117100000000001</v>
      </c>
      <c r="E1384" s="93">
        <v>0.13788</v>
      </c>
      <c r="F1384" s="94">
        <f t="shared" si="243"/>
        <v>46.03</v>
      </c>
      <c r="H1384" s="95">
        <v>322.15899999999999</v>
      </c>
      <c r="I1384" s="96">
        <v>0.13788</v>
      </c>
      <c r="J1384" s="97">
        <f t="shared" si="244"/>
        <v>44.42</v>
      </c>
      <c r="L1384" s="98">
        <v>262.05399999999997</v>
      </c>
      <c r="M1384" s="99">
        <v>0.13788</v>
      </c>
      <c r="N1384" s="100">
        <f t="shared" si="245"/>
        <v>36.130000000000003</v>
      </c>
      <c r="O1384" s="104" t="s">
        <v>615</v>
      </c>
      <c r="P1384" s="67"/>
      <c r="R1384" s="102" t="s">
        <v>1310</v>
      </c>
      <c r="AA1384">
        <v>256.517</v>
      </c>
      <c r="AB1384">
        <f>B1382*D1382+B1383*D1383+AA1384*D1384+AA1385*D1385+AA1386*D1386</f>
        <v>156.57284396699998</v>
      </c>
    </row>
    <row r="1385" spans="1:30" x14ac:dyDescent="0.2">
      <c r="A1385" s="89" t="s">
        <v>617</v>
      </c>
      <c r="B1385" s="90">
        <f>IF($P$1384&lt;&gt;"",ROUND(AA1385*(($AB$1384/(1-$P$1384))-51.8)/132.0721,2),IF('Resumen 2.0TD'!$D$3="OPTIMIZAR",ROUND(MAX(AA1385,MIN(AA1385*(($AB$1384/(1-'Resumen 2.0TD'!$F$3))-51.8)/132.0721,AA1385*(261.1978)/132.0721)),3),AA1385))</f>
        <v>370.67099999999999</v>
      </c>
      <c r="C1385" s="103"/>
      <c r="D1385" s="92">
        <v>0.11117100000000001</v>
      </c>
      <c r="E1385" s="93">
        <v>0.13788</v>
      </c>
      <c r="F1385" s="94">
        <f t="shared" si="243"/>
        <v>51.11</v>
      </c>
      <c r="H1385" s="95">
        <v>285.56799999999998</v>
      </c>
      <c r="I1385" s="96">
        <v>0.13788</v>
      </c>
      <c r="J1385" s="97">
        <f t="shared" si="244"/>
        <v>39.369999999999997</v>
      </c>
      <c r="L1385" s="98">
        <v>260.83</v>
      </c>
      <c r="M1385" s="99">
        <v>0.13788</v>
      </c>
      <c r="N1385" s="100">
        <f t="shared" si="245"/>
        <v>35.96</v>
      </c>
      <c r="O1385" s="105" t="s">
        <v>618</v>
      </c>
      <c r="R1385" s="102" t="s">
        <v>619</v>
      </c>
      <c r="AA1385">
        <v>284.83</v>
      </c>
    </row>
    <row r="1386" spans="1:30" x14ac:dyDescent="0.2">
      <c r="A1386" s="89" t="s">
        <v>620</v>
      </c>
      <c r="B1386" s="90">
        <f>IF($P$1384&lt;&gt;"",ROUND(AA1386*(($AB$1384/(1-$P$1384))-51.8)/132.0721,2),IF('Resumen 2.0TD'!$D$3="OPTIMIZAR",ROUND(MAX(AA1386,MIN(AA1386*(($AB$1384/(1-'Resumen 2.0TD'!$F$3))-51.8)/132.0721,AA1386*(261.1978)/132.0721)),3),AA1386))</f>
        <v>542.06200000000001</v>
      </c>
      <c r="C1386" s="103"/>
      <c r="D1386" s="92">
        <v>0.11117100000000001</v>
      </c>
      <c r="E1386" s="93">
        <v>0.13788</v>
      </c>
      <c r="F1386" s="94">
        <f t="shared" si="243"/>
        <v>74.739999999999995</v>
      </c>
      <c r="H1386" s="95">
        <v>420.51799999999997</v>
      </c>
      <c r="I1386" s="96">
        <v>0.13788</v>
      </c>
      <c r="J1386" s="97">
        <f t="shared" si="244"/>
        <v>57.98</v>
      </c>
      <c r="L1386" s="98">
        <v>409.77499999999998</v>
      </c>
      <c r="M1386" s="99">
        <v>0.13788</v>
      </c>
      <c r="N1386" s="100">
        <f t="shared" si="245"/>
        <v>56.5</v>
      </c>
      <c r="O1386" s="105" t="s">
        <v>621</v>
      </c>
      <c r="AA1386">
        <v>416.53</v>
      </c>
    </row>
    <row r="1387" spans="1:30" x14ac:dyDescent="0.2">
      <c r="A1387" s="89" t="s">
        <v>139</v>
      </c>
      <c r="B1387" s="90">
        <v>1</v>
      </c>
      <c r="C1387" s="91">
        <f>$N$1379-$L$1379+1</f>
        <v>30</v>
      </c>
      <c r="D1387" s="92">
        <v>1.3413999999999999</v>
      </c>
      <c r="E1387" s="93">
        <v>3</v>
      </c>
      <c r="F1387" s="94">
        <f t="shared" si="243"/>
        <v>3</v>
      </c>
      <c r="H1387" s="95">
        <v>1</v>
      </c>
      <c r="I1387" s="96">
        <v>3</v>
      </c>
      <c r="J1387" s="97">
        <f t="shared" si="244"/>
        <v>3</v>
      </c>
      <c r="L1387" s="98">
        <v>1</v>
      </c>
      <c r="M1387" s="99">
        <v>3</v>
      </c>
      <c r="N1387" s="100">
        <f t="shared" si="245"/>
        <v>3</v>
      </c>
    </row>
    <row r="1388" spans="1:30" x14ac:dyDescent="0.2">
      <c r="A1388" s="89" t="s">
        <v>140</v>
      </c>
      <c r="B1388" s="90">
        <v>30</v>
      </c>
      <c r="C1388" s="91">
        <f>$N$1379-$L$1379+1</f>
        <v>30</v>
      </c>
      <c r="D1388" s="92">
        <v>0.5736</v>
      </c>
      <c r="E1388" s="93">
        <v>1.274E-2</v>
      </c>
      <c r="F1388" s="94">
        <f t="shared" si="243"/>
        <v>0.38</v>
      </c>
      <c r="H1388" s="95">
        <v>30</v>
      </c>
      <c r="I1388" s="96">
        <v>1.274E-2</v>
      </c>
      <c r="J1388" s="97">
        <f t="shared" si="244"/>
        <v>0.38</v>
      </c>
      <c r="L1388" s="98">
        <v>30</v>
      </c>
      <c r="M1388" s="99">
        <v>6.2899999999999996E-3</v>
      </c>
      <c r="N1388" s="100">
        <f t="shared" si="245"/>
        <v>0.19</v>
      </c>
    </row>
    <row r="1389" spans="1:30" x14ac:dyDescent="0.2">
      <c r="A1389" s="89" t="s">
        <v>141</v>
      </c>
      <c r="B1389" s="90">
        <v>9.41</v>
      </c>
      <c r="C1389" s="103"/>
      <c r="D1389" s="92">
        <v>0.27311999999999997</v>
      </c>
      <c r="E1389" s="93">
        <v>1</v>
      </c>
      <c r="F1389" s="94">
        <f t="shared" si="243"/>
        <v>9.41</v>
      </c>
      <c r="H1389" s="95">
        <v>9.9</v>
      </c>
      <c r="I1389" s="96">
        <v>1</v>
      </c>
      <c r="J1389" s="97">
        <f t="shared" si="244"/>
        <v>9.9</v>
      </c>
      <c r="L1389" s="98">
        <v>9.23</v>
      </c>
      <c r="M1389" s="99">
        <v>1</v>
      </c>
      <c r="N1389" s="100">
        <f t="shared" si="245"/>
        <v>9.23</v>
      </c>
    </row>
    <row r="1390" spans="1:30" x14ac:dyDescent="0.2">
      <c r="A1390" s="106" t="s">
        <v>142</v>
      </c>
      <c r="F1390" s="107">
        <f>ROUND((SUM(F1382:F1389)-F1389)*1.1+F1389,2)</f>
        <v>259.18</v>
      </c>
      <c r="J1390" s="108">
        <f>ROUND(SUM(J1382:J1389),2)</f>
        <v>206.85</v>
      </c>
      <c r="N1390" s="109">
        <f>ROUND(SUM(N1382:N1389),2)</f>
        <v>192.81</v>
      </c>
    </row>
    <row r="1391" spans="1:30" x14ac:dyDescent="0.2">
      <c r="A1391" s="78" t="s">
        <v>143</v>
      </c>
      <c r="B1391" s="110">
        <f>IF((F1386+F1385+F1384+F1382+F1383)=0,"",((F1386+F1385+F1384+F1382+F1383)-$AB$1384)/(F1386+F1385+F1384+F1382+F1383))</f>
        <v>0.30001410958959235</v>
      </c>
      <c r="D1391" s="139" t="str">
        <f>IF(B1391="","SIN PC",IF(B1391&gt;=0.3,"APROBAR",IF(B1391&gt;=0.2,"REVISAR","RECHAZAR")))</f>
        <v>APROBAR</v>
      </c>
      <c r="E1391" s="139"/>
      <c r="F1391" s="139"/>
      <c r="AD1391">
        <f>SUM(F1384:F1386)-132.0721</f>
        <v>39.807899999999989</v>
      </c>
    </row>
    <row r="1393" spans="1:30" x14ac:dyDescent="0.2">
      <c r="A1393" s="137" t="s">
        <v>1311</v>
      </c>
      <c r="B1393" s="137"/>
      <c r="C1393" s="137"/>
      <c r="D1393" s="137"/>
      <c r="E1393" s="137"/>
      <c r="F1393" s="137"/>
      <c r="H1393" s="137" t="s">
        <v>1312</v>
      </c>
      <c r="I1393" s="137"/>
      <c r="J1393" s="137"/>
      <c r="K1393" s="137"/>
      <c r="L1393" s="76">
        <v>46113</v>
      </c>
      <c r="M1393" s="77" t="s">
        <v>607</v>
      </c>
      <c r="N1393" s="76">
        <v>46142</v>
      </c>
      <c r="R1393" s="138" t="s">
        <v>110</v>
      </c>
      <c r="S1393" s="138"/>
      <c r="T1393" s="138"/>
      <c r="U1393" s="138"/>
      <c r="V1393" s="138"/>
    </row>
    <row r="1394" spans="1:30" x14ac:dyDescent="0.2">
      <c r="A1394" s="78" t="s">
        <v>111</v>
      </c>
      <c r="B1394" s="79" t="s">
        <v>112</v>
      </c>
      <c r="C1394" s="80"/>
      <c r="D1394" s="80"/>
      <c r="E1394" s="80"/>
      <c r="F1394" s="80"/>
      <c r="H1394" s="81" t="s">
        <v>1313</v>
      </c>
      <c r="I1394" s="82"/>
      <c r="J1394" s="82"/>
      <c r="L1394" s="83" t="s">
        <v>1314</v>
      </c>
      <c r="M1394" s="84"/>
      <c r="N1394" s="84"/>
      <c r="R1394" s="85" t="s">
        <v>1315</v>
      </c>
    </row>
    <row r="1395" spans="1:30" x14ac:dyDescent="0.2">
      <c r="B1395" s="68" t="s">
        <v>116</v>
      </c>
      <c r="C1395" s="68" t="s">
        <v>117</v>
      </c>
      <c r="D1395" s="68" t="s">
        <v>118</v>
      </c>
      <c r="E1395" s="68" t="s">
        <v>119</v>
      </c>
      <c r="F1395" s="68" t="s">
        <v>120</v>
      </c>
      <c r="H1395" s="86" t="s">
        <v>116</v>
      </c>
      <c r="I1395" s="86" t="s">
        <v>119</v>
      </c>
      <c r="J1395" s="86" t="s">
        <v>120</v>
      </c>
      <c r="L1395" s="87" t="s">
        <v>116</v>
      </c>
      <c r="M1395" s="87" t="s">
        <v>119</v>
      </c>
      <c r="N1395" s="87" t="s">
        <v>120</v>
      </c>
      <c r="R1395" s="88" t="s">
        <v>1316</v>
      </c>
    </row>
    <row r="1396" spans="1:30" x14ac:dyDescent="0.2">
      <c r="A1396" s="89" t="s">
        <v>122</v>
      </c>
      <c r="B1396" s="90">
        <v>10.1</v>
      </c>
      <c r="C1396" s="91">
        <f>$N$1393-$L$1393+1</f>
        <v>30</v>
      </c>
      <c r="D1396" s="92">
        <v>3.68919</v>
      </c>
      <c r="E1396" s="93">
        <v>3.85</v>
      </c>
      <c r="F1396" s="94">
        <f t="shared" ref="F1396:F1403" si="246">ROUND(B1396*E1396,2)</f>
        <v>38.89</v>
      </c>
      <c r="H1396" s="95">
        <v>10.1</v>
      </c>
      <c r="I1396" s="96">
        <v>3.85</v>
      </c>
      <c r="J1396" s="97">
        <f t="shared" ref="J1396:J1403" si="247">ROUND(H1396*I1396,2)</f>
        <v>38.89</v>
      </c>
      <c r="L1396" s="98">
        <v>10.1</v>
      </c>
      <c r="M1396" s="99">
        <v>3.85</v>
      </c>
      <c r="N1396" s="100">
        <f t="shared" ref="N1396:N1403" si="248">ROUND(L1396*M1396,2)</f>
        <v>38.89</v>
      </c>
      <c r="R1396" s="101" t="s">
        <v>1317</v>
      </c>
    </row>
    <row r="1397" spans="1:30" x14ac:dyDescent="0.2">
      <c r="A1397" s="89" t="s">
        <v>124</v>
      </c>
      <c r="B1397" s="90">
        <v>10.1</v>
      </c>
      <c r="C1397" s="91">
        <f>$N$1393-$L$1393+1</f>
        <v>30</v>
      </c>
      <c r="D1397" s="92">
        <v>1.31928</v>
      </c>
      <c r="E1397" s="93">
        <v>1.33</v>
      </c>
      <c r="F1397" s="94">
        <f t="shared" si="246"/>
        <v>13.43</v>
      </c>
      <c r="H1397" s="95">
        <v>10.1</v>
      </c>
      <c r="I1397" s="96">
        <v>1.33</v>
      </c>
      <c r="J1397" s="97">
        <f t="shared" si="247"/>
        <v>13.43</v>
      </c>
      <c r="L1397" s="98">
        <v>10.1</v>
      </c>
      <c r="M1397" s="99">
        <v>1.33</v>
      </c>
      <c r="N1397" s="100">
        <f t="shared" si="248"/>
        <v>13.43</v>
      </c>
      <c r="R1397" s="102" t="s">
        <v>1318</v>
      </c>
    </row>
    <row r="1398" spans="1:30" x14ac:dyDescent="0.2">
      <c r="A1398" s="89" t="s">
        <v>614</v>
      </c>
      <c r="B1398" s="90">
        <f>IF($P$1398&lt;&gt;"",ROUND(AA1398*(($AB$1398/(1-$P$1398))-52.318)/86.7537,2),IF('Resumen 2.0TD'!$D$3="OPTIMIZAR",ROUND(MAX(AA1398,MIN(AA1398*(($AB$1398/(1-'Resumen 2.0TD'!$F$3))-52.318)/86.7537,AA1398*(9.0698)/86.7537)),3),AA1398))</f>
        <v>221.95599999999999</v>
      </c>
      <c r="C1398" s="103"/>
      <c r="D1398" s="92">
        <v>0.11117100000000001</v>
      </c>
      <c r="E1398" s="93">
        <v>0.13788</v>
      </c>
      <c r="F1398" s="94">
        <f t="shared" si="246"/>
        <v>30.6</v>
      </c>
      <c r="H1398" s="95">
        <v>439.327</v>
      </c>
      <c r="I1398" s="96">
        <v>0.13788</v>
      </c>
      <c r="J1398" s="97">
        <f t="shared" si="247"/>
        <v>60.57</v>
      </c>
      <c r="L1398" s="98">
        <v>63.472000000000001</v>
      </c>
      <c r="M1398" s="99">
        <v>0.13788</v>
      </c>
      <c r="N1398" s="100">
        <f t="shared" si="248"/>
        <v>8.75</v>
      </c>
      <c r="O1398" s="104" t="s">
        <v>615</v>
      </c>
      <c r="P1398" s="67"/>
      <c r="R1398" s="102" t="s">
        <v>1319</v>
      </c>
      <c r="AA1398">
        <v>221.95599999999999</v>
      </c>
      <c r="AB1398">
        <f>B1396*D1396+B1397*D1397+AA1398*D1398+AA1399*D1399+AA1400*D1400</f>
        <v>120.534006687</v>
      </c>
    </row>
    <row r="1399" spans="1:30" x14ac:dyDescent="0.2">
      <c r="A1399" s="89" t="s">
        <v>617</v>
      </c>
      <c r="B1399" s="90">
        <f>IF($P$1398&lt;&gt;"",ROUND(AA1399*(($AB$1398/(1-$P$1398))-52.318)/86.7537,2),IF('Resumen 2.0TD'!$D$3="OPTIMIZAR",ROUND(MAX(AA1399,MIN(AA1399*(($AB$1398/(1-'Resumen 2.0TD'!$F$3))-52.318)/86.7537,AA1399*(9.0698)/86.7537)),3),AA1399))</f>
        <v>183.083</v>
      </c>
      <c r="C1399" s="103"/>
      <c r="D1399" s="92">
        <v>0.11117100000000001</v>
      </c>
      <c r="E1399" s="93">
        <v>0.13788</v>
      </c>
      <c r="F1399" s="94">
        <f t="shared" si="246"/>
        <v>25.24</v>
      </c>
      <c r="H1399" s="95">
        <v>382.80900000000003</v>
      </c>
      <c r="I1399" s="96">
        <v>0.13788</v>
      </c>
      <c r="J1399" s="97">
        <f t="shared" si="247"/>
        <v>52.78</v>
      </c>
      <c r="L1399" s="98">
        <v>54.664999999999999</v>
      </c>
      <c r="M1399" s="99">
        <v>0.13788</v>
      </c>
      <c r="N1399" s="100">
        <f t="shared" si="248"/>
        <v>7.54</v>
      </c>
      <c r="O1399" s="105" t="s">
        <v>618</v>
      </c>
      <c r="R1399" s="102" t="s">
        <v>619</v>
      </c>
      <c r="AA1399">
        <v>183.083</v>
      </c>
    </row>
    <row r="1400" spans="1:30" x14ac:dyDescent="0.2">
      <c r="A1400" s="89" t="s">
        <v>620</v>
      </c>
      <c r="B1400" s="90">
        <f>IF($P$1398&lt;&gt;"",ROUND(AA1400*(($AB$1398/(1-$P$1398))-52.318)/86.7537,2),IF('Resumen 2.0TD'!$D$3="OPTIMIZAR",ROUND(MAX(AA1400,MIN(AA1400*(($AB$1398/(1-'Resumen 2.0TD'!$F$3))-52.318)/86.7537,AA1400*(9.0698)/86.7537)),3),AA1400))</f>
        <v>224.15799999999999</v>
      </c>
      <c r="C1400" s="103"/>
      <c r="D1400" s="92">
        <v>0.11117100000000001</v>
      </c>
      <c r="E1400" s="93">
        <v>0.13788</v>
      </c>
      <c r="F1400" s="94">
        <f t="shared" si="246"/>
        <v>30.91</v>
      </c>
      <c r="H1400" s="95">
        <v>240.43600000000001</v>
      </c>
      <c r="I1400" s="96">
        <v>0.13788</v>
      </c>
      <c r="J1400" s="97">
        <f t="shared" si="247"/>
        <v>33.15</v>
      </c>
      <c r="L1400" s="98">
        <v>79.679000000000002</v>
      </c>
      <c r="M1400" s="99">
        <v>0.13788</v>
      </c>
      <c r="N1400" s="100">
        <f t="shared" si="248"/>
        <v>10.99</v>
      </c>
      <c r="O1400" s="105" t="s">
        <v>621</v>
      </c>
      <c r="AA1400">
        <v>224.15799999999999</v>
      </c>
    </row>
    <row r="1401" spans="1:30" x14ac:dyDescent="0.2">
      <c r="A1401" s="89" t="s">
        <v>139</v>
      </c>
      <c r="B1401" s="90">
        <v>1</v>
      </c>
      <c r="C1401" s="91">
        <f>$N$1393-$L$1393+1</f>
        <v>30</v>
      </c>
      <c r="D1401" s="92">
        <v>1.3413999999999999</v>
      </c>
      <c r="E1401" s="93">
        <v>3</v>
      </c>
      <c r="F1401" s="94">
        <f t="shared" si="246"/>
        <v>3</v>
      </c>
      <c r="H1401" s="95">
        <v>1</v>
      </c>
      <c r="I1401" s="96">
        <v>3</v>
      </c>
      <c r="J1401" s="97">
        <f t="shared" si="247"/>
        <v>3</v>
      </c>
      <c r="L1401" s="98">
        <v>1</v>
      </c>
      <c r="M1401" s="99">
        <v>3</v>
      </c>
      <c r="N1401" s="100">
        <f t="shared" si="248"/>
        <v>3</v>
      </c>
    </row>
    <row r="1402" spans="1:30" x14ac:dyDescent="0.2">
      <c r="A1402" s="89" t="s">
        <v>140</v>
      </c>
      <c r="B1402" s="90">
        <v>30</v>
      </c>
      <c r="C1402" s="91">
        <f>$N$1393-$L$1393+1</f>
        <v>30</v>
      </c>
      <c r="D1402" s="92">
        <v>0.5736</v>
      </c>
      <c r="E1402" s="93">
        <v>1.274E-2</v>
      </c>
      <c r="F1402" s="94">
        <f t="shared" si="246"/>
        <v>0.38</v>
      </c>
      <c r="H1402" s="95">
        <v>30</v>
      </c>
      <c r="I1402" s="96">
        <v>1.274E-2</v>
      </c>
      <c r="J1402" s="97">
        <f t="shared" si="247"/>
        <v>0.38</v>
      </c>
      <c r="L1402" s="98">
        <v>30</v>
      </c>
      <c r="M1402" s="99">
        <v>6.2899999999999996E-3</v>
      </c>
      <c r="N1402" s="100">
        <f t="shared" si="248"/>
        <v>0.19</v>
      </c>
    </row>
    <row r="1403" spans="1:30" x14ac:dyDescent="0.2">
      <c r="A1403" s="89" t="s">
        <v>141</v>
      </c>
      <c r="B1403" s="90">
        <v>7.12</v>
      </c>
      <c r="C1403" s="103"/>
      <c r="D1403" s="92">
        <v>0.27311999999999997</v>
      </c>
      <c r="E1403" s="93">
        <v>1</v>
      </c>
      <c r="F1403" s="94">
        <f t="shared" si="246"/>
        <v>7.12</v>
      </c>
      <c r="H1403" s="95">
        <v>10.17</v>
      </c>
      <c r="I1403" s="96">
        <v>1</v>
      </c>
      <c r="J1403" s="97">
        <f t="shared" si="247"/>
        <v>10.17</v>
      </c>
      <c r="L1403" s="98">
        <v>4.08</v>
      </c>
      <c r="M1403" s="99">
        <v>1</v>
      </c>
      <c r="N1403" s="100">
        <f t="shared" si="248"/>
        <v>4.08</v>
      </c>
    </row>
    <row r="1404" spans="1:30" x14ac:dyDescent="0.2">
      <c r="A1404" s="106" t="s">
        <v>142</v>
      </c>
      <c r="F1404" s="107">
        <f>ROUND((SUM(F1396:F1403)-F1403)*1.1+F1403,2)</f>
        <v>163.82</v>
      </c>
      <c r="J1404" s="108">
        <f>ROUND(SUM(J1396:J1403),2)</f>
        <v>212.37</v>
      </c>
      <c r="N1404" s="109">
        <f>ROUND(SUM(N1396:N1403),2)</f>
        <v>86.87</v>
      </c>
    </row>
    <row r="1405" spans="1:30" x14ac:dyDescent="0.2">
      <c r="A1405" s="78" t="s">
        <v>143</v>
      </c>
      <c r="B1405" s="110">
        <f>IF((F1400+F1399+F1398+F1396+F1397)=0,"",((F1400+F1399+F1398+F1396+F1397)-$AB$1398)/(F1400+F1399+F1398+F1396+F1397))</f>
        <v>0.13328534776012074</v>
      </c>
      <c r="D1405" s="139" t="str">
        <f>IF(B1405="","SIN PC",IF(B1405&gt;=0.3,"APROBAR",IF(B1405&gt;=0.2,"REVISAR","RECHAZAR")))</f>
        <v>RECHAZAR</v>
      </c>
      <c r="E1405" s="139"/>
      <c r="F1405" s="139"/>
      <c r="AD1405">
        <f>SUM(F1398:F1400)-86.7537</f>
        <v>-3.6999999999949296E-3</v>
      </c>
    </row>
    <row r="1407" spans="1:30" x14ac:dyDescent="0.2">
      <c r="A1407" s="137" t="s">
        <v>1320</v>
      </c>
      <c r="B1407" s="137"/>
      <c r="C1407" s="137"/>
      <c r="D1407" s="137"/>
      <c r="E1407" s="137"/>
      <c r="F1407" s="137"/>
      <c r="H1407" s="137" t="s">
        <v>1321</v>
      </c>
      <c r="I1407" s="137"/>
      <c r="J1407" s="137"/>
      <c r="K1407" s="137"/>
      <c r="L1407" s="76">
        <v>46113</v>
      </c>
      <c r="M1407" s="77" t="s">
        <v>607</v>
      </c>
      <c r="N1407" s="76">
        <v>46142</v>
      </c>
      <c r="R1407" s="138" t="s">
        <v>110</v>
      </c>
      <c r="S1407" s="138"/>
      <c r="T1407" s="138"/>
      <c r="U1407" s="138"/>
      <c r="V1407" s="138"/>
    </row>
    <row r="1408" spans="1:30" x14ac:dyDescent="0.2">
      <c r="A1408" s="78" t="s">
        <v>111</v>
      </c>
      <c r="B1408" s="79" t="s">
        <v>112</v>
      </c>
      <c r="C1408" s="80"/>
      <c r="D1408" s="80"/>
      <c r="E1408" s="80"/>
      <c r="F1408" s="80"/>
      <c r="H1408" s="81" t="s">
        <v>1322</v>
      </c>
      <c r="I1408" s="82"/>
      <c r="J1408" s="82"/>
      <c r="L1408" s="83" t="s">
        <v>1323</v>
      </c>
      <c r="M1408" s="84"/>
      <c r="N1408" s="84"/>
    </row>
    <row r="1409" spans="1:30" x14ac:dyDescent="0.2">
      <c r="B1409" s="68" t="s">
        <v>116</v>
      </c>
      <c r="C1409" s="68" t="s">
        <v>117</v>
      </c>
      <c r="D1409" s="68" t="s">
        <v>118</v>
      </c>
      <c r="E1409" s="68" t="s">
        <v>119</v>
      </c>
      <c r="F1409" s="68" t="s">
        <v>120</v>
      </c>
      <c r="H1409" s="86" t="s">
        <v>116</v>
      </c>
      <c r="I1409" s="86" t="s">
        <v>119</v>
      </c>
      <c r="J1409" s="86" t="s">
        <v>120</v>
      </c>
      <c r="L1409" s="87" t="s">
        <v>116</v>
      </c>
      <c r="M1409" s="87" t="s">
        <v>119</v>
      </c>
      <c r="N1409" s="87" t="s">
        <v>120</v>
      </c>
    </row>
    <row r="1410" spans="1:30" x14ac:dyDescent="0.2">
      <c r="A1410" s="89" t="s">
        <v>122</v>
      </c>
      <c r="B1410" s="90">
        <v>5.75</v>
      </c>
      <c r="C1410" s="91">
        <f>$N$1407-$L$1407+1</f>
        <v>30</v>
      </c>
      <c r="D1410" s="92">
        <v>3.68919</v>
      </c>
      <c r="E1410" s="93">
        <v>3.85</v>
      </c>
      <c r="F1410" s="94">
        <f t="shared" ref="F1410:F1417" si="249">ROUND(B1410*E1410,2)</f>
        <v>22.14</v>
      </c>
      <c r="H1410" s="95">
        <v>5.75</v>
      </c>
      <c r="I1410" s="96">
        <v>3.85</v>
      </c>
      <c r="J1410" s="97">
        <f t="shared" ref="J1410:J1417" si="250">ROUND(H1410*I1410,2)</f>
        <v>22.14</v>
      </c>
      <c r="L1410" s="98">
        <v>5.75</v>
      </c>
      <c r="M1410" s="99">
        <v>3.85</v>
      </c>
      <c r="N1410" s="100">
        <f t="shared" ref="N1410:N1417" si="251">ROUND(L1410*M1410,2)</f>
        <v>22.14</v>
      </c>
    </row>
    <row r="1411" spans="1:30" x14ac:dyDescent="0.2">
      <c r="A1411" s="89" t="s">
        <v>124</v>
      </c>
      <c r="B1411" s="90">
        <v>5.75</v>
      </c>
      <c r="C1411" s="91">
        <f>$N$1407-$L$1407+1</f>
        <v>30</v>
      </c>
      <c r="D1411" s="92">
        <v>1.31928</v>
      </c>
      <c r="E1411" s="93">
        <v>1.33</v>
      </c>
      <c r="F1411" s="94">
        <f t="shared" si="249"/>
        <v>7.65</v>
      </c>
      <c r="H1411" s="95">
        <v>5.75</v>
      </c>
      <c r="I1411" s="96">
        <v>1.33</v>
      </c>
      <c r="J1411" s="97">
        <f t="shared" si="250"/>
        <v>7.65</v>
      </c>
      <c r="L1411" s="98">
        <v>5.75</v>
      </c>
      <c r="M1411" s="99">
        <v>1.33</v>
      </c>
      <c r="N1411" s="100">
        <f t="shared" si="251"/>
        <v>7.65</v>
      </c>
    </row>
    <row r="1412" spans="1:30" x14ac:dyDescent="0.2">
      <c r="A1412" s="89" t="s">
        <v>614</v>
      </c>
      <c r="B1412" s="90">
        <f>IF($P$1412&lt;&gt;"",ROUND(AA1412*(($AB$1412/(1-$P$1412))-29.785)/67.0457,2),IF('Resumen 2.0TD'!$D$3="OPTIMIZAR",AA1412,AA1412))</f>
        <v>178.84299999999999</v>
      </c>
      <c r="C1412" s="103"/>
      <c r="D1412" s="92">
        <v>0.11117100000000001</v>
      </c>
      <c r="E1412" s="93">
        <v>0.13788</v>
      </c>
      <c r="F1412" s="94">
        <f t="shared" si="249"/>
        <v>24.66</v>
      </c>
      <c r="H1412" s="95">
        <v>206.077</v>
      </c>
      <c r="I1412" s="96">
        <v>0.13788</v>
      </c>
      <c r="J1412" s="97">
        <f t="shared" si="250"/>
        <v>28.41</v>
      </c>
      <c r="L1412" s="98">
        <v>133.18199999999999</v>
      </c>
      <c r="M1412" s="99">
        <v>0.13788</v>
      </c>
      <c r="N1412" s="100">
        <f t="shared" si="251"/>
        <v>18.36</v>
      </c>
      <c r="O1412" s="104" t="s">
        <v>615</v>
      </c>
      <c r="P1412" s="67"/>
      <c r="AA1412">
        <v>178.84299999999999</v>
      </c>
      <c r="AB1412">
        <f>B1410*D1410+B1411*D1411+AA1412*D1412+AA1413*D1413+AA1414*D1414</f>
        <v>82.85682413100001</v>
      </c>
    </row>
    <row r="1413" spans="1:30" x14ac:dyDescent="0.2">
      <c r="A1413" s="89" t="s">
        <v>617</v>
      </c>
      <c r="B1413" s="90">
        <f>IF($P$1412&lt;&gt;"",ROUND(AA1413*(($AB$1412/(1-$P$1412))-29.785)/67.0457,2),IF('Resumen 2.0TD'!$D$3="OPTIMIZAR",AA1413,AA1413))</f>
        <v>188.452</v>
      </c>
      <c r="C1413" s="103"/>
      <c r="D1413" s="92">
        <v>0.11117100000000001</v>
      </c>
      <c r="E1413" s="93">
        <v>0.13788</v>
      </c>
      <c r="F1413" s="94">
        <f t="shared" si="249"/>
        <v>25.98</v>
      </c>
      <c r="H1413" s="95">
        <v>194.947</v>
      </c>
      <c r="I1413" s="96">
        <v>0.13788</v>
      </c>
      <c r="J1413" s="97">
        <f t="shared" si="250"/>
        <v>26.88</v>
      </c>
      <c r="L1413" s="98">
        <v>161.60300000000001</v>
      </c>
      <c r="M1413" s="99">
        <v>0.13788</v>
      </c>
      <c r="N1413" s="100">
        <f t="shared" si="251"/>
        <v>22.28</v>
      </c>
      <c r="O1413" s="105" t="s">
        <v>618</v>
      </c>
      <c r="AA1413">
        <v>188.452</v>
      </c>
    </row>
    <row r="1414" spans="1:30" x14ac:dyDescent="0.2">
      <c r="A1414" s="89" t="s">
        <v>620</v>
      </c>
      <c r="B1414" s="90">
        <f>IF($P$1412&lt;&gt;"",ROUND(AA1414*(($AB$1412/(1-$P$1412))-29.785)/67.0457,2),IF('Resumen 2.0TD'!$D$3="OPTIMIZAR",AA1414,AA1414))</f>
        <v>118.96599999999999</v>
      </c>
      <c r="C1414" s="103"/>
      <c r="D1414" s="92">
        <v>0.11117100000000001</v>
      </c>
      <c r="E1414" s="93">
        <v>0.13788</v>
      </c>
      <c r="F1414" s="94">
        <f t="shared" si="249"/>
        <v>16.399999999999999</v>
      </c>
      <c r="H1414" s="95">
        <v>119.90900000000001</v>
      </c>
      <c r="I1414" s="96">
        <v>0.13788</v>
      </c>
      <c r="J1414" s="97">
        <f t="shared" si="250"/>
        <v>16.53</v>
      </c>
      <c r="L1414" s="98">
        <v>62.424999999999997</v>
      </c>
      <c r="M1414" s="99">
        <v>0.13788</v>
      </c>
      <c r="N1414" s="100">
        <f t="shared" si="251"/>
        <v>8.61</v>
      </c>
      <c r="O1414" s="105" t="s">
        <v>621</v>
      </c>
      <c r="AA1414">
        <v>118.96599999999999</v>
      </c>
    </row>
    <row r="1415" spans="1:30" x14ac:dyDescent="0.2">
      <c r="A1415" s="89" t="s">
        <v>139</v>
      </c>
      <c r="B1415" s="90">
        <v>1</v>
      </c>
      <c r="C1415" s="91">
        <f>$N$1407-$L$1407+1</f>
        <v>30</v>
      </c>
      <c r="D1415" s="92">
        <v>0.79890000000000005</v>
      </c>
      <c r="E1415" s="93">
        <v>3</v>
      </c>
      <c r="F1415" s="94">
        <f t="shared" si="249"/>
        <v>3</v>
      </c>
      <c r="H1415" s="95">
        <v>1</v>
      </c>
      <c r="I1415" s="96">
        <v>3</v>
      </c>
      <c r="J1415" s="97">
        <f t="shared" si="250"/>
        <v>3</v>
      </c>
      <c r="L1415" s="98">
        <v>1</v>
      </c>
      <c r="M1415" s="99">
        <v>3</v>
      </c>
      <c r="N1415" s="100">
        <f t="shared" si="251"/>
        <v>3</v>
      </c>
    </row>
    <row r="1416" spans="1:30" x14ac:dyDescent="0.2">
      <c r="A1416" s="89" t="s">
        <v>140</v>
      </c>
      <c r="B1416" s="90">
        <v>30</v>
      </c>
      <c r="C1416" s="91">
        <f>$N$1407-$L$1407+1</f>
        <v>30</v>
      </c>
      <c r="D1416" s="92">
        <v>0.5736</v>
      </c>
      <c r="E1416" s="93">
        <v>1.274E-2</v>
      </c>
      <c r="F1416" s="94">
        <f t="shared" si="249"/>
        <v>0.38</v>
      </c>
      <c r="H1416" s="95">
        <v>30</v>
      </c>
      <c r="I1416" s="96">
        <v>1.274E-2</v>
      </c>
      <c r="J1416" s="97">
        <f t="shared" si="250"/>
        <v>0.38</v>
      </c>
      <c r="L1416" s="98">
        <v>30</v>
      </c>
      <c r="M1416" s="99">
        <v>6.2899999999999996E-3</v>
      </c>
      <c r="N1416" s="100">
        <f t="shared" si="251"/>
        <v>0.19</v>
      </c>
    </row>
    <row r="1417" spans="1:30" x14ac:dyDescent="0.2">
      <c r="A1417" s="89" t="s">
        <v>141</v>
      </c>
      <c r="B1417" s="90">
        <v>4.96</v>
      </c>
      <c r="C1417" s="103"/>
      <c r="D1417" s="92">
        <v>0.27311999999999997</v>
      </c>
      <c r="E1417" s="93">
        <v>1</v>
      </c>
      <c r="F1417" s="94">
        <f t="shared" si="249"/>
        <v>4.96</v>
      </c>
      <c r="H1417" s="95">
        <v>5.2</v>
      </c>
      <c r="I1417" s="96">
        <v>1</v>
      </c>
      <c r="J1417" s="97">
        <f t="shared" si="250"/>
        <v>5.2</v>
      </c>
      <c r="L1417" s="98">
        <v>4.05</v>
      </c>
      <c r="M1417" s="99">
        <v>1</v>
      </c>
      <c r="N1417" s="100">
        <f t="shared" si="251"/>
        <v>4.05</v>
      </c>
    </row>
    <row r="1418" spans="1:30" x14ac:dyDescent="0.2">
      <c r="A1418" s="106" t="s">
        <v>142</v>
      </c>
      <c r="F1418" s="107">
        <f>ROUND((SUM(F1410:F1417)-F1417)*1.1+F1417,2)</f>
        <v>115.19</v>
      </c>
      <c r="J1418" s="108">
        <f>ROUND(SUM(J1410:J1417),2)</f>
        <v>110.19</v>
      </c>
      <c r="N1418" s="109">
        <f>ROUND(SUM(N1410:N1417),2)</f>
        <v>86.28</v>
      </c>
    </row>
    <row r="1419" spans="1:30" x14ac:dyDescent="0.2">
      <c r="A1419" s="78" t="s">
        <v>143</v>
      </c>
      <c r="B1419" s="110">
        <f>IF((F1414+F1413+F1412+F1410+F1411)=0,"",((F1414+F1413+F1412+F1410+F1411)-$AB$1412)/(F1414+F1413+F1412+F1410+F1411))</f>
        <v>0.14430626736548577</v>
      </c>
      <c r="D1419" s="139" t="str">
        <f>IF(B1419="","SIN PC",IF(B1419&gt;=0.3,"APROBAR",IF(B1419&gt;=0.2,"REVISAR","RECHAZAR")))</f>
        <v>RECHAZAR</v>
      </c>
      <c r="E1419" s="139"/>
      <c r="F1419" s="139"/>
      <c r="AD1419">
        <f>SUM(F1412:F1414)-67.0457</f>
        <v>-5.7000000000044793E-3</v>
      </c>
    </row>
    <row r="1421" spans="1:30" x14ac:dyDescent="0.2">
      <c r="A1421" s="137" t="s">
        <v>1324</v>
      </c>
      <c r="B1421" s="137"/>
      <c r="C1421" s="137"/>
      <c r="D1421" s="137"/>
      <c r="E1421" s="137"/>
      <c r="F1421" s="137"/>
      <c r="H1421" s="137" t="s">
        <v>760</v>
      </c>
      <c r="I1421" s="137"/>
      <c r="J1421" s="137"/>
      <c r="K1421" s="137"/>
      <c r="L1421" s="76">
        <v>46113</v>
      </c>
      <c r="M1421" s="77" t="s">
        <v>607</v>
      </c>
      <c r="N1421" s="76">
        <v>46142</v>
      </c>
      <c r="R1421" s="138" t="s">
        <v>110</v>
      </c>
      <c r="S1421" s="138"/>
      <c r="T1421" s="138"/>
      <c r="U1421" s="138"/>
      <c r="V1421" s="138"/>
    </row>
    <row r="1422" spans="1:30" x14ac:dyDescent="0.2">
      <c r="A1422" s="78" t="s">
        <v>111</v>
      </c>
      <c r="B1422" s="79" t="s">
        <v>112</v>
      </c>
      <c r="C1422" s="80"/>
      <c r="D1422" s="80"/>
      <c r="E1422" s="80"/>
      <c r="F1422" s="80"/>
      <c r="H1422" s="81" t="s">
        <v>761</v>
      </c>
      <c r="I1422" s="82"/>
      <c r="J1422" s="82"/>
      <c r="L1422" s="83" t="s">
        <v>762</v>
      </c>
      <c r="M1422" s="84"/>
      <c r="N1422" s="84"/>
      <c r="R1422" s="85" t="s">
        <v>763</v>
      </c>
    </row>
    <row r="1423" spans="1:30" x14ac:dyDescent="0.2">
      <c r="B1423" s="68" t="s">
        <v>116</v>
      </c>
      <c r="C1423" s="68" t="s">
        <v>117</v>
      </c>
      <c r="D1423" s="68" t="s">
        <v>118</v>
      </c>
      <c r="E1423" s="68" t="s">
        <v>119</v>
      </c>
      <c r="F1423" s="68" t="s">
        <v>120</v>
      </c>
      <c r="H1423" s="86" t="s">
        <v>116</v>
      </c>
      <c r="I1423" s="86" t="s">
        <v>119</v>
      </c>
      <c r="J1423" s="86" t="s">
        <v>120</v>
      </c>
      <c r="L1423" s="87" t="s">
        <v>116</v>
      </c>
      <c r="M1423" s="87" t="s">
        <v>119</v>
      </c>
      <c r="N1423" s="87" t="s">
        <v>120</v>
      </c>
      <c r="R1423" s="88" t="s">
        <v>764</v>
      </c>
    </row>
    <row r="1424" spans="1:30" x14ac:dyDescent="0.2">
      <c r="A1424" s="89" t="s">
        <v>122</v>
      </c>
      <c r="B1424" s="90">
        <v>5.5</v>
      </c>
      <c r="C1424" s="91">
        <f>$N$1421-$L$1421+1</f>
        <v>30</v>
      </c>
      <c r="D1424" s="92">
        <v>3.68919</v>
      </c>
      <c r="E1424" s="93">
        <v>3.85</v>
      </c>
      <c r="F1424" s="94">
        <f t="shared" ref="F1424:F1431" si="252">ROUND(B1424*E1424,2)</f>
        <v>21.18</v>
      </c>
      <c r="H1424" s="95">
        <v>5.5</v>
      </c>
      <c r="I1424" s="96">
        <v>3.85</v>
      </c>
      <c r="J1424" s="97">
        <f t="shared" ref="J1424:J1431" si="253">ROUND(H1424*I1424,2)</f>
        <v>21.18</v>
      </c>
      <c r="L1424" s="98">
        <v>5.5</v>
      </c>
      <c r="M1424" s="99">
        <v>3.85</v>
      </c>
      <c r="N1424" s="100">
        <f t="shared" ref="N1424:N1431" si="254">ROUND(L1424*M1424,2)</f>
        <v>21.18</v>
      </c>
      <c r="R1424" s="101" t="s">
        <v>765</v>
      </c>
    </row>
    <row r="1425" spans="1:30" x14ac:dyDescent="0.2">
      <c r="A1425" s="89" t="s">
        <v>124</v>
      </c>
      <c r="B1425" s="90">
        <v>5.5</v>
      </c>
      <c r="C1425" s="91">
        <f>$N$1421-$L$1421+1</f>
        <v>30</v>
      </c>
      <c r="D1425" s="92">
        <v>1.31928</v>
      </c>
      <c r="E1425" s="93">
        <v>1.33</v>
      </c>
      <c r="F1425" s="94">
        <f t="shared" si="252"/>
        <v>7.32</v>
      </c>
      <c r="H1425" s="95">
        <v>5.5</v>
      </c>
      <c r="I1425" s="96">
        <v>1.33</v>
      </c>
      <c r="J1425" s="97">
        <f t="shared" si="253"/>
        <v>7.32</v>
      </c>
      <c r="L1425" s="98">
        <v>5.5</v>
      </c>
      <c r="M1425" s="99">
        <v>1.33</v>
      </c>
      <c r="N1425" s="100">
        <f t="shared" si="254"/>
        <v>7.32</v>
      </c>
    </row>
    <row r="1426" spans="1:30" x14ac:dyDescent="0.2">
      <c r="A1426" s="89" t="s">
        <v>614</v>
      </c>
      <c r="B1426" s="90">
        <f>IF($P$1426&lt;&gt;"",ROUND(AA1426*(($AB$1426/(1-$P$1426))-28.49)/101.3208,2),IF('Resumen 2.0TD'!$D$3="OPTIMIZAR",AA1426,AA1426))</f>
        <v>131.53700000000001</v>
      </c>
      <c r="C1426" s="103"/>
      <c r="D1426" s="92">
        <v>0.11117100000000001</v>
      </c>
      <c r="E1426" s="93">
        <v>0.13788</v>
      </c>
      <c r="F1426" s="94">
        <f t="shared" si="252"/>
        <v>18.14</v>
      </c>
      <c r="H1426" s="95">
        <v>383.00700000000001</v>
      </c>
      <c r="I1426" s="96">
        <v>0.13788</v>
      </c>
      <c r="J1426" s="97">
        <f t="shared" si="253"/>
        <v>52.81</v>
      </c>
      <c r="L1426" s="98">
        <v>197.21199999999999</v>
      </c>
      <c r="M1426" s="99">
        <v>0.13788</v>
      </c>
      <c r="N1426" s="100">
        <f t="shared" si="254"/>
        <v>27.19</v>
      </c>
      <c r="O1426" s="104" t="s">
        <v>615</v>
      </c>
      <c r="P1426" s="67"/>
      <c r="AA1426">
        <v>131.53700000000001</v>
      </c>
      <c r="AB1426">
        <f>B1424*D1424+B1425*D1425+AA1426*D1426+AA1427*D1427+AA1428*D1428</f>
        <v>109.24037200800001</v>
      </c>
    </row>
    <row r="1427" spans="1:30" x14ac:dyDescent="0.2">
      <c r="A1427" s="89" t="s">
        <v>617</v>
      </c>
      <c r="B1427" s="90">
        <f>IF($P$1426&lt;&gt;"",ROUND(AA1427*(($AB$1426/(1-$P$1426))-28.49)/101.3208,2),IF('Resumen 2.0TD'!$D$3="OPTIMIZAR",AA1427,AA1427))</f>
        <v>180.24100000000001</v>
      </c>
      <c r="C1427" s="103"/>
      <c r="D1427" s="92">
        <v>0.11117100000000001</v>
      </c>
      <c r="E1427" s="93">
        <v>0.13788</v>
      </c>
      <c r="F1427" s="94">
        <f t="shared" si="252"/>
        <v>24.85</v>
      </c>
      <c r="H1427" s="95">
        <v>376.41199999999998</v>
      </c>
      <c r="I1427" s="96">
        <v>0.13788</v>
      </c>
      <c r="J1427" s="97">
        <f t="shared" si="253"/>
        <v>51.9</v>
      </c>
      <c r="L1427" s="98">
        <v>187.00899999999999</v>
      </c>
      <c r="M1427" s="99">
        <v>0.13788</v>
      </c>
      <c r="N1427" s="100">
        <f t="shared" si="254"/>
        <v>25.78</v>
      </c>
      <c r="O1427" s="105" t="s">
        <v>618</v>
      </c>
      <c r="R1427" s="102" t="s">
        <v>619</v>
      </c>
      <c r="AA1427">
        <v>180.24100000000001</v>
      </c>
    </row>
    <row r="1428" spans="1:30" x14ac:dyDescent="0.2">
      <c r="A1428" s="89" t="s">
        <v>620</v>
      </c>
      <c r="B1428" s="90">
        <f>IF($P$1426&lt;&gt;"",ROUND(AA1428*(($AB$1426/(1-$P$1426))-28.49)/101.3208,2),IF('Resumen 2.0TD'!$D$3="OPTIMIZAR",AA1428,AA1428))</f>
        <v>423.07</v>
      </c>
      <c r="C1428" s="103"/>
      <c r="D1428" s="92">
        <v>0.11117100000000001</v>
      </c>
      <c r="E1428" s="93">
        <v>0.13788</v>
      </c>
      <c r="F1428" s="94">
        <f t="shared" si="252"/>
        <v>58.33</v>
      </c>
      <c r="H1428" s="95">
        <v>918.00199999999995</v>
      </c>
      <c r="I1428" s="96">
        <v>0.13788</v>
      </c>
      <c r="J1428" s="97">
        <f t="shared" si="253"/>
        <v>126.57</v>
      </c>
      <c r="L1428" s="98">
        <v>440.66199999999998</v>
      </c>
      <c r="M1428" s="99">
        <v>0.13788</v>
      </c>
      <c r="N1428" s="100">
        <f t="shared" si="254"/>
        <v>60.76</v>
      </c>
      <c r="O1428" s="105" t="s">
        <v>621</v>
      </c>
      <c r="AA1428">
        <v>423.07</v>
      </c>
    </row>
    <row r="1429" spans="1:30" x14ac:dyDescent="0.2">
      <c r="A1429" s="89" t="s">
        <v>139</v>
      </c>
      <c r="B1429" s="90">
        <v>1</v>
      </c>
      <c r="C1429" s="91">
        <f>$N$1421-$L$1421+1</f>
        <v>30</v>
      </c>
      <c r="D1429" s="92">
        <v>0.79890000000000005</v>
      </c>
      <c r="E1429" s="93">
        <v>3</v>
      </c>
      <c r="F1429" s="94">
        <f t="shared" si="252"/>
        <v>3</v>
      </c>
      <c r="H1429" s="95">
        <v>1</v>
      </c>
      <c r="I1429" s="96">
        <v>3</v>
      </c>
      <c r="J1429" s="97">
        <f t="shared" si="253"/>
        <v>3</v>
      </c>
      <c r="L1429" s="98">
        <v>1</v>
      </c>
      <c r="M1429" s="99">
        <v>3</v>
      </c>
      <c r="N1429" s="100">
        <f t="shared" si="254"/>
        <v>3</v>
      </c>
    </row>
    <row r="1430" spans="1:30" x14ac:dyDescent="0.2">
      <c r="A1430" s="89" t="s">
        <v>140</v>
      </c>
      <c r="B1430" s="90">
        <v>30</v>
      </c>
      <c r="C1430" s="91">
        <f>$N$1421-$L$1421+1</f>
        <v>30</v>
      </c>
      <c r="D1430" s="92">
        <v>0.5736</v>
      </c>
      <c r="E1430" s="93">
        <v>1.274E-2</v>
      </c>
      <c r="F1430" s="94">
        <f t="shared" si="252"/>
        <v>0.38</v>
      </c>
      <c r="H1430" s="95">
        <v>30</v>
      </c>
      <c r="I1430" s="96">
        <v>1.274E-2</v>
      </c>
      <c r="J1430" s="97">
        <f t="shared" si="253"/>
        <v>0.38</v>
      </c>
      <c r="L1430" s="98">
        <v>30</v>
      </c>
      <c r="M1430" s="99">
        <v>6.2899999999999996E-3</v>
      </c>
      <c r="N1430" s="100">
        <f t="shared" si="254"/>
        <v>0.19</v>
      </c>
    </row>
    <row r="1431" spans="1:30" x14ac:dyDescent="0.2">
      <c r="A1431" s="89" t="s">
        <v>141</v>
      </c>
      <c r="B1431" s="90">
        <v>6.64</v>
      </c>
      <c r="C1431" s="103"/>
      <c r="D1431" s="92">
        <v>0.27311999999999997</v>
      </c>
      <c r="E1431" s="93">
        <v>1</v>
      </c>
      <c r="F1431" s="94">
        <f t="shared" si="252"/>
        <v>6.64</v>
      </c>
      <c r="H1431" s="95">
        <v>13.28</v>
      </c>
      <c r="I1431" s="96">
        <v>1</v>
      </c>
      <c r="J1431" s="97">
        <f t="shared" si="253"/>
        <v>13.28</v>
      </c>
      <c r="L1431" s="98">
        <v>7.28</v>
      </c>
      <c r="M1431" s="99">
        <v>1</v>
      </c>
      <c r="N1431" s="100">
        <f t="shared" si="254"/>
        <v>7.28</v>
      </c>
    </row>
    <row r="1432" spans="1:30" x14ac:dyDescent="0.2">
      <c r="A1432" s="106" t="s">
        <v>142</v>
      </c>
      <c r="F1432" s="107">
        <f>ROUND((SUM(F1424:F1431)-F1431)*1.1+F1431,2)</f>
        <v>153.16</v>
      </c>
      <c r="J1432" s="108">
        <f>ROUND(SUM(J1424:J1431),2)</f>
        <v>276.44</v>
      </c>
      <c r="N1432" s="109">
        <f>ROUND(SUM(N1424:N1431),2)</f>
        <v>152.69999999999999</v>
      </c>
    </row>
    <row r="1433" spans="1:30" x14ac:dyDescent="0.2">
      <c r="A1433" s="78" t="s">
        <v>143</v>
      </c>
      <c r="B1433" s="110">
        <f>IF((F1428+F1427+F1426+F1424+F1425)=0,"",((F1428+F1427+F1426+F1424+F1425)-$AB$1426)/(F1428+F1427+F1426+F1424+F1425))</f>
        <v>0.15852432592820817</v>
      </c>
      <c r="D1433" s="139" t="str">
        <f>IF(B1433="","SIN PC",IF(B1433&gt;=0.3,"APROBAR",IF(B1433&gt;=0.2,"REVISAR","RECHAZAR")))</f>
        <v>RECHAZAR</v>
      </c>
      <c r="E1433" s="139"/>
      <c r="F1433" s="139"/>
      <c r="AD1433">
        <f>SUM(F1426:F1428)-101.3208</f>
        <v>-8.0000000001234639E-4</v>
      </c>
    </row>
    <row r="1435" spans="1:30" x14ac:dyDescent="0.2">
      <c r="A1435" s="137" t="s">
        <v>1325</v>
      </c>
      <c r="B1435" s="137"/>
      <c r="C1435" s="137"/>
      <c r="D1435" s="137"/>
      <c r="E1435" s="137"/>
      <c r="F1435" s="137"/>
      <c r="H1435" s="137" t="s">
        <v>1326</v>
      </c>
      <c r="I1435" s="137"/>
      <c r="J1435" s="137"/>
      <c r="K1435" s="137"/>
      <c r="L1435" s="76">
        <v>46113</v>
      </c>
      <c r="M1435" s="77" t="s">
        <v>607</v>
      </c>
      <c r="N1435" s="76">
        <v>46142</v>
      </c>
      <c r="R1435" s="138" t="s">
        <v>110</v>
      </c>
      <c r="S1435" s="138"/>
      <c r="T1435" s="138"/>
      <c r="U1435" s="138"/>
      <c r="V1435" s="138"/>
    </row>
    <row r="1436" spans="1:30" x14ac:dyDescent="0.2">
      <c r="A1436" s="78" t="s">
        <v>111</v>
      </c>
      <c r="B1436" s="79" t="s">
        <v>112</v>
      </c>
      <c r="C1436" s="80"/>
      <c r="D1436" s="80"/>
      <c r="E1436" s="80"/>
      <c r="F1436" s="80"/>
      <c r="H1436" s="81" t="s">
        <v>1327</v>
      </c>
      <c r="I1436" s="82"/>
      <c r="J1436" s="82"/>
      <c r="L1436" s="83" t="s">
        <v>1328</v>
      </c>
      <c r="M1436" s="84"/>
      <c r="N1436" s="84"/>
      <c r="R1436" s="85" t="s">
        <v>1329</v>
      </c>
    </row>
    <row r="1437" spans="1:30" x14ac:dyDescent="0.2">
      <c r="B1437" s="68" t="s">
        <v>116</v>
      </c>
      <c r="C1437" s="68" t="s">
        <v>117</v>
      </c>
      <c r="D1437" s="68" t="s">
        <v>118</v>
      </c>
      <c r="E1437" s="68" t="s">
        <v>119</v>
      </c>
      <c r="F1437" s="68" t="s">
        <v>120</v>
      </c>
      <c r="H1437" s="86" t="s">
        <v>116</v>
      </c>
      <c r="I1437" s="86" t="s">
        <v>119</v>
      </c>
      <c r="J1437" s="86" t="s">
        <v>120</v>
      </c>
      <c r="L1437" s="87" t="s">
        <v>116</v>
      </c>
      <c r="M1437" s="87" t="s">
        <v>119</v>
      </c>
      <c r="N1437" s="87" t="s">
        <v>120</v>
      </c>
      <c r="R1437" s="88" t="s">
        <v>764</v>
      </c>
    </row>
    <row r="1438" spans="1:30" x14ac:dyDescent="0.2">
      <c r="A1438" s="89" t="s">
        <v>122</v>
      </c>
      <c r="B1438" s="90">
        <v>12</v>
      </c>
      <c r="C1438" s="91">
        <f>$N$1435-$L$1435+1</f>
        <v>30</v>
      </c>
      <c r="D1438" s="92">
        <v>3.68919</v>
      </c>
      <c r="E1438" s="93">
        <v>4.17</v>
      </c>
      <c r="F1438" s="94">
        <f t="shared" ref="F1438:F1445" si="255">ROUND(B1438*E1438,2)</f>
        <v>50.04</v>
      </c>
      <c r="H1438" s="95">
        <v>12</v>
      </c>
      <c r="I1438" s="96">
        <v>4.17</v>
      </c>
      <c r="J1438" s="97">
        <f t="shared" ref="J1438:J1445" si="256">ROUND(H1438*I1438,2)</f>
        <v>50.04</v>
      </c>
      <c r="L1438" s="98">
        <v>12</v>
      </c>
      <c r="M1438" s="99">
        <v>4.17</v>
      </c>
      <c r="N1438" s="100">
        <f t="shared" ref="N1438:N1445" si="257">ROUND(L1438*M1438,2)</f>
        <v>50.04</v>
      </c>
      <c r="R1438" s="101" t="s">
        <v>1330</v>
      </c>
    </row>
    <row r="1439" spans="1:30" x14ac:dyDescent="0.2">
      <c r="A1439" s="89" t="s">
        <v>124</v>
      </c>
      <c r="B1439" s="90">
        <v>12</v>
      </c>
      <c r="C1439" s="91">
        <f>$N$1435-$L$1435+1</f>
        <v>30</v>
      </c>
      <c r="D1439" s="92">
        <v>1.31928</v>
      </c>
      <c r="E1439" s="93">
        <v>1.37</v>
      </c>
      <c r="F1439" s="94">
        <f t="shared" si="255"/>
        <v>16.440000000000001</v>
      </c>
      <c r="H1439" s="95">
        <v>12</v>
      </c>
      <c r="I1439" s="96">
        <v>1.37</v>
      </c>
      <c r="J1439" s="97">
        <f t="shared" si="256"/>
        <v>16.440000000000001</v>
      </c>
      <c r="L1439" s="98">
        <v>12</v>
      </c>
      <c r="M1439" s="99">
        <v>1.37</v>
      </c>
      <c r="N1439" s="100">
        <f t="shared" si="257"/>
        <v>16.440000000000001</v>
      </c>
    </row>
    <row r="1440" spans="1:30" x14ac:dyDescent="0.2">
      <c r="A1440" s="89" t="s">
        <v>614</v>
      </c>
      <c r="B1440" s="90">
        <f>IF($P$1440&lt;&gt;"",ROUND(AA1440*(($AB$1440/(1-$P$1440))-66.48)/409.7744,2),IF('Resumen 2.0TD'!$D$3="OPTIMIZAR",AA1440,AA1440))</f>
        <v>722.55100000000004</v>
      </c>
      <c r="C1440" s="103"/>
      <c r="D1440" s="92">
        <v>0.11117100000000001</v>
      </c>
      <c r="E1440" s="93">
        <v>0.13500000000000001</v>
      </c>
      <c r="F1440" s="94">
        <f t="shared" si="255"/>
        <v>97.54</v>
      </c>
      <c r="H1440" s="95">
        <v>607.428</v>
      </c>
      <c r="I1440" s="96">
        <v>0.14937</v>
      </c>
      <c r="J1440" s="97">
        <f t="shared" si="256"/>
        <v>90.73</v>
      </c>
      <c r="L1440" s="98">
        <v>678.46699999999998</v>
      </c>
      <c r="M1440" s="99">
        <v>0.14937</v>
      </c>
      <c r="N1440" s="100">
        <f t="shared" si="257"/>
        <v>101.34</v>
      </c>
      <c r="O1440" s="104" t="s">
        <v>615</v>
      </c>
      <c r="P1440" s="67"/>
      <c r="AA1440">
        <v>722.55100000000004</v>
      </c>
      <c r="AB1440">
        <f>B1438*D1438+B1439*D1439+AA1440*D1440+AA1441*D1441+AA1442*D1442</f>
        <v>397.546313586</v>
      </c>
    </row>
    <row r="1441" spans="1:30" x14ac:dyDescent="0.2">
      <c r="A1441" s="89" t="s">
        <v>617</v>
      </c>
      <c r="B1441" s="90">
        <f>IF($P$1440&lt;&gt;"",ROUND(AA1441*(($AB$1440/(1-$P$1440))-66.48)/409.7744,2),IF('Resumen 2.0TD'!$D$3="OPTIMIZAR",AA1441,AA1441))</f>
        <v>884.76499999999999</v>
      </c>
      <c r="C1441" s="103"/>
      <c r="D1441" s="92">
        <v>0.11117100000000001</v>
      </c>
      <c r="E1441" s="93">
        <v>0.13500000000000001</v>
      </c>
      <c r="F1441" s="94">
        <f t="shared" si="255"/>
        <v>119.44</v>
      </c>
      <c r="H1441" s="95">
        <v>795.01499999999999</v>
      </c>
      <c r="I1441" s="96">
        <v>0.14937</v>
      </c>
      <c r="J1441" s="97">
        <f t="shared" si="256"/>
        <v>118.75</v>
      </c>
      <c r="L1441" s="98">
        <v>943.97</v>
      </c>
      <c r="M1441" s="99">
        <v>0.14937</v>
      </c>
      <c r="N1441" s="100">
        <f t="shared" si="257"/>
        <v>141</v>
      </c>
      <c r="O1441" s="105" t="s">
        <v>618</v>
      </c>
      <c r="R1441" s="102" t="s">
        <v>619</v>
      </c>
      <c r="AA1441">
        <v>884.76499999999999</v>
      </c>
    </row>
    <row r="1442" spans="1:30" x14ac:dyDescent="0.2">
      <c r="A1442" s="89" t="s">
        <v>620</v>
      </c>
      <c r="B1442" s="90">
        <f>IF($P$1440&lt;&gt;"",ROUND(AA1442*(($AB$1440/(1-$P$1440))-66.48)/409.7744,2),IF('Resumen 2.0TD'!$D$3="OPTIMIZAR",AA1442,AA1442))</f>
        <v>1428.05</v>
      </c>
      <c r="C1442" s="103"/>
      <c r="D1442" s="92">
        <v>0.11117100000000001</v>
      </c>
      <c r="E1442" s="93">
        <v>0.13500000000000001</v>
      </c>
      <c r="F1442" s="94">
        <f t="shared" si="255"/>
        <v>192.79</v>
      </c>
      <c r="H1442" s="95">
        <v>1451.37</v>
      </c>
      <c r="I1442" s="96">
        <v>0.14937</v>
      </c>
      <c r="J1442" s="97">
        <f t="shared" si="256"/>
        <v>216.79</v>
      </c>
      <c r="L1442" s="98">
        <v>1786.71</v>
      </c>
      <c r="M1442" s="99">
        <v>0.14937</v>
      </c>
      <c r="N1442" s="100">
        <f t="shared" si="257"/>
        <v>266.88</v>
      </c>
      <c r="O1442" s="105" t="s">
        <v>621</v>
      </c>
      <c r="AA1442">
        <v>1428.05</v>
      </c>
    </row>
    <row r="1443" spans="1:30" x14ac:dyDescent="0.2">
      <c r="A1443" s="89" t="s">
        <v>139</v>
      </c>
      <c r="B1443" s="90">
        <v>1</v>
      </c>
      <c r="C1443" s="91">
        <f>$N$1435-$L$1435+1</f>
        <v>30</v>
      </c>
      <c r="D1443" s="92">
        <v>0.79890000000000005</v>
      </c>
      <c r="E1443" s="93">
        <v>4</v>
      </c>
      <c r="F1443" s="94">
        <f t="shared" si="255"/>
        <v>4</v>
      </c>
      <c r="H1443" s="95">
        <v>1</v>
      </c>
      <c r="I1443" s="96">
        <v>4</v>
      </c>
      <c r="J1443" s="97">
        <f t="shared" si="256"/>
        <v>4</v>
      </c>
      <c r="L1443" s="98">
        <v>1</v>
      </c>
      <c r="M1443" s="99">
        <v>4</v>
      </c>
      <c r="N1443" s="100">
        <f t="shared" si="257"/>
        <v>4</v>
      </c>
    </row>
    <row r="1444" spans="1:30" x14ac:dyDescent="0.2">
      <c r="A1444" s="89" t="s">
        <v>140</v>
      </c>
      <c r="B1444" s="90">
        <v>30</v>
      </c>
      <c r="C1444" s="91">
        <f>$N$1435-$L$1435+1</f>
        <v>30</v>
      </c>
      <c r="D1444" s="92">
        <v>0.5736</v>
      </c>
      <c r="E1444" s="93">
        <v>1.274E-2</v>
      </c>
      <c r="F1444" s="94">
        <f t="shared" si="255"/>
        <v>0.38</v>
      </c>
      <c r="H1444" s="95">
        <v>30</v>
      </c>
      <c r="I1444" s="96">
        <v>1.274E-2</v>
      </c>
      <c r="J1444" s="97">
        <f t="shared" si="256"/>
        <v>0.38</v>
      </c>
      <c r="L1444" s="98">
        <v>30</v>
      </c>
      <c r="M1444" s="99">
        <v>1.274E-2</v>
      </c>
      <c r="N1444" s="100">
        <f t="shared" si="257"/>
        <v>0.38</v>
      </c>
    </row>
    <row r="1445" spans="1:30" x14ac:dyDescent="0.2">
      <c r="A1445" s="89" t="s">
        <v>141</v>
      </c>
      <c r="B1445" s="90">
        <v>25.8</v>
      </c>
      <c r="C1445" s="103"/>
      <c r="D1445" s="92">
        <v>0.27311999999999997</v>
      </c>
      <c r="E1445" s="93">
        <v>1</v>
      </c>
      <c r="F1445" s="94">
        <f t="shared" si="255"/>
        <v>25.8</v>
      </c>
      <c r="H1445" s="95">
        <v>25.19</v>
      </c>
      <c r="I1445" s="96">
        <v>1</v>
      </c>
      <c r="J1445" s="97">
        <f t="shared" si="256"/>
        <v>25.19</v>
      </c>
      <c r="L1445" s="98">
        <v>28.42</v>
      </c>
      <c r="M1445" s="99">
        <v>1</v>
      </c>
      <c r="N1445" s="100">
        <f t="shared" si="257"/>
        <v>28.42</v>
      </c>
    </row>
    <row r="1446" spans="1:30" x14ac:dyDescent="0.2">
      <c r="A1446" s="106" t="s">
        <v>142</v>
      </c>
      <c r="F1446" s="107">
        <f>ROUND((SUM(F1438:F1445)-F1445)*1.1+F1445,2)</f>
        <v>554.49</v>
      </c>
      <c r="J1446" s="108">
        <f>ROUND(SUM(J1438:J1445),2)</f>
        <v>522.32000000000005</v>
      </c>
      <c r="N1446" s="109">
        <f>ROUND(SUM(N1438:N1445),2)</f>
        <v>608.5</v>
      </c>
    </row>
    <row r="1447" spans="1:30" x14ac:dyDescent="0.2">
      <c r="A1447" s="78" t="s">
        <v>143</v>
      </c>
      <c r="B1447" s="110">
        <f>IF((F1442+F1441+F1440+F1438+F1439)=0,"",((F1442+F1441+F1440+F1438+F1439)-$AB$1440)/(F1442+F1441+F1440+F1438+F1439))</f>
        <v>0.16525708433385838</v>
      </c>
      <c r="D1447" s="139" t="str">
        <f>IF(B1447="","SIN PC",IF(B1447&gt;=0.3,"APROBAR",IF(B1447&gt;=0.2,"REVISAR","RECHAZAR")))</f>
        <v>RECHAZAR</v>
      </c>
      <c r="E1447" s="139"/>
      <c r="F1447" s="139"/>
      <c r="AD1447">
        <f>SUM(F1440:F1442)-409.7744</f>
        <v>-4.400000000032378E-3</v>
      </c>
    </row>
    <row r="1449" spans="1:30" x14ac:dyDescent="0.2">
      <c r="A1449" s="137" t="s">
        <v>1331</v>
      </c>
      <c r="B1449" s="137"/>
      <c r="C1449" s="137"/>
      <c r="D1449" s="137"/>
      <c r="E1449" s="137"/>
      <c r="F1449" s="137"/>
      <c r="H1449" s="137" t="s">
        <v>1332</v>
      </c>
      <c r="I1449" s="137"/>
      <c r="J1449" s="137"/>
      <c r="K1449" s="137"/>
      <c r="L1449" s="76">
        <v>46113</v>
      </c>
      <c r="M1449" s="77" t="s">
        <v>607</v>
      </c>
      <c r="N1449" s="76">
        <v>46142</v>
      </c>
      <c r="R1449" s="138" t="s">
        <v>110</v>
      </c>
      <c r="S1449" s="138"/>
      <c r="T1449" s="138"/>
      <c r="U1449" s="138"/>
      <c r="V1449" s="138"/>
    </row>
    <row r="1450" spans="1:30" x14ac:dyDescent="0.2">
      <c r="A1450" s="78" t="s">
        <v>111</v>
      </c>
      <c r="B1450" s="79" t="s">
        <v>112</v>
      </c>
      <c r="C1450" s="80"/>
      <c r="D1450" s="80"/>
      <c r="E1450" s="80"/>
      <c r="F1450" s="80"/>
      <c r="H1450" s="81" t="s">
        <v>1333</v>
      </c>
      <c r="I1450" s="82"/>
      <c r="J1450" s="82"/>
      <c r="L1450" s="83" t="s">
        <v>1334</v>
      </c>
      <c r="M1450" s="84"/>
      <c r="N1450" s="84"/>
      <c r="R1450" s="85" t="s">
        <v>763</v>
      </c>
    </row>
    <row r="1451" spans="1:30" x14ac:dyDescent="0.2">
      <c r="B1451" s="68" t="s">
        <v>116</v>
      </c>
      <c r="C1451" s="68" t="s">
        <v>117</v>
      </c>
      <c r="D1451" s="68" t="s">
        <v>118</v>
      </c>
      <c r="E1451" s="68" t="s">
        <v>119</v>
      </c>
      <c r="F1451" s="68" t="s">
        <v>120</v>
      </c>
      <c r="H1451" s="86" t="s">
        <v>116</v>
      </c>
      <c r="I1451" s="86" t="s">
        <v>119</v>
      </c>
      <c r="J1451" s="86" t="s">
        <v>120</v>
      </c>
      <c r="L1451" s="87" t="s">
        <v>116</v>
      </c>
      <c r="M1451" s="87" t="s">
        <v>119</v>
      </c>
      <c r="N1451" s="87" t="s">
        <v>120</v>
      </c>
      <c r="R1451" s="88" t="s">
        <v>764</v>
      </c>
    </row>
    <row r="1452" spans="1:30" x14ac:dyDescent="0.2">
      <c r="A1452" s="89" t="s">
        <v>122</v>
      </c>
      <c r="B1452" s="90">
        <v>5.75</v>
      </c>
      <c r="C1452" s="91">
        <f>$N$1449-$L$1449+1</f>
        <v>30</v>
      </c>
      <c r="D1452" s="92">
        <v>3.68919</v>
      </c>
      <c r="E1452" s="93">
        <v>4.17</v>
      </c>
      <c r="F1452" s="94">
        <f t="shared" ref="F1452:F1459" si="258">ROUND(B1452*E1452,2)</f>
        <v>23.98</v>
      </c>
      <c r="H1452" s="95">
        <v>5.75</v>
      </c>
      <c r="I1452" s="96">
        <v>4.17</v>
      </c>
      <c r="J1452" s="97">
        <f t="shared" ref="J1452:J1459" si="259">ROUND(H1452*I1452,2)</f>
        <v>23.98</v>
      </c>
      <c r="L1452" s="98">
        <v>5.75</v>
      </c>
      <c r="M1452" s="99">
        <v>4.17</v>
      </c>
      <c r="N1452" s="100">
        <f t="shared" ref="N1452:N1459" si="260">ROUND(L1452*M1452,2)</f>
        <v>23.98</v>
      </c>
      <c r="R1452" s="101" t="s">
        <v>765</v>
      </c>
    </row>
    <row r="1453" spans="1:30" x14ac:dyDescent="0.2">
      <c r="A1453" s="89" t="s">
        <v>124</v>
      </c>
      <c r="B1453" s="90">
        <v>5.75</v>
      </c>
      <c r="C1453" s="91">
        <f>$N$1449-$L$1449+1</f>
        <v>30</v>
      </c>
      <c r="D1453" s="92">
        <v>1.31928</v>
      </c>
      <c r="E1453" s="93">
        <v>1.37</v>
      </c>
      <c r="F1453" s="94">
        <f t="shared" si="258"/>
        <v>7.88</v>
      </c>
      <c r="H1453" s="95">
        <v>5.75</v>
      </c>
      <c r="I1453" s="96">
        <v>1.37</v>
      </c>
      <c r="J1453" s="97">
        <f t="shared" si="259"/>
        <v>7.88</v>
      </c>
      <c r="L1453" s="98">
        <v>5.75</v>
      </c>
      <c r="M1453" s="99">
        <v>1.37</v>
      </c>
      <c r="N1453" s="100">
        <f t="shared" si="260"/>
        <v>7.88</v>
      </c>
    </row>
    <row r="1454" spans="1:30" x14ac:dyDescent="0.2">
      <c r="A1454" s="89" t="s">
        <v>614</v>
      </c>
      <c r="B1454" s="90">
        <f>IF($P$1454&lt;&gt;"",ROUND(AA1454*(($AB$1454/(1-$P$1454))-31.855)/69.2091,2),IF('Resumen 2.0TD'!$D$3="OPTIMIZAR",AA1454,AA1454))</f>
        <v>163.79599999999999</v>
      </c>
      <c r="C1454" s="103"/>
      <c r="D1454" s="92">
        <v>0.11117100000000001</v>
      </c>
      <c r="E1454" s="93">
        <v>0.14937</v>
      </c>
      <c r="F1454" s="94">
        <f t="shared" si="258"/>
        <v>24.47</v>
      </c>
      <c r="H1454" s="95">
        <v>180.215</v>
      </c>
      <c r="I1454" s="96">
        <v>0.14937</v>
      </c>
      <c r="J1454" s="97">
        <f t="shared" si="259"/>
        <v>26.92</v>
      </c>
      <c r="L1454" s="98">
        <v>84.691000000000003</v>
      </c>
      <c r="M1454" s="99">
        <v>0.14937</v>
      </c>
      <c r="N1454" s="100">
        <f t="shared" si="260"/>
        <v>12.65</v>
      </c>
      <c r="O1454" s="104" t="s">
        <v>615</v>
      </c>
      <c r="P1454" s="67"/>
      <c r="AA1454">
        <v>163.79599999999999</v>
      </c>
      <c r="AB1454">
        <f>B1452*D1452+B1453*D1453+AA1454*D1454+AA1455*D1455+AA1456*D1456</f>
        <v>80.308673640000009</v>
      </c>
    </row>
    <row r="1455" spans="1:30" x14ac:dyDescent="0.2">
      <c r="A1455" s="89" t="s">
        <v>617</v>
      </c>
      <c r="B1455" s="90">
        <f>IF($P$1454&lt;&gt;"",ROUND(AA1455*(($AB$1454/(1-$P$1454))-31.855)/69.2091,2),IF('Resumen 2.0TD'!$D$3="OPTIMIZAR",AA1455,AA1455))</f>
        <v>111.84099999999999</v>
      </c>
      <c r="C1455" s="103"/>
      <c r="D1455" s="92">
        <v>0.11117100000000001</v>
      </c>
      <c r="E1455" s="93">
        <v>0.14937</v>
      </c>
      <c r="F1455" s="94">
        <f t="shared" si="258"/>
        <v>16.71</v>
      </c>
      <c r="H1455" s="95">
        <v>111.63800000000001</v>
      </c>
      <c r="I1455" s="96">
        <v>0.14937</v>
      </c>
      <c r="J1455" s="97">
        <f t="shared" si="259"/>
        <v>16.68</v>
      </c>
      <c r="L1455" s="98">
        <v>68.489999999999995</v>
      </c>
      <c r="M1455" s="99">
        <v>0.14937</v>
      </c>
      <c r="N1455" s="100">
        <f t="shared" si="260"/>
        <v>10.23</v>
      </c>
      <c r="O1455" s="105" t="s">
        <v>618</v>
      </c>
      <c r="R1455" s="102" t="s">
        <v>619</v>
      </c>
      <c r="AA1455">
        <v>111.84099999999999</v>
      </c>
    </row>
    <row r="1456" spans="1:30" x14ac:dyDescent="0.2">
      <c r="A1456" s="89" t="s">
        <v>620</v>
      </c>
      <c r="B1456" s="90">
        <f>IF($P$1454&lt;&gt;"",ROUND(AA1456*(($AB$1454/(1-$P$1454))-31.855)/69.2091,2),IF('Resumen 2.0TD'!$D$3="OPTIMIZAR",AA1456,AA1456))</f>
        <v>187.703</v>
      </c>
      <c r="C1456" s="103"/>
      <c r="D1456" s="92">
        <v>0.11117100000000001</v>
      </c>
      <c r="E1456" s="93">
        <v>0.14937</v>
      </c>
      <c r="F1456" s="94">
        <f t="shared" si="258"/>
        <v>28.04</v>
      </c>
      <c r="H1456" s="95">
        <v>192.65600000000001</v>
      </c>
      <c r="I1456" s="96">
        <v>0.14937</v>
      </c>
      <c r="J1456" s="97">
        <f t="shared" si="259"/>
        <v>28.78</v>
      </c>
      <c r="L1456" s="98">
        <v>144.79499999999999</v>
      </c>
      <c r="M1456" s="99">
        <v>0.14937</v>
      </c>
      <c r="N1456" s="100">
        <f t="shared" si="260"/>
        <v>21.63</v>
      </c>
      <c r="O1456" s="105" t="s">
        <v>621</v>
      </c>
      <c r="AA1456">
        <v>187.703</v>
      </c>
    </row>
    <row r="1457" spans="1:30" x14ac:dyDescent="0.2">
      <c r="A1457" s="89" t="s">
        <v>139</v>
      </c>
      <c r="B1457" s="90">
        <v>1</v>
      </c>
      <c r="C1457" s="91">
        <f>$N$1449-$L$1449+1</f>
        <v>30</v>
      </c>
      <c r="D1457" s="92">
        <v>0.79890000000000005</v>
      </c>
      <c r="E1457" s="93">
        <v>4</v>
      </c>
      <c r="F1457" s="94">
        <f t="shared" si="258"/>
        <v>4</v>
      </c>
      <c r="H1457" s="95">
        <v>1</v>
      </c>
      <c r="I1457" s="96">
        <v>4</v>
      </c>
      <c r="J1457" s="97">
        <f t="shared" si="259"/>
        <v>4</v>
      </c>
      <c r="L1457" s="98">
        <v>1</v>
      </c>
      <c r="M1457" s="99">
        <v>4</v>
      </c>
      <c r="N1457" s="100">
        <f t="shared" si="260"/>
        <v>4</v>
      </c>
    </row>
    <row r="1458" spans="1:30" x14ac:dyDescent="0.2">
      <c r="A1458" s="89" t="s">
        <v>140</v>
      </c>
      <c r="B1458" s="90">
        <v>30</v>
      </c>
      <c r="C1458" s="91">
        <f>$N$1449-$L$1449+1</f>
        <v>30</v>
      </c>
      <c r="D1458" s="92">
        <v>0.5736</v>
      </c>
      <c r="E1458" s="93">
        <v>1.274E-2</v>
      </c>
      <c r="F1458" s="94">
        <f t="shared" si="258"/>
        <v>0.38</v>
      </c>
      <c r="H1458" s="95">
        <v>30</v>
      </c>
      <c r="I1458" s="96">
        <v>1.274E-2</v>
      </c>
      <c r="J1458" s="97">
        <f t="shared" si="259"/>
        <v>0.38</v>
      </c>
      <c r="L1458" s="98">
        <v>30</v>
      </c>
      <c r="M1458" s="99">
        <v>1.274E-2</v>
      </c>
      <c r="N1458" s="100">
        <f t="shared" si="260"/>
        <v>0.38</v>
      </c>
    </row>
    <row r="1459" spans="1:30" x14ac:dyDescent="0.2">
      <c r="A1459" s="89" t="s">
        <v>141</v>
      </c>
      <c r="B1459" s="90">
        <v>5.17</v>
      </c>
      <c r="C1459" s="103"/>
      <c r="D1459" s="92">
        <v>0.27311999999999997</v>
      </c>
      <c r="E1459" s="93">
        <v>1</v>
      </c>
      <c r="F1459" s="94">
        <f t="shared" si="258"/>
        <v>5.17</v>
      </c>
      <c r="H1459" s="95">
        <v>5.34</v>
      </c>
      <c r="I1459" s="96">
        <v>1</v>
      </c>
      <c r="J1459" s="97">
        <f t="shared" si="259"/>
        <v>5.34</v>
      </c>
      <c r="L1459" s="98">
        <v>6.14</v>
      </c>
      <c r="M1459" s="99">
        <v>1</v>
      </c>
      <c r="N1459" s="100">
        <f t="shared" si="260"/>
        <v>6.14</v>
      </c>
    </row>
    <row r="1460" spans="1:30" x14ac:dyDescent="0.2">
      <c r="A1460" s="106" t="s">
        <v>142</v>
      </c>
      <c r="F1460" s="107">
        <f>ROUND((SUM(F1452:F1459)-F1459)*1.1+F1459,2)</f>
        <v>121.18</v>
      </c>
      <c r="J1460" s="108">
        <f>ROUND(SUM(J1452:J1459),2)</f>
        <v>113.96</v>
      </c>
      <c r="N1460" s="109">
        <f>ROUND(SUM(N1452:N1459),2)</f>
        <v>86.89</v>
      </c>
    </row>
    <row r="1461" spans="1:30" x14ac:dyDescent="0.2">
      <c r="A1461" s="78" t="s">
        <v>143</v>
      </c>
      <c r="B1461" s="110">
        <f>IF((F1456+F1455+F1454+F1452+F1453)=0,"",((F1456+F1455+F1454+F1452+F1453)-$AB$1454)/(F1456+F1455+F1454+F1452+F1453))</f>
        <v>0.20549392916501771</v>
      </c>
      <c r="D1461" s="139" t="str">
        <f>IF(B1461="","SIN PC",IF(B1461&gt;=0.3,"APROBAR",IF(B1461&gt;=0.2,"REVISAR","RECHAZAR")))</f>
        <v>REVISAR</v>
      </c>
      <c r="E1461" s="139"/>
      <c r="F1461" s="139"/>
      <c r="AD1461">
        <f>SUM(F1454:F1456)-69.2091</f>
        <v>1.089999999999236E-2</v>
      </c>
    </row>
    <row r="1463" spans="1:30" x14ac:dyDescent="0.2">
      <c r="A1463" s="137" t="s">
        <v>1335</v>
      </c>
      <c r="B1463" s="137"/>
      <c r="C1463" s="137"/>
      <c r="D1463" s="137"/>
      <c r="E1463" s="137"/>
      <c r="F1463" s="137"/>
      <c r="H1463" s="137" t="s">
        <v>1336</v>
      </c>
      <c r="I1463" s="137"/>
      <c r="J1463" s="137"/>
      <c r="K1463" s="137"/>
      <c r="L1463" s="76">
        <v>46113</v>
      </c>
      <c r="M1463" s="77" t="s">
        <v>607</v>
      </c>
      <c r="N1463" s="76">
        <v>46142</v>
      </c>
      <c r="R1463" s="138" t="s">
        <v>110</v>
      </c>
      <c r="S1463" s="138"/>
      <c r="T1463" s="138"/>
      <c r="U1463" s="138"/>
      <c r="V1463" s="138"/>
    </row>
    <row r="1464" spans="1:30" x14ac:dyDescent="0.2">
      <c r="A1464" s="78" t="s">
        <v>111</v>
      </c>
      <c r="B1464" s="79" t="s">
        <v>112</v>
      </c>
      <c r="C1464" s="80"/>
      <c r="D1464" s="80"/>
      <c r="E1464" s="80"/>
      <c r="F1464" s="80"/>
      <c r="H1464" s="81" t="s">
        <v>1337</v>
      </c>
      <c r="I1464" s="82"/>
      <c r="J1464" s="82"/>
      <c r="L1464" s="83" t="s">
        <v>1338</v>
      </c>
      <c r="M1464" s="84"/>
      <c r="N1464" s="84"/>
      <c r="R1464" s="85" t="s">
        <v>763</v>
      </c>
    </row>
    <row r="1465" spans="1:30" x14ac:dyDescent="0.2">
      <c r="B1465" s="68" t="s">
        <v>116</v>
      </c>
      <c r="C1465" s="68" t="s">
        <v>117</v>
      </c>
      <c r="D1465" s="68" t="s">
        <v>118</v>
      </c>
      <c r="E1465" s="68" t="s">
        <v>119</v>
      </c>
      <c r="F1465" s="68" t="s">
        <v>120</v>
      </c>
      <c r="H1465" s="86" t="s">
        <v>116</v>
      </c>
      <c r="I1465" s="86" t="s">
        <v>119</v>
      </c>
      <c r="J1465" s="86" t="s">
        <v>120</v>
      </c>
      <c r="L1465" s="87" t="s">
        <v>116</v>
      </c>
      <c r="M1465" s="87" t="s">
        <v>119</v>
      </c>
      <c r="N1465" s="87" t="s">
        <v>120</v>
      </c>
      <c r="R1465" s="88" t="s">
        <v>764</v>
      </c>
    </row>
    <row r="1466" spans="1:30" x14ac:dyDescent="0.2">
      <c r="A1466" s="89" t="s">
        <v>122</v>
      </c>
      <c r="B1466" s="90">
        <v>9.1999999999999993</v>
      </c>
      <c r="C1466" s="91">
        <f>$N$1463-$L$1463+1</f>
        <v>30</v>
      </c>
      <c r="D1466" s="92">
        <v>3.68919</v>
      </c>
      <c r="E1466" s="93">
        <v>4.17</v>
      </c>
      <c r="F1466" s="94">
        <f t="shared" ref="F1466:F1473" si="261">ROUND(B1466*E1466,2)</f>
        <v>38.36</v>
      </c>
      <c r="H1466" s="95">
        <v>9.1999999999999993</v>
      </c>
      <c r="I1466" s="96">
        <v>4.17</v>
      </c>
      <c r="J1466" s="97">
        <f t="shared" ref="J1466:J1473" si="262">ROUND(H1466*I1466,2)</f>
        <v>38.36</v>
      </c>
      <c r="L1466" s="98">
        <v>9.1999999999999993</v>
      </c>
      <c r="M1466" s="99">
        <v>4.17</v>
      </c>
      <c r="N1466" s="100">
        <f t="shared" ref="N1466:N1473" si="263">ROUND(L1466*M1466,2)</f>
        <v>38.36</v>
      </c>
      <c r="R1466" s="101" t="s">
        <v>765</v>
      </c>
    </row>
    <row r="1467" spans="1:30" x14ac:dyDescent="0.2">
      <c r="A1467" s="89" t="s">
        <v>124</v>
      </c>
      <c r="B1467" s="90">
        <v>9.1999999999999993</v>
      </c>
      <c r="C1467" s="91">
        <f>$N$1463-$L$1463+1</f>
        <v>30</v>
      </c>
      <c r="D1467" s="92">
        <v>1.31928</v>
      </c>
      <c r="E1467" s="93">
        <v>1.37</v>
      </c>
      <c r="F1467" s="94">
        <f t="shared" si="261"/>
        <v>12.6</v>
      </c>
      <c r="H1467" s="95">
        <v>9.1999999999999993</v>
      </c>
      <c r="I1467" s="96">
        <v>1.37</v>
      </c>
      <c r="J1467" s="97">
        <f t="shared" si="262"/>
        <v>12.6</v>
      </c>
      <c r="L1467" s="98">
        <v>9.1999999999999993</v>
      </c>
      <c r="M1467" s="99">
        <v>1.37</v>
      </c>
      <c r="N1467" s="100">
        <f t="shared" si="263"/>
        <v>12.6</v>
      </c>
    </row>
    <row r="1468" spans="1:30" x14ac:dyDescent="0.2">
      <c r="A1468" s="89" t="s">
        <v>614</v>
      </c>
      <c r="B1468" s="90">
        <f>IF($P$1468&lt;&gt;"",ROUND(AA1468*(($AB$1468/(1-$P$1468))-50.968)/83.2464,2),IF('Resumen 2.0TD'!$D$3="OPTIMIZAR",AA1468,AA1468))</f>
        <v>137.50399999999999</v>
      </c>
      <c r="C1468" s="103"/>
      <c r="D1468" s="92">
        <v>0.11117100000000001</v>
      </c>
      <c r="E1468" s="93">
        <v>0.14937</v>
      </c>
      <c r="F1468" s="94">
        <f t="shared" si="261"/>
        <v>20.54</v>
      </c>
      <c r="H1468" s="95">
        <v>136.80500000000001</v>
      </c>
      <c r="I1468" s="96">
        <v>0.14937</v>
      </c>
      <c r="J1468" s="97">
        <f t="shared" si="262"/>
        <v>20.43</v>
      </c>
      <c r="L1468" s="98">
        <v>150.029</v>
      </c>
      <c r="M1468" s="99">
        <v>0.14937</v>
      </c>
      <c r="N1468" s="100">
        <f t="shared" si="263"/>
        <v>22.41</v>
      </c>
      <c r="O1468" s="104" t="s">
        <v>615</v>
      </c>
      <c r="P1468" s="67"/>
      <c r="AA1468">
        <v>137.50399999999999</v>
      </c>
      <c r="AB1468">
        <f>B1466*D1466+B1467*D1467+AA1468*D1468+AA1469*D1469+AA1470*D1470</f>
        <v>108.03541220700001</v>
      </c>
    </row>
    <row r="1469" spans="1:30" x14ac:dyDescent="0.2">
      <c r="A1469" s="89" t="s">
        <v>617</v>
      </c>
      <c r="B1469" s="90">
        <f>IF($P$1468&lt;&gt;"",ROUND(AA1469*(($AB$1468/(1-$P$1468))-50.968)/83.2464,2),IF('Resumen 2.0TD'!$D$3="OPTIMIZAR",AA1469,AA1469))</f>
        <v>138.453</v>
      </c>
      <c r="C1469" s="103"/>
      <c r="D1469" s="92">
        <v>0.11117100000000001</v>
      </c>
      <c r="E1469" s="93">
        <v>0.14937</v>
      </c>
      <c r="F1469" s="94">
        <f t="shared" si="261"/>
        <v>20.68</v>
      </c>
      <c r="H1469" s="95">
        <v>107.681</v>
      </c>
      <c r="I1469" s="96">
        <v>0.14937</v>
      </c>
      <c r="J1469" s="97">
        <f t="shared" si="262"/>
        <v>16.079999999999998</v>
      </c>
      <c r="L1469" s="98">
        <v>151.77500000000001</v>
      </c>
      <c r="M1469" s="99">
        <v>0.14937</v>
      </c>
      <c r="N1469" s="100">
        <f t="shared" si="263"/>
        <v>22.67</v>
      </c>
      <c r="O1469" s="105" t="s">
        <v>618</v>
      </c>
      <c r="R1469" s="102" t="s">
        <v>619</v>
      </c>
      <c r="AA1469">
        <v>138.453</v>
      </c>
    </row>
    <row r="1470" spans="1:30" x14ac:dyDescent="0.2">
      <c r="A1470" s="89" t="s">
        <v>620</v>
      </c>
      <c r="B1470" s="90">
        <f>IF($P$1468&lt;&gt;"",ROUND(AA1470*(($AB$1468/(1-$P$1468))-50.968)/83.2464,2),IF('Resumen 2.0TD'!$D$3="OPTIMIZAR",AA1470,AA1470))</f>
        <v>281.36</v>
      </c>
      <c r="C1470" s="103"/>
      <c r="D1470" s="92">
        <v>0.11117100000000001</v>
      </c>
      <c r="E1470" s="93">
        <v>0.14937</v>
      </c>
      <c r="F1470" s="94">
        <f t="shared" si="261"/>
        <v>42.03</v>
      </c>
      <c r="H1470" s="95">
        <v>228.38900000000001</v>
      </c>
      <c r="I1470" s="96">
        <v>0.14937</v>
      </c>
      <c r="J1470" s="97">
        <f t="shared" si="262"/>
        <v>34.11</v>
      </c>
      <c r="L1470" s="98">
        <v>348.62099999999998</v>
      </c>
      <c r="M1470" s="99">
        <v>0.14937</v>
      </c>
      <c r="N1470" s="100">
        <f t="shared" si="263"/>
        <v>52.07</v>
      </c>
      <c r="O1470" s="105" t="s">
        <v>621</v>
      </c>
      <c r="AA1470">
        <v>281.36</v>
      </c>
    </row>
    <row r="1471" spans="1:30" x14ac:dyDescent="0.2">
      <c r="A1471" s="89" t="s">
        <v>139</v>
      </c>
      <c r="B1471" s="90">
        <v>1</v>
      </c>
      <c r="C1471" s="91">
        <f>$N$1463-$L$1463+1</f>
        <v>30</v>
      </c>
      <c r="D1471" s="92">
        <v>0.79890000000000005</v>
      </c>
      <c r="E1471" s="93">
        <v>4</v>
      </c>
      <c r="F1471" s="94">
        <f t="shared" si="261"/>
        <v>4</v>
      </c>
      <c r="H1471" s="95">
        <v>1</v>
      </c>
      <c r="I1471" s="96">
        <v>4</v>
      </c>
      <c r="J1471" s="97">
        <f t="shared" si="262"/>
        <v>4</v>
      </c>
      <c r="L1471" s="98">
        <v>1</v>
      </c>
      <c r="M1471" s="99">
        <v>4</v>
      </c>
      <c r="N1471" s="100">
        <f t="shared" si="263"/>
        <v>4</v>
      </c>
    </row>
    <row r="1472" spans="1:30" x14ac:dyDescent="0.2">
      <c r="A1472" s="89" t="s">
        <v>140</v>
      </c>
      <c r="B1472" s="90">
        <v>30</v>
      </c>
      <c r="C1472" s="91">
        <f>$N$1463-$L$1463+1</f>
        <v>30</v>
      </c>
      <c r="D1472" s="92">
        <v>0.5736</v>
      </c>
      <c r="E1472" s="93">
        <v>1.274E-2</v>
      </c>
      <c r="F1472" s="94">
        <f t="shared" si="261"/>
        <v>0.38</v>
      </c>
      <c r="H1472" s="95">
        <v>30</v>
      </c>
      <c r="I1472" s="96">
        <v>1.274E-2</v>
      </c>
      <c r="J1472" s="97">
        <f t="shared" si="262"/>
        <v>0.38</v>
      </c>
      <c r="L1472" s="98">
        <v>30</v>
      </c>
      <c r="M1472" s="99">
        <v>6.2899999999999996E-3</v>
      </c>
      <c r="N1472" s="100">
        <f t="shared" si="263"/>
        <v>0.19</v>
      </c>
    </row>
    <row r="1473" spans="1:30" x14ac:dyDescent="0.2">
      <c r="A1473" s="89" t="s">
        <v>141</v>
      </c>
      <c r="B1473" s="90">
        <v>6.87</v>
      </c>
      <c r="C1473" s="103"/>
      <c r="D1473" s="92">
        <v>2.6710000000000001E-2</v>
      </c>
      <c r="E1473" s="93">
        <v>1</v>
      </c>
      <c r="F1473" s="94">
        <f t="shared" si="261"/>
        <v>6.87</v>
      </c>
      <c r="H1473" s="95">
        <v>6.22</v>
      </c>
      <c r="I1473" s="96">
        <v>1</v>
      </c>
      <c r="J1473" s="97">
        <f t="shared" si="262"/>
        <v>6.22</v>
      </c>
      <c r="L1473" s="98">
        <v>7.58</v>
      </c>
      <c r="M1473" s="99">
        <v>1</v>
      </c>
      <c r="N1473" s="100">
        <f t="shared" si="263"/>
        <v>7.58</v>
      </c>
    </row>
    <row r="1474" spans="1:30" x14ac:dyDescent="0.2">
      <c r="A1474" s="106" t="s">
        <v>142</v>
      </c>
      <c r="F1474" s="107">
        <f>ROUND((SUM(F1466:F1473)-F1473)*1.1+F1473,2)</f>
        <v>159.32</v>
      </c>
      <c r="J1474" s="108">
        <f>ROUND(SUM(J1466:J1473),2)</f>
        <v>132.18</v>
      </c>
      <c r="N1474" s="109">
        <f>ROUND(SUM(N1466:N1473),2)</f>
        <v>159.88</v>
      </c>
    </row>
    <row r="1475" spans="1:30" x14ac:dyDescent="0.2">
      <c r="A1475" s="78" t="s">
        <v>143</v>
      </c>
      <c r="B1475" s="110">
        <f>IF((F1470+F1469+F1468+F1466+F1467)=0,"",((F1470+F1469+F1468+F1466+F1467)-$AB$1468)/(F1470+F1469+F1468+F1466+F1467))</f>
        <v>0.19502710523060873</v>
      </c>
      <c r="D1475" s="139" t="str">
        <f>IF(B1475="","SIN PC",IF(B1475&gt;=0.3,"APROBAR",IF(B1475&gt;=0.2,"REVISAR","RECHAZAR")))</f>
        <v>RECHAZAR</v>
      </c>
      <c r="E1475" s="139"/>
      <c r="F1475" s="139"/>
      <c r="AD1475">
        <f>SUM(F1468:F1470)-83.2464</f>
        <v>3.6000000000058208E-3</v>
      </c>
    </row>
    <row r="1477" spans="1:30" x14ac:dyDescent="0.2">
      <c r="A1477" s="137" t="s">
        <v>1339</v>
      </c>
      <c r="B1477" s="137"/>
      <c r="C1477" s="137"/>
      <c r="D1477" s="137"/>
      <c r="E1477" s="137"/>
      <c r="F1477" s="137"/>
      <c r="H1477" s="137" t="s">
        <v>1340</v>
      </c>
      <c r="I1477" s="137"/>
      <c r="J1477" s="137"/>
      <c r="K1477" s="137"/>
      <c r="L1477" s="76">
        <v>46113</v>
      </c>
      <c r="M1477" s="77" t="s">
        <v>607</v>
      </c>
      <c r="N1477" s="76">
        <v>46142</v>
      </c>
      <c r="R1477" s="138" t="s">
        <v>110</v>
      </c>
      <c r="S1477" s="138"/>
      <c r="T1477" s="138"/>
      <c r="U1477" s="138"/>
      <c r="V1477" s="138"/>
    </row>
    <row r="1478" spans="1:30" x14ac:dyDescent="0.2">
      <c r="A1478" s="78" t="s">
        <v>111</v>
      </c>
      <c r="B1478" s="79" t="s">
        <v>112</v>
      </c>
      <c r="C1478" s="80"/>
      <c r="D1478" s="80"/>
      <c r="E1478" s="80"/>
      <c r="F1478" s="80"/>
      <c r="H1478" s="81" t="s">
        <v>1341</v>
      </c>
      <c r="I1478" s="82"/>
      <c r="J1478" s="82"/>
      <c r="L1478" s="83" t="s">
        <v>1342</v>
      </c>
      <c r="M1478" s="84"/>
      <c r="N1478" s="84"/>
      <c r="R1478" s="85" t="s">
        <v>763</v>
      </c>
    </row>
    <row r="1479" spans="1:30" x14ac:dyDescent="0.2">
      <c r="B1479" s="68" t="s">
        <v>116</v>
      </c>
      <c r="C1479" s="68" t="s">
        <v>117</v>
      </c>
      <c r="D1479" s="68" t="s">
        <v>118</v>
      </c>
      <c r="E1479" s="68" t="s">
        <v>119</v>
      </c>
      <c r="F1479" s="68" t="s">
        <v>120</v>
      </c>
      <c r="H1479" s="86" t="s">
        <v>116</v>
      </c>
      <c r="I1479" s="86" t="s">
        <v>119</v>
      </c>
      <c r="J1479" s="86" t="s">
        <v>120</v>
      </c>
      <c r="L1479" s="87" t="s">
        <v>116</v>
      </c>
      <c r="M1479" s="87" t="s">
        <v>119</v>
      </c>
      <c r="N1479" s="87" t="s">
        <v>120</v>
      </c>
      <c r="R1479" s="88" t="s">
        <v>764</v>
      </c>
    </row>
    <row r="1480" spans="1:30" x14ac:dyDescent="0.2">
      <c r="A1480" s="89" t="s">
        <v>122</v>
      </c>
      <c r="B1480" s="90">
        <v>5.75</v>
      </c>
      <c r="C1480" s="91">
        <f>$N$1477-$L$1477+1</f>
        <v>30</v>
      </c>
      <c r="D1480" s="92">
        <v>3.68919</v>
      </c>
      <c r="E1480" s="93">
        <v>4.17</v>
      </c>
      <c r="F1480" s="94">
        <f t="shared" ref="F1480:F1487" si="264">ROUND(B1480*E1480,2)</f>
        <v>23.98</v>
      </c>
      <c r="H1480" s="95">
        <v>5.75</v>
      </c>
      <c r="I1480" s="96">
        <v>4.17</v>
      </c>
      <c r="J1480" s="97">
        <f t="shared" ref="J1480:J1487" si="265">ROUND(H1480*I1480,2)</f>
        <v>23.98</v>
      </c>
      <c r="L1480" s="98">
        <v>5.75</v>
      </c>
      <c r="M1480" s="99">
        <v>4.17</v>
      </c>
      <c r="N1480" s="100">
        <f t="shared" ref="N1480:N1487" si="266">ROUND(L1480*M1480,2)</f>
        <v>23.98</v>
      </c>
      <c r="R1480" s="101" t="s">
        <v>765</v>
      </c>
    </row>
    <row r="1481" spans="1:30" x14ac:dyDescent="0.2">
      <c r="A1481" s="89" t="s">
        <v>124</v>
      </c>
      <c r="B1481" s="90">
        <v>5.75</v>
      </c>
      <c r="C1481" s="91">
        <f>$N$1477-$L$1477+1</f>
        <v>30</v>
      </c>
      <c r="D1481" s="92">
        <v>1.31928</v>
      </c>
      <c r="E1481" s="93">
        <v>1.37</v>
      </c>
      <c r="F1481" s="94">
        <f t="shared" si="264"/>
        <v>7.88</v>
      </c>
      <c r="H1481" s="95">
        <v>5.75</v>
      </c>
      <c r="I1481" s="96">
        <v>1.37</v>
      </c>
      <c r="J1481" s="97">
        <f t="shared" si="265"/>
        <v>7.88</v>
      </c>
      <c r="L1481" s="98">
        <v>5.75</v>
      </c>
      <c r="M1481" s="99">
        <v>1.37</v>
      </c>
      <c r="N1481" s="100">
        <f t="shared" si="266"/>
        <v>7.88</v>
      </c>
    </row>
    <row r="1482" spans="1:30" x14ac:dyDescent="0.2">
      <c r="A1482" s="89" t="s">
        <v>614</v>
      </c>
      <c r="B1482" s="90">
        <f>IF($P$1482&lt;&gt;"",ROUND(AA1482*(($AB$1482/(1-$P$1482))-31.855)/12.1518,2),IF('Resumen 2.0TD'!$D$3="OPTIMIZAR",AA1482,AA1482))</f>
        <v>22.568000000000001</v>
      </c>
      <c r="C1482" s="103"/>
      <c r="D1482" s="92">
        <v>0.11117100000000001</v>
      </c>
      <c r="E1482" s="93">
        <v>0.14937</v>
      </c>
      <c r="F1482" s="94">
        <f t="shared" si="264"/>
        <v>3.37</v>
      </c>
      <c r="H1482" s="95">
        <v>24.486999999999998</v>
      </c>
      <c r="I1482" s="96">
        <v>0.14937</v>
      </c>
      <c r="J1482" s="97">
        <f t="shared" si="265"/>
        <v>3.66</v>
      </c>
      <c r="L1482" s="98">
        <v>30.587</v>
      </c>
      <c r="M1482" s="99">
        <v>0.14937</v>
      </c>
      <c r="N1482" s="100">
        <f t="shared" si="266"/>
        <v>4.57</v>
      </c>
      <c r="O1482" s="104" t="s">
        <v>615</v>
      </c>
      <c r="P1482" s="67"/>
      <c r="AA1482">
        <v>22.568000000000001</v>
      </c>
      <c r="AB1482">
        <f>B1480*D1480+B1481*D1481+AA1482*D1482+AA1483*D1483+AA1484*D1484</f>
        <v>37.842908034000004</v>
      </c>
    </row>
    <row r="1483" spans="1:30" x14ac:dyDescent="0.2">
      <c r="A1483" s="89" t="s">
        <v>617</v>
      </c>
      <c r="B1483" s="90">
        <f>IF($P$1482&lt;&gt;"",ROUND(AA1483*(($AB$1482/(1-$P$1482))-31.855)/12.1518,2),IF('Resumen 2.0TD'!$D$3="OPTIMIZAR",AA1483,AA1483))</f>
        <v>17.437000000000001</v>
      </c>
      <c r="C1483" s="103"/>
      <c r="D1483" s="92">
        <v>0.11117100000000001</v>
      </c>
      <c r="E1483" s="93">
        <v>0.14937</v>
      </c>
      <c r="F1483" s="94">
        <f t="shared" si="264"/>
        <v>2.6</v>
      </c>
      <c r="H1483" s="95">
        <v>15.284000000000001</v>
      </c>
      <c r="I1483" s="96">
        <v>0.14937</v>
      </c>
      <c r="J1483" s="97">
        <f t="shared" si="265"/>
        <v>2.2799999999999998</v>
      </c>
      <c r="L1483" s="98">
        <v>24.303000000000001</v>
      </c>
      <c r="M1483" s="99">
        <v>0.14937</v>
      </c>
      <c r="N1483" s="100">
        <f t="shared" si="266"/>
        <v>3.63</v>
      </c>
      <c r="O1483" s="105" t="s">
        <v>618</v>
      </c>
      <c r="R1483" s="102" t="s">
        <v>619</v>
      </c>
      <c r="AA1483">
        <v>17.437000000000001</v>
      </c>
    </row>
    <row r="1484" spans="1:30" x14ac:dyDescent="0.2">
      <c r="A1484" s="89" t="s">
        <v>620</v>
      </c>
      <c r="B1484" s="90">
        <f>IF($P$1482&lt;&gt;"",ROUND(AA1484*(($AB$1482/(1-$P$1482))-31.855)/12.1518,2),IF('Resumen 2.0TD'!$D$3="OPTIMIZAR",AA1484,AA1484))</f>
        <v>41.348999999999997</v>
      </c>
      <c r="C1484" s="103"/>
      <c r="D1484" s="92">
        <v>0.11117100000000001</v>
      </c>
      <c r="E1484" s="93">
        <v>0.14937</v>
      </c>
      <c r="F1484" s="94">
        <f t="shared" si="264"/>
        <v>6.18</v>
      </c>
      <c r="H1484" s="95">
        <v>47.368000000000002</v>
      </c>
      <c r="I1484" s="96">
        <v>0.14937</v>
      </c>
      <c r="J1484" s="97">
        <f t="shared" si="265"/>
        <v>7.08</v>
      </c>
      <c r="L1484" s="98">
        <v>52.747</v>
      </c>
      <c r="M1484" s="99">
        <v>0.14937</v>
      </c>
      <c r="N1484" s="100">
        <f t="shared" si="266"/>
        <v>7.88</v>
      </c>
      <c r="O1484" s="105" t="s">
        <v>621</v>
      </c>
      <c r="AA1484">
        <v>41.348999999999997</v>
      </c>
    </row>
    <row r="1485" spans="1:30" x14ac:dyDescent="0.2">
      <c r="A1485" s="89" t="s">
        <v>139</v>
      </c>
      <c r="B1485" s="90">
        <v>1</v>
      </c>
      <c r="C1485" s="91">
        <f>$N$1477-$L$1477+1</f>
        <v>30</v>
      </c>
      <c r="D1485" s="92">
        <v>0.79890000000000005</v>
      </c>
      <c r="E1485" s="93">
        <v>4</v>
      </c>
      <c r="F1485" s="94">
        <f t="shared" si="264"/>
        <v>4</v>
      </c>
      <c r="H1485" s="95">
        <v>1</v>
      </c>
      <c r="I1485" s="96">
        <v>4</v>
      </c>
      <c r="J1485" s="97">
        <f t="shared" si="265"/>
        <v>4</v>
      </c>
      <c r="L1485" s="98">
        <v>1</v>
      </c>
      <c r="M1485" s="99">
        <v>4</v>
      </c>
      <c r="N1485" s="100">
        <f t="shared" si="266"/>
        <v>4</v>
      </c>
    </row>
    <row r="1486" spans="1:30" x14ac:dyDescent="0.2">
      <c r="A1486" s="89" t="s">
        <v>140</v>
      </c>
      <c r="B1486" s="90">
        <v>30</v>
      </c>
      <c r="C1486" s="91">
        <f>$N$1477-$L$1477+1</f>
        <v>30</v>
      </c>
      <c r="D1486" s="92">
        <v>0.5736</v>
      </c>
      <c r="E1486" s="93">
        <v>1.274E-2</v>
      </c>
      <c r="F1486" s="94">
        <f t="shared" si="264"/>
        <v>0.38</v>
      </c>
      <c r="H1486" s="95">
        <v>30</v>
      </c>
      <c r="I1486" s="96">
        <v>1.274E-2</v>
      </c>
      <c r="J1486" s="97">
        <f t="shared" si="265"/>
        <v>0.38</v>
      </c>
      <c r="L1486" s="98">
        <v>30</v>
      </c>
      <c r="M1486" s="99">
        <v>6.2899999999999996E-3</v>
      </c>
      <c r="N1486" s="100">
        <f t="shared" si="266"/>
        <v>0.19</v>
      </c>
    </row>
    <row r="1487" spans="1:30" x14ac:dyDescent="0.2">
      <c r="A1487" s="89" t="s">
        <v>141</v>
      </c>
      <c r="B1487" s="90">
        <v>2.2599999999999998</v>
      </c>
      <c r="C1487" s="103"/>
      <c r="D1487" s="92">
        <v>2.6710000000000001E-2</v>
      </c>
      <c r="E1487" s="93">
        <v>1</v>
      </c>
      <c r="F1487" s="94">
        <f t="shared" si="264"/>
        <v>2.2599999999999998</v>
      </c>
      <c r="H1487" s="95">
        <v>2.2999999999999998</v>
      </c>
      <c r="I1487" s="96">
        <v>1</v>
      </c>
      <c r="J1487" s="97">
        <f t="shared" si="265"/>
        <v>2.2999999999999998</v>
      </c>
      <c r="L1487" s="98">
        <v>2.46</v>
      </c>
      <c r="M1487" s="99">
        <v>1</v>
      </c>
      <c r="N1487" s="100">
        <f t="shared" si="266"/>
        <v>2.46</v>
      </c>
    </row>
    <row r="1488" spans="1:30" x14ac:dyDescent="0.2">
      <c r="A1488" s="106" t="s">
        <v>142</v>
      </c>
      <c r="F1488" s="107">
        <f>ROUND((SUM(F1480:F1487)-F1487)*1.1+F1487,2)</f>
        <v>55.49</v>
      </c>
      <c r="J1488" s="108">
        <f>ROUND(SUM(J1480:J1487),2)</f>
        <v>51.56</v>
      </c>
      <c r="N1488" s="109">
        <f>ROUND(SUM(N1480:N1487),2)</f>
        <v>54.59</v>
      </c>
    </row>
    <row r="1489" spans="1:30" x14ac:dyDescent="0.2">
      <c r="A1489" s="78" t="s">
        <v>143</v>
      </c>
      <c r="B1489" s="110">
        <f>IF((F1484+F1483+F1482+F1480+F1481)=0,"",((F1484+F1483+F1482+F1480+F1481)-$AB$1482)/(F1484+F1483+F1482+F1480+F1481))</f>
        <v>0.14012933346966586</v>
      </c>
      <c r="D1489" s="139" t="str">
        <f>IF(B1489="","SIN PC",IF(B1489&gt;=0.3,"APROBAR",IF(B1489&gt;=0.2,"REVISAR","RECHAZAR")))</f>
        <v>RECHAZAR</v>
      </c>
      <c r="E1489" s="139"/>
      <c r="F1489" s="139"/>
      <c r="AD1489">
        <f>SUM(F1482:F1484)-12.1518</f>
        <v>-1.7999999999993577E-3</v>
      </c>
    </row>
    <row r="1491" spans="1:30" x14ac:dyDescent="0.2">
      <c r="A1491" s="137" t="s">
        <v>1343</v>
      </c>
      <c r="B1491" s="137"/>
      <c r="C1491" s="137"/>
      <c r="D1491" s="137"/>
      <c r="E1491" s="137"/>
      <c r="F1491" s="137"/>
      <c r="H1491" s="137" t="s">
        <v>1344</v>
      </c>
      <c r="I1491" s="137"/>
      <c r="J1491" s="137"/>
      <c r="K1491" s="137"/>
      <c r="L1491" s="76">
        <v>46113</v>
      </c>
      <c r="M1491" s="77" t="s">
        <v>607</v>
      </c>
      <c r="N1491" s="76">
        <v>46142</v>
      </c>
      <c r="R1491" s="138" t="s">
        <v>110</v>
      </c>
      <c r="S1491" s="138"/>
      <c r="T1491" s="138"/>
      <c r="U1491" s="138"/>
      <c r="V1491" s="138"/>
    </row>
    <row r="1492" spans="1:30" x14ac:dyDescent="0.2">
      <c r="A1492" s="78" t="s">
        <v>111</v>
      </c>
      <c r="B1492" s="79" t="s">
        <v>112</v>
      </c>
      <c r="C1492" s="80"/>
      <c r="D1492" s="80"/>
      <c r="E1492" s="80"/>
      <c r="F1492" s="80"/>
      <c r="H1492" s="81" t="s">
        <v>1345</v>
      </c>
      <c r="I1492" s="82"/>
      <c r="J1492" s="82"/>
      <c r="L1492" s="83" t="s">
        <v>1346</v>
      </c>
      <c r="M1492" s="84"/>
      <c r="N1492" s="84"/>
    </row>
    <row r="1493" spans="1:30" x14ac:dyDescent="0.2">
      <c r="B1493" s="68" t="s">
        <v>116</v>
      </c>
      <c r="C1493" s="68" t="s">
        <v>117</v>
      </c>
      <c r="D1493" s="68" t="s">
        <v>118</v>
      </c>
      <c r="E1493" s="68" t="s">
        <v>119</v>
      </c>
      <c r="F1493" s="68" t="s">
        <v>120</v>
      </c>
      <c r="H1493" s="86" t="s">
        <v>116</v>
      </c>
      <c r="I1493" s="86" t="s">
        <v>119</v>
      </c>
      <c r="J1493" s="86" t="s">
        <v>120</v>
      </c>
      <c r="L1493" s="87" t="s">
        <v>116</v>
      </c>
      <c r="M1493" s="87" t="s">
        <v>119</v>
      </c>
      <c r="N1493" s="87" t="s">
        <v>120</v>
      </c>
    </row>
    <row r="1494" spans="1:30" x14ac:dyDescent="0.2">
      <c r="A1494" s="89" t="s">
        <v>122</v>
      </c>
      <c r="B1494" s="90">
        <v>13.856</v>
      </c>
      <c r="C1494" s="91">
        <f>$N$1491-$L$1491+1</f>
        <v>30</v>
      </c>
      <c r="D1494" s="92">
        <v>3.40863</v>
      </c>
      <c r="E1494" s="93">
        <v>4.17</v>
      </c>
      <c r="F1494" s="94">
        <f t="shared" ref="F1494:F1501" si="267">ROUND(B1494*E1494,2)</f>
        <v>57.78</v>
      </c>
      <c r="H1494" s="95">
        <v>13.856</v>
      </c>
      <c r="I1494" s="96">
        <v>4.17</v>
      </c>
      <c r="J1494" s="97">
        <f t="shared" ref="J1494:J1501" si="268">ROUND(H1494*I1494,2)</f>
        <v>57.78</v>
      </c>
      <c r="L1494" s="98">
        <v>13.856</v>
      </c>
      <c r="M1494" s="99">
        <v>4.17</v>
      </c>
      <c r="N1494" s="100">
        <f t="shared" ref="N1494:N1501" si="269">ROUND(L1494*M1494,2)</f>
        <v>57.78</v>
      </c>
    </row>
    <row r="1495" spans="1:30" x14ac:dyDescent="0.2">
      <c r="A1495" s="89" t="s">
        <v>124</v>
      </c>
      <c r="B1495" s="90">
        <v>13.856</v>
      </c>
      <c r="C1495" s="91">
        <f>$N$1491-$L$1491+1</f>
        <v>30</v>
      </c>
      <c r="D1495" s="92">
        <v>1.44069</v>
      </c>
      <c r="E1495" s="93">
        <v>1.37</v>
      </c>
      <c r="F1495" s="94">
        <f t="shared" si="267"/>
        <v>18.98</v>
      </c>
      <c r="H1495" s="95">
        <v>13.856</v>
      </c>
      <c r="I1495" s="96">
        <v>1.37</v>
      </c>
      <c r="J1495" s="97">
        <f t="shared" si="268"/>
        <v>18.98</v>
      </c>
      <c r="L1495" s="98">
        <v>13.856</v>
      </c>
      <c r="M1495" s="99">
        <v>1.37</v>
      </c>
      <c r="N1495" s="100">
        <f t="shared" si="269"/>
        <v>18.98</v>
      </c>
    </row>
    <row r="1496" spans="1:30" x14ac:dyDescent="0.2">
      <c r="A1496" s="89" t="s">
        <v>614</v>
      </c>
      <c r="B1496" s="90">
        <f>IF($P$1496&lt;&gt;"",ROUND(AA1496*(($AB$1496/(1-$P$1496))-76.7622)/55.7214,2),IF('Resumen 2.0TD'!$D$3="OPTIMIZAR",AA1496,AA1496))</f>
        <v>124.318</v>
      </c>
      <c r="C1496" s="103"/>
      <c r="D1496" s="92">
        <v>0.19081000000000001</v>
      </c>
      <c r="E1496" s="93">
        <v>0.14937</v>
      </c>
      <c r="F1496" s="94">
        <f t="shared" si="267"/>
        <v>18.57</v>
      </c>
      <c r="H1496" s="95">
        <v>194.67599999999999</v>
      </c>
      <c r="I1496" s="96">
        <v>0.14937</v>
      </c>
      <c r="J1496" s="97">
        <f t="shared" si="268"/>
        <v>29.08</v>
      </c>
      <c r="L1496" s="98">
        <v>117.59099999999999</v>
      </c>
      <c r="M1496" s="99">
        <v>0.14937</v>
      </c>
      <c r="N1496" s="100">
        <f t="shared" si="269"/>
        <v>17.559999999999999</v>
      </c>
      <c r="O1496" s="104" t="s">
        <v>615</v>
      </c>
      <c r="P1496" s="67"/>
      <c r="AA1496">
        <v>124.318</v>
      </c>
      <c r="AB1496">
        <f>B1494*D1494+B1495*D1495+AA1496*D1496+AA1497*D1497+AA1498*D1498</f>
        <v>138.37251275</v>
      </c>
    </row>
    <row r="1497" spans="1:30" x14ac:dyDescent="0.2">
      <c r="A1497" s="89" t="s">
        <v>617</v>
      </c>
      <c r="B1497" s="90">
        <f>IF($P$1496&lt;&gt;"",ROUND(AA1497*(($AB$1496/(1-$P$1496))-76.7622)/55.7214,2),IF('Resumen 2.0TD'!$D$3="OPTIMIZAR",AA1497,AA1497))</f>
        <v>108.798</v>
      </c>
      <c r="C1497" s="103"/>
      <c r="D1497" s="92">
        <v>0.19081000000000001</v>
      </c>
      <c r="E1497" s="93">
        <v>0.14937</v>
      </c>
      <c r="F1497" s="94">
        <f t="shared" si="267"/>
        <v>16.25</v>
      </c>
      <c r="H1497" s="95">
        <v>143.386</v>
      </c>
      <c r="I1497" s="96">
        <v>0.14937</v>
      </c>
      <c r="J1497" s="97">
        <f t="shared" si="268"/>
        <v>21.42</v>
      </c>
      <c r="L1497" s="98">
        <v>117.58799999999999</v>
      </c>
      <c r="M1497" s="99">
        <v>0.14937</v>
      </c>
      <c r="N1497" s="100">
        <f t="shared" si="269"/>
        <v>17.559999999999999</v>
      </c>
      <c r="O1497" s="105" t="s">
        <v>618</v>
      </c>
      <c r="AA1497">
        <v>108.798</v>
      </c>
    </row>
    <row r="1498" spans="1:30" x14ac:dyDescent="0.2">
      <c r="A1498" s="89" t="s">
        <v>620</v>
      </c>
      <c r="B1498" s="90">
        <f>IF($P$1496&lt;&gt;"",ROUND(AA1498*(($AB$1496/(1-$P$1496))-76.7622)/55.7214,2),IF('Resumen 2.0TD'!$D$3="OPTIMIZAR",AA1498,AA1498))</f>
        <v>139.92699999999999</v>
      </c>
      <c r="C1498" s="103"/>
      <c r="D1498" s="92">
        <v>0.19081000000000001</v>
      </c>
      <c r="E1498" s="93">
        <v>0.14937</v>
      </c>
      <c r="F1498" s="94">
        <f t="shared" si="267"/>
        <v>20.9</v>
      </c>
      <c r="H1498" s="95">
        <v>182.34200000000001</v>
      </c>
      <c r="I1498" s="96">
        <v>0.14937</v>
      </c>
      <c r="J1498" s="97">
        <f t="shared" si="268"/>
        <v>27.24</v>
      </c>
      <c r="L1498" s="98">
        <v>141.45099999999999</v>
      </c>
      <c r="M1498" s="99">
        <v>0.14937</v>
      </c>
      <c r="N1498" s="100">
        <f t="shared" si="269"/>
        <v>21.13</v>
      </c>
      <c r="O1498" s="105" t="s">
        <v>621</v>
      </c>
      <c r="AA1498">
        <v>139.92699999999999</v>
      </c>
    </row>
    <row r="1499" spans="1:30" x14ac:dyDescent="0.2">
      <c r="A1499" s="89" t="s">
        <v>139</v>
      </c>
      <c r="B1499" s="90">
        <v>1</v>
      </c>
      <c r="C1499" s="91">
        <f>$N$1491-$L$1491+1</f>
        <v>30</v>
      </c>
      <c r="D1499" s="92">
        <v>1.3413999999999999</v>
      </c>
      <c r="E1499" s="93">
        <v>4</v>
      </c>
      <c r="F1499" s="94">
        <f t="shared" si="267"/>
        <v>4</v>
      </c>
      <c r="H1499" s="95">
        <v>1</v>
      </c>
      <c r="I1499" s="96">
        <v>4</v>
      </c>
      <c r="J1499" s="97">
        <f t="shared" si="268"/>
        <v>4</v>
      </c>
      <c r="L1499" s="98">
        <v>1</v>
      </c>
      <c r="M1499" s="99">
        <v>4</v>
      </c>
      <c r="N1499" s="100">
        <f t="shared" si="269"/>
        <v>4</v>
      </c>
    </row>
    <row r="1500" spans="1:30" x14ac:dyDescent="0.2">
      <c r="A1500" s="89" t="s">
        <v>140</v>
      </c>
      <c r="B1500" s="90">
        <v>30</v>
      </c>
      <c r="C1500" s="91">
        <f>$N$1491-$L$1491+1</f>
        <v>30</v>
      </c>
      <c r="D1500" s="92">
        <v>0.5736</v>
      </c>
      <c r="E1500" s="93">
        <v>1.274E-2</v>
      </c>
      <c r="F1500" s="94">
        <f t="shared" si="267"/>
        <v>0.38</v>
      </c>
      <c r="H1500" s="95">
        <v>30</v>
      </c>
      <c r="I1500" s="96">
        <v>1.274E-2</v>
      </c>
      <c r="J1500" s="97">
        <f t="shared" si="268"/>
        <v>0.38</v>
      </c>
      <c r="L1500" s="98">
        <v>30</v>
      </c>
      <c r="M1500" s="99">
        <v>6.2899999999999996E-3</v>
      </c>
      <c r="N1500" s="100">
        <f t="shared" si="269"/>
        <v>0.19</v>
      </c>
    </row>
    <row r="1501" spans="1:30" x14ac:dyDescent="0.2">
      <c r="A1501" s="89" t="s">
        <v>141</v>
      </c>
      <c r="B1501" s="90">
        <v>6.78</v>
      </c>
      <c r="C1501" s="103"/>
      <c r="D1501" s="92">
        <v>0.2772</v>
      </c>
      <c r="E1501" s="93">
        <v>1</v>
      </c>
      <c r="F1501" s="94">
        <f t="shared" si="267"/>
        <v>6.78</v>
      </c>
      <c r="H1501" s="95">
        <v>7.9</v>
      </c>
      <c r="I1501" s="96">
        <v>1</v>
      </c>
      <c r="J1501" s="97">
        <f t="shared" si="268"/>
        <v>7.9</v>
      </c>
      <c r="L1501" s="98">
        <v>6.81</v>
      </c>
      <c r="M1501" s="99">
        <v>1</v>
      </c>
      <c r="N1501" s="100">
        <f t="shared" si="269"/>
        <v>6.81</v>
      </c>
    </row>
    <row r="1502" spans="1:30" x14ac:dyDescent="0.2">
      <c r="A1502" s="106" t="s">
        <v>142</v>
      </c>
      <c r="F1502" s="107">
        <f>ROUND((SUM(F1494:F1501)-F1501)*1.1+F1501,2)</f>
        <v>157.33000000000001</v>
      </c>
      <c r="J1502" s="108">
        <f>ROUND(SUM(J1494:J1501),2)</f>
        <v>166.78</v>
      </c>
      <c r="N1502" s="109">
        <f>ROUND(SUM(N1494:N1501),2)</f>
        <v>144.01</v>
      </c>
    </row>
    <row r="1503" spans="1:30" x14ac:dyDescent="0.2">
      <c r="A1503" s="78" t="s">
        <v>143</v>
      </c>
      <c r="B1503" s="110">
        <f>IF((F1498+F1497+F1496+F1494+F1495)=0,"",((F1498+F1497+F1496+F1494+F1495)-$AB$1496)/(F1498+F1497+F1496+F1494+F1495))</f>
        <v>-4.447850807669089E-2</v>
      </c>
      <c r="D1503" s="139" t="str">
        <f>IF(B1503="","SIN PC",IF(B1503&gt;=0.3,"APROBAR",IF(B1503&gt;=0.2,"REVISAR","RECHAZAR")))</f>
        <v>RECHAZAR</v>
      </c>
      <c r="E1503" s="139"/>
      <c r="F1503" s="139"/>
      <c r="AD1503">
        <f>SUM(F1496:F1498)-55.7214</f>
        <v>-1.4000000000038426E-3</v>
      </c>
    </row>
    <row r="1505" spans="1:30" x14ac:dyDescent="0.2">
      <c r="A1505" s="137" t="s">
        <v>1347</v>
      </c>
      <c r="B1505" s="137"/>
      <c r="C1505" s="137"/>
      <c r="D1505" s="137"/>
      <c r="E1505" s="137"/>
      <c r="F1505" s="137"/>
      <c r="H1505" s="137" t="s">
        <v>1348</v>
      </c>
      <c r="I1505" s="137"/>
      <c r="J1505" s="137"/>
      <c r="K1505" s="137"/>
      <c r="L1505" s="76">
        <v>46113</v>
      </c>
      <c r="M1505" s="77" t="s">
        <v>607</v>
      </c>
      <c r="N1505" s="76">
        <v>46142</v>
      </c>
      <c r="R1505" s="138" t="s">
        <v>110</v>
      </c>
      <c r="S1505" s="138"/>
      <c r="T1505" s="138"/>
      <c r="U1505" s="138"/>
      <c r="V1505" s="138"/>
    </row>
    <row r="1506" spans="1:30" x14ac:dyDescent="0.2">
      <c r="A1506" s="78" t="s">
        <v>111</v>
      </c>
      <c r="B1506" s="79" t="s">
        <v>112</v>
      </c>
      <c r="C1506" s="80"/>
      <c r="D1506" s="80"/>
      <c r="E1506" s="80"/>
      <c r="F1506" s="80"/>
      <c r="H1506" s="81" t="s">
        <v>1349</v>
      </c>
      <c r="I1506" s="82"/>
      <c r="J1506" s="82"/>
      <c r="L1506" s="83" t="s">
        <v>796</v>
      </c>
      <c r="M1506" s="84"/>
      <c r="N1506" s="84"/>
      <c r="R1506" s="85" t="s">
        <v>797</v>
      </c>
    </row>
    <row r="1507" spans="1:30" x14ac:dyDescent="0.2">
      <c r="B1507" s="68" t="s">
        <v>116</v>
      </c>
      <c r="C1507" s="68" t="s">
        <v>117</v>
      </c>
      <c r="D1507" s="68" t="s">
        <v>118</v>
      </c>
      <c r="E1507" s="68" t="s">
        <v>119</v>
      </c>
      <c r="F1507" s="68" t="s">
        <v>120</v>
      </c>
      <c r="H1507" s="86" t="s">
        <v>116</v>
      </c>
      <c r="I1507" s="86" t="s">
        <v>119</v>
      </c>
      <c r="J1507" s="86" t="s">
        <v>120</v>
      </c>
      <c r="L1507" s="87" t="s">
        <v>116</v>
      </c>
      <c r="M1507" s="87" t="s">
        <v>119</v>
      </c>
      <c r="N1507" s="87" t="s">
        <v>120</v>
      </c>
      <c r="R1507" s="88" t="s">
        <v>764</v>
      </c>
    </row>
    <row r="1508" spans="1:30" x14ac:dyDescent="0.2">
      <c r="A1508" s="89" t="s">
        <v>122</v>
      </c>
      <c r="B1508" s="90">
        <v>5.5</v>
      </c>
      <c r="C1508" s="91">
        <f>$N$1505-$L$1505+1</f>
        <v>30</v>
      </c>
      <c r="D1508" s="92">
        <v>3.40863</v>
      </c>
      <c r="E1508" s="93">
        <v>4.17</v>
      </c>
      <c r="F1508" s="94">
        <f t="shared" ref="F1508:F1515" si="270">ROUND(B1508*E1508,2)</f>
        <v>22.94</v>
      </c>
      <c r="H1508" s="95">
        <v>5.5</v>
      </c>
      <c r="I1508" s="96">
        <v>4.17</v>
      </c>
      <c r="J1508" s="97">
        <f t="shared" ref="J1508:J1515" si="271">ROUND(H1508*I1508,2)</f>
        <v>22.94</v>
      </c>
      <c r="L1508" s="119"/>
      <c r="M1508" s="119"/>
      <c r="N1508" s="119"/>
      <c r="R1508" s="101" t="s">
        <v>798</v>
      </c>
    </row>
    <row r="1509" spans="1:30" x14ac:dyDescent="0.2">
      <c r="A1509" s="89" t="s">
        <v>124</v>
      </c>
      <c r="B1509" s="90">
        <v>5.5</v>
      </c>
      <c r="C1509" s="91">
        <f>$N$1505-$L$1505+1</f>
        <v>30</v>
      </c>
      <c r="D1509" s="92">
        <v>1.44069</v>
      </c>
      <c r="E1509" s="93">
        <v>1.37</v>
      </c>
      <c r="F1509" s="94">
        <f t="shared" si="270"/>
        <v>7.54</v>
      </c>
      <c r="H1509" s="95">
        <v>5.5</v>
      </c>
      <c r="I1509" s="96">
        <v>1.37</v>
      </c>
      <c r="J1509" s="97">
        <f t="shared" si="271"/>
        <v>7.54</v>
      </c>
      <c r="L1509" s="119"/>
      <c r="M1509" s="119"/>
      <c r="N1509" s="119"/>
    </row>
    <row r="1510" spans="1:30" x14ac:dyDescent="0.2">
      <c r="A1510" s="89" t="s">
        <v>614</v>
      </c>
      <c r="B1510" s="90">
        <f>IF($P$1510&lt;&gt;"",ROUND(AA1510*(($AB$1510/(1-$P$1510))-30.47)/56.2545,2),IF('Resumen 2.0TD'!$D$3="OPTIMIZAR",AA1510,AA1510))</f>
        <v>107.426</v>
      </c>
      <c r="C1510" s="103"/>
      <c r="D1510" s="92">
        <v>0.18051</v>
      </c>
      <c r="E1510" s="93">
        <v>0.14937</v>
      </c>
      <c r="F1510" s="94">
        <f t="shared" si="270"/>
        <v>16.05</v>
      </c>
      <c r="H1510" s="95">
        <v>173.78800000000001</v>
      </c>
      <c r="I1510" s="96">
        <v>0.14937</v>
      </c>
      <c r="J1510" s="97">
        <f t="shared" si="271"/>
        <v>25.96</v>
      </c>
      <c r="L1510" s="119"/>
      <c r="M1510" s="119"/>
      <c r="N1510" s="119"/>
      <c r="O1510" s="104" t="s">
        <v>615</v>
      </c>
      <c r="P1510" s="67"/>
      <c r="AA1510">
        <v>107.426</v>
      </c>
      <c r="AB1510">
        <f>B1508*D1508+B1509*D1509+AA1510*D1510+AA1511*D1511+AA1512*D1512</f>
        <v>94.65349212000001</v>
      </c>
    </row>
    <row r="1511" spans="1:30" x14ac:dyDescent="0.2">
      <c r="A1511" s="89" t="s">
        <v>617</v>
      </c>
      <c r="B1511" s="90">
        <f>IF($P$1510&lt;&gt;"",ROUND(AA1511*(($AB$1510/(1-$P$1510))-30.47)/56.2545,2),IF('Resumen 2.0TD'!$D$3="OPTIMIZAR",AA1511,AA1511))</f>
        <v>73.147999999999996</v>
      </c>
      <c r="C1511" s="103"/>
      <c r="D1511" s="92">
        <v>0.18051</v>
      </c>
      <c r="E1511" s="93">
        <v>0.14937</v>
      </c>
      <c r="F1511" s="94">
        <f t="shared" si="270"/>
        <v>10.93</v>
      </c>
      <c r="H1511" s="95">
        <v>142.74299999999999</v>
      </c>
      <c r="I1511" s="96">
        <v>0.14937</v>
      </c>
      <c r="J1511" s="97">
        <f t="shared" si="271"/>
        <v>21.32</v>
      </c>
      <c r="L1511" s="119"/>
      <c r="M1511" s="119"/>
      <c r="N1511" s="119"/>
      <c r="O1511" s="105" t="s">
        <v>618</v>
      </c>
      <c r="R1511" s="102" t="s">
        <v>619</v>
      </c>
      <c r="AA1511">
        <v>73.147999999999996</v>
      </c>
    </row>
    <row r="1512" spans="1:30" x14ac:dyDescent="0.2">
      <c r="A1512" s="89" t="s">
        <v>620</v>
      </c>
      <c r="B1512" s="90">
        <f>IF($P$1510&lt;&gt;"",ROUND(AA1512*(($AB$1510/(1-$P$1510))-30.47)/56.2545,2),IF('Resumen 2.0TD'!$D$3="OPTIMIZAR",AA1512,AA1512))</f>
        <v>196.03800000000001</v>
      </c>
      <c r="C1512" s="103"/>
      <c r="D1512" s="92">
        <v>0.18051</v>
      </c>
      <c r="E1512" s="93">
        <v>0.14937</v>
      </c>
      <c r="F1512" s="94">
        <f t="shared" si="270"/>
        <v>29.28</v>
      </c>
      <c r="H1512" s="95">
        <v>279.84500000000003</v>
      </c>
      <c r="I1512" s="96">
        <v>0.14937</v>
      </c>
      <c r="J1512" s="97">
        <f t="shared" si="271"/>
        <v>41.8</v>
      </c>
      <c r="L1512" s="119"/>
      <c r="M1512" s="119"/>
      <c r="N1512" s="119"/>
      <c r="O1512" s="105" t="s">
        <v>621</v>
      </c>
      <c r="AA1512">
        <v>196.03800000000001</v>
      </c>
    </row>
    <row r="1513" spans="1:30" x14ac:dyDescent="0.2">
      <c r="A1513" s="89" t="s">
        <v>139</v>
      </c>
      <c r="B1513" s="90">
        <v>1</v>
      </c>
      <c r="C1513" s="91">
        <f>$N$1505-$L$1505+1</f>
        <v>30</v>
      </c>
      <c r="D1513" s="92">
        <v>0.79890000000000005</v>
      </c>
      <c r="E1513" s="93">
        <v>4</v>
      </c>
      <c r="F1513" s="94">
        <f t="shared" si="270"/>
        <v>4</v>
      </c>
      <c r="H1513" s="95">
        <v>1</v>
      </c>
      <c r="I1513" s="96">
        <v>4</v>
      </c>
      <c r="J1513" s="97">
        <f t="shared" si="271"/>
        <v>4</v>
      </c>
      <c r="L1513" s="119"/>
      <c r="M1513" s="119"/>
      <c r="N1513" s="119"/>
    </row>
    <row r="1514" spans="1:30" x14ac:dyDescent="0.2">
      <c r="A1514" s="89" t="s">
        <v>140</v>
      </c>
      <c r="B1514" s="90">
        <v>30</v>
      </c>
      <c r="C1514" s="91">
        <f>$N$1505-$L$1505+1</f>
        <v>30</v>
      </c>
      <c r="D1514" s="92">
        <v>0.5736</v>
      </c>
      <c r="E1514" s="93">
        <v>1.274E-2</v>
      </c>
      <c r="F1514" s="94">
        <f t="shared" si="270"/>
        <v>0.38</v>
      </c>
      <c r="H1514" s="95">
        <v>30</v>
      </c>
      <c r="I1514" s="96">
        <v>1.274E-2</v>
      </c>
      <c r="J1514" s="97">
        <f t="shared" si="271"/>
        <v>0.38</v>
      </c>
      <c r="L1514" s="119"/>
      <c r="M1514" s="119"/>
      <c r="N1514" s="119"/>
    </row>
    <row r="1515" spans="1:30" x14ac:dyDescent="0.2">
      <c r="A1515" s="89" t="s">
        <v>141</v>
      </c>
      <c r="B1515" s="90">
        <v>4.4400000000000004</v>
      </c>
      <c r="C1515" s="103"/>
      <c r="D1515" s="92">
        <v>0.27561999999999998</v>
      </c>
      <c r="E1515" s="93">
        <v>1</v>
      </c>
      <c r="F1515" s="94">
        <f t="shared" si="270"/>
        <v>4.4400000000000004</v>
      </c>
      <c r="H1515" s="95">
        <v>6.12</v>
      </c>
      <c r="I1515" s="96">
        <v>1</v>
      </c>
      <c r="J1515" s="97">
        <f t="shared" si="271"/>
        <v>6.12</v>
      </c>
      <c r="L1515" s="119"/>
      <c r="M1515" s="119"/>
      <c r="N1515" s="119"/>
    </row>
    <row r="1516" spans="1:30" x14ac:dyDescent="0.2">
      <c r="A1516" s="106" t="s">
        <v>142</v>
      </c>
      <c r="F1516" s="107">
        <f>ROUND((SUM(F1508:F1515)-F1515)*1.1+F1515,2)</f>
        <v>104.67</v>
      </c>
      <c r="J1516" s="108">
        <f>ROUND(SUM(J1508:J1515),2)</f>
        <v>130.06</v>
      </c>
      <c r="N1516" s="120"/>
    </row>
    <row r="1517" spans="1:30" x14ac:dyDescent="0.2">
      <c r="A1517" s="78" t="s">
        <v>143</v>
      </c>
      <c r="B1517" s="110">
        <f>IF((F1512+F1511+F1510+F1508+F1509)=0,"",((F1512+F1511+F1510+F1508+F1509)-$AB$1510)/(F1512+F1511+F1510+F1508+F1509))</f>
        <v>-9.1232327876412264E-2</v>
      </c>
      <c r="D1517" s="139" t="str">
        <f>IF(B1517="","SIN PC",IF(B1517&gt;=0.3,"APROBAR",IF(B1517&gt;=0.2,"REVISAR","RECHAZAR")))</f>
        <v>RECHAZAR</v>
      </c>
      <c r="E1517" s="139"/>
      <c r="F1517" s="139"/>
      <c r="AD1517">
        <f>SUM(F1510:F1512)-56.2545</f>
        <v>5.5000000000049454E-3</v>
      </c>
    </row>
    <row r="1519" spans="1:30" x14ac:dyDescent="0.2">
      <c r="A1519" s="137" t="s">
        <v>1350</v>
      </c>
      <c r="B1519" s="137"/>
      <c r="C1519" s="137"/>
      <c r="D1519" s="137"/>
      <c r="E1519" s="137"/>
      <c r="F1519" s="137"/>
      <c r="H1519" s="137" t="s">
        <v>1351</v>
      </c>
      <c r="I1519" s="137"/>
      <c r="J1519" s="137"/>
      <c r="K1519" s="137"/>
      <c r="L1519" s="76">
        <v>46113</v>
      </c>
      <c r="M1519" s="77" t="s">
        <v>607</v>
      </c>
      <c r="N1519" s="76">
        <v>46142</v>
      </c>
      <c r="R1519" s="138" t="s">
        <v>110</v>
      </c>
      <c r="S1519" s="138"/>
      <c r="T1519" s="138"/>
      <c r="U1519" s="138"/>
      <c r="V1519" s="138"/>
    </row>
    <row r="1520" spans="1:30" x14ac:dyDescent="0.2">
      <c r="A1520" s="78" t="s">
        <v>111</v>
      </c>
      <c r="B1520" s="79" t="s">
        <v>112</v>
      </c>
      <c r="C1520" s="80"/>
      <c r="D1520" s="80"/>
      <c r="E1520" s="80"/>
      <c r="F1520" s="80"/>
      <c r="H1520" s="81" t="s">
        <v>1352</v>
      </c>
      <c r="I1520" s="82"/>
      <c r="J1520" s="82"/>
      <c r="L1520" s="83" t="s">
        <v>1353</v>
      </c>
      <c r="M1520" s="84"/>
      <c r="N1520" s="84"/>
      <c r="R1520" s="85" t="s">
        <v>763</v>
      </c>
    </row>
    <row r="1521" spans="1:30" x14ac:dyDescent="0.2">
      <c r="B1521" s="68" t="s">
        <v>116</v>
      </c>
      <c r="C1521" s="68" t="s">
        <v>117</v>
      </c>
      <c r="D1521" s="68" t="s">
        <v>118</v>
      </c>
      <c r="E1521" s="68" t="s">
        <v>119</v>
      </c>
      <c r="F1521" s="68" t="s">
        <v>120</v>
      </c>
      <c r="H1521" s="86" t="s">
        <v>116</v>
      </c>
      <c r="I1521" s="86" t="s">
        <v>119</v>
      </c>
      <c r="J1521" s="86" t="s">
        <v>120</v>
      </c>
      <c r="L1521" s="87" t="s">
        <v>116</v>
      </c>
      <c r="M1521" s="87" t="s">
        <v>119</v>
      </c>
      <c r="N1521" s="87" t="s">
        <v>120</v>
      </c>
      <c r="R1521" s="88" t="s">
        <v>764</v>
      </c>
    </row>
    <row r="1522" spans="1:30" x14ac:dyDescent="0.2">
      <c r="A1522" s="89" t="s">
        <v>122</v>
      </c>
      <c r="B1522" s="90">
        <v>5.75</v>
      </c>
      <c r="C1522" s="91">
        <f>$N$1519-$L$1519+1</f>
        <v>30</v>
      </c>
      <c r="D1522" s="92">
        <v>3.68919</v>
      </c>
      <c r="E1522" s="93">
        <v>4.17</v>
      </c>
      <c r="F1522" s="94">
        <f t="shared" ref="F1522:F1529" si="272">ROUND(B1522*E1522,2)</f>
        <v>23.98</v>
      </c>
      <c r="H1522" s="95">
        <v>5.75</v>
      </c>
      <c r="I1522" s="96">
        <v>4.17</v>
      </c>
      <c r="J1522" s="97">
        <f t="shared" ref="J1522:J1529" si="273">ROUND(H1522*I1522,2)</f>
        <v>23.98</v>
      </c>
      <c r="L1522" s="98">
        <v>5.75</v>
      </c>
      <c r="M1522" s="99">
        <v>4.17</v>
      </c>
      <c r="N1522" s="100">
        <f t="shared" ref="N1522:N1529" si="274">ROUND(L1522*M1522,2)</f>
        <v>23.98</v>
      </c>
      <c r="R1522" s="101" t="s">
        <v>765</v>
      </c>
    </row>
    <row r="1523" spans="1:30" x14ac:dyDescent="0.2">
      <c r="A1523" s="89" t="s">
        <v>124</v>
      </c>
      <c r="B1523" s="90">
        <v>5.75</v>
      </c>
      <c r="C1523" s="91">
        <f>$N$1519-$L$1519+1</f>
        <v>30</v>
      </c>
      <c r="D1523" s="92">
        <v>1.31928</v>
      </c>
      <c r="E1523" s="93">
        <v>1.37</v>
      </c>
      <c r="F1523" s="94">
        <f t="shared" si="272"/>
        <v>7.88</v>
      </c>
      <c r="H1523" s="95">
        <v>5.75</v>
      </c>
      <c r="I1523" s="96">
        <v>1.37</v>
      </c>
      <c r="J1523" s="97">
        <f t="shared" si="273"/>
        <v>7.88</v>
      </c>
      <c r="L1523" s="98">
        <v>5.75</v>
      </c>
      <c r="M1523" s="99">
        <v>1.37</v>
      </c>
      <c r="N1523" s="100">
        <f t="shared" si="274"/>
        <v>7.88</v>
      </c>
    </row>
    <row r="1524" spans="1:30" x14ac:dyDescent="0.2">
      <c r="A1524" s="89" t="s">
        <v>614</v>
      </c>
      <c r="B1524" s="90">
        <f>IF($P$1524&lt;&gt;"",ROUND(AA1524*(($AB$1524/(1-$P$1524))-31.855)/47.8952,2),IF('Resumen 2.0TD'!$D$3="OPTIMIZAR",AA1524,AA1524))</f>
        <v>108.47199999999999</v>
      </c>
      <c r="C1524" s="103"/>
      <c r="D1524" s="92">
        <v>0.11117100000000001</v>
      </c>
      <c r="E1524" s="93">
        <v>0.14937</v>
      </c>
      <c r="F1524" s="94">
        <f t="shared" si="272"/>
        <v>16.2</v>
      </c>
      <c r="H1524" s="95">
        <v>159.08799999999999</v>
      </c>
      <c r="I1524" s="96">
        <v>0.14937</v>
      </c>
      <c r="J1524" s="97">
        <f t="shared" si="273"/>
        <v>23.76</v>
      </c>
      <c r="L1524" s="98">
        <v>92.807000000000002</v>
      </c>
      <c r="M1524" s="99">
        <v>0.14937</v>
      </c>
      <c r="N1524" s="100">
        <f t="shared" si="274"/>
        <v>13.86</v>
      </c>
      <c r="O1524" s="104" t="s">
        <v>615</v>
      </c>
      <c r="P1524" s="67"/>
      <c r="AA1524">
        <v>108.47199999999999</v>
      </c>
      <c r="AB1524">
        <f>B1522*D1522+B1523*D1523+AA1524*D1524+AA1525*D1525+AA1526*D1526</f>
        <v>64.445461308000006</v>
      </c>
    </row>
    <row r="1525" spans="1:30" x14ac:dyDescent="0.2">
      <c r="A1525" s="89" t="s">
        <v>617</v>
      </c>
      <c r="B1525" s="90">
        <f>IF($P$1524&lt;&gt;"",ROUND(AA1525*(($AB$1524/(1-$P$1524))-31.855)/47.8952,2),IF('Resumen 2.0TD'!$D$3="OPTIMIZAR",AA1525,AA1525))</f>
        <v>82.25</v>
      </c>
      <c r="C1525" s="103"/>
      <c r="D1525" s="92">
        <v>0.11117100000000001</v>
      </c>
      <c r="E1525" s="93">
        <v>0.14937</v>
      </c>
      <c r="F1525" s="94">
        <f t="shared" si="272"/>
        <v>12.29</v>
      </c>
      <c r="H1525" s="95">
        <v>125.792</v>
      </c>
      <c r="I1525" s="96">
        <v>0.14937</v>
      </c>
      <c r="J1525" s="97">
        <f t="shared" si="273"/>
        <v>18.79</v>
      </c>
      <c r="L1525" s="98">
        <v>73.801000000000002</v>
      </c>
      <c r="M1525" s="99">
        <v>0.14937</v>
      </c>
      <c r="N1525" s="100">
        <f t="shared" si="274"/>
        <v>11.02</v>
      </c>
      <c r="O1525" s="105" t="s">
        <v>618</v>
      </c>
      <c r="R1525" s="102" t="s">
        <v>619</v>
      </c>
      <c r="AA1525">
        <v>82.25</v>
      </c>
    </row>
    <row r="1526" spans="1:30" x14ac:dyDescent="0.2">
      <c r="A1526" s="89" t="s">
        <v>620</v>
      </c>
      <c r="B1526" s="90">
        <f>IF($P$1524&lt;&gt;"",ROUND(AA1526*(($AB$1524/(1-$P$1524))-31.855)/47.8952,2),IF('Resumen 2.0TD'!$D$3="OPTIMIZAR",AA1526,AA1526))</f>
        <v>129.92599999999999</v>
      </c>
      <c r="C1526" s="103"/>
      <c r="D1526" s="92">
        <v>0.11117100000000001</v>
      </c>
      <c r="E1526" s="93">
        <v>0.14937</v>
      </c>
      <c r="F1526" s="94">
        <f t="shared" si="272"/>
        <v>19.41</v>
      </c>
      <c r="H1526" s="95">
        <v>169.14500000000001</v>
      </c>
      <c r="I1526" s="96">
        <v>0.14937</v>
      </c>
      <c r="J1526" s="97">
        <f t="shared" si="273"/>
        <v>25.27</v>
      </c>
      <c r="L1526" s="98">
        <v>139.83099999999999</v>
      </c>
      <c r="M1526" s="99">
        <v>0.14937</v>
      </c>
      <c r="N1526" s="100">
        <f t="shared" si="274"/>
        <v>20.89</v>
      </c>
      <c r="O1526" s="105" t="s">
        <v>621</v>
      </c>
      <c r="AA1526">
        <v>129.92599999999999</v>
      </c>
    </row>
    <row r="1527" spans="1:30" x14ac:dyDescent="0.2">
      <c r="A1527" s="89" t="s">
        <v>139</v>
      </c>
      <c r="B1527" s="90">
        <v>1</v>
      </c>
      <c r="C1527" s="91">
        <f>$N$1519-$L$1519+1</f>
        <v>30</v>
      </c>
      <c r="D1527" s="92">
        <v>0.79890000000000005</v>
      </c>
      <c r="E1527" s="93">
        <v>4</v>
      </c>
      <c r="F1527" s="94">
        <f t="shared" si="272"/>
        <v>4</v>
      </c>
      <c r="H1527" s="95">
        <v>1</v>
      </c>
      <c r="I1527" s="96">
        <v>4</v>
      </c>
      <c r="J1527" s="97">
        <f t="shared" si="273"/>
        <v>4</v>
      </c>
      <c r="L1527" s="98">
        <v>1</v>
      </c>
      <c r="M1527" s="99">
        <v>4</v>
      </c>
      <c r="N1527" s="100">
        <f t="shared" si="274"/>
        <v>4</v>
      </c>
    </row>
    <row r="1528" spans="1:30" x14ac:dyDescent="0.2">
      <c r="A1528" s="89" t="s">
        <v>140</v>
      </c>
      <c r="B1528" s="90">
        <v>30</v>
      </c>
      <c r="C1528" s="91">
        <f>$N$1519-$L$1519+1</f>
        <v>30</v>
      </c>
      <c r="D1528" s="92">
        <v>0.5736</v>
      </c>
      <c r="E1528" s="93">
        <v>1.274E-2</v>
      </c>
      <c r="F1528" s="94">
        <f t="shared" si="272"/>
        <v>0.38</v>
      </c>
      <c r="H1528" s="95">
        <v>30</v>
      </c>
      <c r="I1528" s="96">
        <v>1.274E-2</v>
      </c>
      <c r="J1528" s="97">
        <f t="shared" si="273"/>
        <v>0.38</v>
      </c>
      <c r="L1528" s="98">
        <v>30</v>
      </c>
      <c r="M1528" s="99">
        <v>6.2899999999999996E-3</v>
      </c>
      <c r="N1528" s="100">
        <f t="shared" si="274"/>
        <v>0.19</v>
      </c>
    </row>
    <row r="1529" spans="1:30" x14ac:dyDescent="0.2">
      <c r="A1529" s="89" t="s">
        <v>141</v>
      </c>
      <c r="B1529" s="90">
        <v>4.09</v>
      </c>
      <c r="C1529" s="103"/>
      <c r="D1529" s="92">
        <v>0.27311999999999997</v>
      </c>
      <c r="E1529" s="93">
        <v>1</v>
      </c>
      <c r="F1529" s="94">
        <f t="shared" si="272"/>
        <v>4.09</v>
      </c>
      <c r="H1529" s="95">
        <v>5.0999999999999996</v>
      </c>
      <c r="I1529" s="96">
        <v>1</v>
      </c>
      <c r="J1529" s="97">
        <f t="shared" si="273"/>
        <v>5.0999999999999996</v>
      </c>
      <c r="L1529" s="98">
        <v>3.98</v>
      </c>
      <c r="M1529" s="99">
        <v>1</v>
      </c>
      <c r="N1529" s="100">
        <f t="shared" si="274"/>
        <v>3.98</v>
      </c>
    </row>
    <row r="1530" spans="1:30" x14ac:dyDescent="0.2">
      <c r="A1530" s="106" t="s">
        <v>142</v>
      </c>
      <c r="F1530" s="107">
        <f>ROUND((SUM(F1522:F1529)-F1529)*1.1+F1529,2)</f>
        <v>96.64</v>
      </c>
      <c r="J1530" s="108">
        <f>ROUND(SUM(J1522:J1529),2)</f>
        <v>109.16</v>
      </c>
      <c r="N1530" s="109">
        <f>ROUND(SUM(N1522:N1529),2)</f>
        <v>85.8</v>
      </c>
    </row>
    <row r="1531" spans="1:30" x14ac:dyDescent="0.2">
      <c r="A1531" s="78" t="s">
        <v>143</v>
      </c>
      <c r="B1531" s="110">
        <f>IF((F1526+F1525+F1524+F1522+F1523)=0,"",((F1526+F1525+F1524+F1522+F1523)-$AB$1524)/(F1526+F1525+F1524+F1522+F1523))</f>
        <v>0.19200775692076213</v>
      </c>
      <c r="D1531" s="139" t="str">
        <f>IF(B1531="","SIN PC",IF(B1531&gt;=0.3,"APROBAR",IF(B1531&gt;=0.2,"REVISAR","RECHAZAR")))</f>
        <v>RECHAZAR</v>
      </c>
      <c r="E1531" s="139"/>
      <c r="F1531" s="139"/>
      <c r="AD1531">
        <f>SUM(F1524:F1526)-47.8952</f>
        <v>4.7999999999959186E-3</v>
      </c>
    </row>
    <row r="1533" spans="1:30" x14ac:dyDescent="0.2">
      <c r="A1533" s="137" t="s">
        <v>1354</v>
      </c>
      <c r="B1533" s="137"/>
      <c r="C1533" s="137"/>
      <c r="D1533" s="137"/>
      <c r="E1533" s="137"/>
      <c r="F1533" s="137"/>
      <c r="H1533" s="137" t="s">
        <v>1355</v>
      </c>
      <c r="I1533" s="137"/>
      <c r="J1533" s="137"/>
      <c r="K1533" s="137"/>
      <c r="L1533" s="76">
        <v>46113</v>
      </c>
      <c r="M1533" s="77" t="s">
        <v>607</v>
      </c>
      <c r="N1533" s="76">
        <v>46142</v>
      </c>
      <c r="R1533" s="138" t="s">
        <v>110</v>
      </c>
      <c r="S1533" s="138"/>
      <c r="T1533" s="138"/>
      <c r="U1533" s="138"/>
      <c r="V1533" s="138"/>
    </row>
    <row r="1534" spans="1:30" x14ac:dyDescent="0.2">
      <c r="A1534" s="78" t="s">
        <v>111</v>
      </c>
      <c r="B1534" s="79" t="s">
        <v>112</v>
      </c>
      <c r="C1534" s="80"/>
      <c r="D1534" s="80"/>
      <c r="E1534" s="80"/>
      <c r="F1534" s="80"/>
      <c r="H1534" s="81" t="s">
        <v>1356</v>
      </c>
      <c r="I1534" s="82"/>
      <c r="J1534" s="82"/>
      <c r="L1534" s="83" t="s">
        <v>1357</v>
      </c>
      <c r="M1534" s="84"/>
      <c r="N1534" s="84"/>
      <c r="R1534" s="85" t="s">
        <v>1329</v>
      </c>
    </row>
    <row r="1535" spans="1:30" x14ac:dyDescent="0.2">
      <c r="B1535" s="68" t="s">
        <v>116</v>
      </c>
      <c r="C1535" s="68" t="s">
        <v>117</v>
      </c>
      <c r="D1535" s="68" t="s">
        <v>118</v>
      </c>
      <c r="E1535" s="68" t="s">
        <v>119</v>
      </c>
      <c r="F1535" s="68" t="s">
        <v>120</v>
      </c>
      <c r="H1535" s="86" t="s">
        <v>116</v>
      </c>
      <c r="I1535" s="86" t="s">
        <v>119</v>
      </c>
      <c r="J1535" s="86" t="s">
        <v>120</v>
      </c>
      <c r="L1535" s="87" t="s">
        <v>116</v>
      </c>
      <c r="M1535" s="87" t="s">
        <v>119</v>
      </c>
      <c r="N1535" s="87" t="s">
        <v>120</v>
      </c>
      <c r="R1535" s="88" t="s">
        <v>764</v>
      </c>
    </row>
    <row r="1536" spans="1:30" x14ac:dyDescent="0.2">
      <c r="A1536" s="89" t="s">
        <v>122</v>
      </c>
      <c r="B1536" s="90">
        <v>5.5</v>
      </c>
      <c r="C1536" s="91">
        <f>$N$1533-$L$1533+1</f>
        <v>30</v>
      </c>
      <c r="D1536" s="92">
        <v>3.68919</v>
      </c>
      <c r="E1536" s="93">
        <v>4.17</v>
      </c>
      <c r="F1536" s="94">
        <f t="shared" ref="F1536:F1543" si="275">ROUND(B1536*E1536,2)</f>
        <v>22.94</v>
      </c>
      <c r="H1536" s="95">
        <v>5.5</v>
      </c>
      <c r="I1536" s="96">
        <v>4.17</v>
      </c>
      <c r="J1536" s="97">
        <f t="shared" ref="J1536:J1543" si="276">ROUND(H1536*I1536,2)</f>
        <v>22.94</v>
      </c>
      <c r="L1536" s="98">
        <v>5.5</v>
      </c>
      <c r="M1536" s="99">
        <v>4.17</v>
      </c>
      <c r="N1536" s="100">
        <f t="shared" ref="N1536:N1543" si="277">ROUND(L1536*M1536,2)</f>
        <v>22.94</v>
      </c>
      <c r="R1536" s="101" t="s">
        <v>1330</v>
      </c>
    </row>
    <row r="1537" spans="1:30" x14ac:dyDescent="0.2">
      <c r="A1537" s="89" t="s">
        <v>124</v>
      </c>
      <c r="B1537" s="90">
        <v>5.5</v>
      </c>
      <c r="C1537" s="91">
        <f>$N$1533-$L$1533+1</f>
        <v>30</v>
      </c>
      <c r="D1537" s="92">
        <v>1.31928</v>
      </c>
      <c r="E1537" s="93">
        <v>1.37</v>
      </c>
      <c r="F1537" s="94">
        <f t="shared" si="275"/>
        <v>7.54</v>
      </c>
      <c r="H1537" s="95">
        <v>5.5</v>
      </c>
      <c r="I1537" s="96">
        <v>1.37</v>
      </c>
      <c r="J1537" s="97">
        <f t="shared" si="276"/>
        <v>7.54</v>
      </c>
      <c r="L1537" s="98">
        <v>5.5</v>
      </c>
      <c r="M1537" s="99">
        <v>1.37</v>
      </c>
      <c r="N1537" s="100">
        <f t="shared" si="277"/>
        <v>7.54</v>
      </c>
    </row>
    <row r="1538" spans="1:30" x14ac:dyDescent="0.2">
      <c r="A1538" s="89" t="s">
        <v>614</v>
      </c>
      <c r="B1538" s="90">
        <f>IF($P$1538&lt;&gt;"",ROUND(AA1538*(($AB$1538/(1-$P$1538))-30.47)/75.465,2),IF('Resumen 2.0TD'!$D$3="OPTIMIZAR",AA1538,AA1538))</f>
        <v>136.18299999999999</v>
      </c>
      <c r="C1538" s="103"/>
      <c r="D1538" s="92">
        <v>0.11117100000000001</v>
      </c>
      <c r="E1538" s="93">
        <v>0.14937</v>
      </c>
      <c r="F1538" s="94">
        <f t="shared" si="275"/>
        <v>20.34</v>
      </c>
      <c r="H1538" s="95">
        <v>164.27600000000001</v>
      </c>
      <c r="I1538" s="96">
        <v>0.14937</v>
      </c>
      <c r="J1538" s="97">
        <f t="shared" si="276"/>
        <v>24.54</v>
      </c>
      <c r="L1538" s="98">
        <v>197.78399999999999</v>
      </c>
      <c r="M1538" s="99">
        <v>0.14937</v>
      </c>
      <c r="N1538" s="100">
        <f t="shared" si="277"/>
        <v>29.54</v>
      </c>
      <c r="O1538" s="104" t="s">
        <v>615</v>
      </c>
      <c r="P1538" s="67"/>
      <c r="AA1538">
        <v>136.18299999999999</v>
      </c>
      <c r="AB1538">
        <f>B1536*D1536+B1537*D1537+AA1538*D1538+AA1539*D1539+AA1540*D1540</f>
        <v>83.712619962000005</v>
      </c>
    </row>
    <row r="1539" spans="1:30" x14ac:dyDescent="0.2">
      <c r="A1539" s="89" t="s">
        <v>617</v>
      </c>
      <c r="B1539" s="90">
        <f>IF($P$1538&lt;&gt;"",ROUND(AA1539*(($AB$1538/(1-$P$1538))-30.47)/75.465,2),IF('Resumen 2.0TD'!$D$3="OPTIMIZAR",AA1539,AA1539))</f>
        <v>131.98400000000001</v>
      </c>
      <c r="C1539" s="103"/>
      <c r="D1539" s="92">
        <v>0.11117100000000001</v>
      </c>
      <c r="E1539" s="93">
        <v>0.14937</v>
      </c>
      <c r="F1539" s="94">
        <f t="shared" si="275"/>
        <v>19.71</v>
      </c>
      <c r="H1539" s="95">
        <v>145.24299999999999</v>
      </c>
      <c r="I1539" s="96">
        <v>0.14937</v>
      </c>
      <c r="J1539" s="97">
        <f t="shared" si="276"/>
        <v>21.69</v>
      </c>
      <c r="L1539" s="98">
        <v>181.297</v>
      </c>
      <c r="M1539" s="99">
        <v>0.14937</v>
      </c>
      <c r="N1539" s="100">
        <f t="shared" si="277"/>
        <v>27.08</v>
      </c>
      <c r="O1539" s="105" t="s">
        <v>618</v>
      </c>
      <c r="R1539" s="102" t="s">
        <v>619</v>
      </c>
      <c r="AA1539">
        <v>131.98400000000001</v>
      </c>
    </row>
    <row r="1540" spans="1:30" x14ac:dyDescent="0.2">
      <c r="A1540" s="89" t="s">
        <v>620</v>
      </c>
      <c r="B1540" s="90">
        <f>IF($P$1538&lt;&gt;"",ROUND(AA1540*(($AB$1538/(1-$P$1538))-30.47)/75.465,2),IF('Resumen 2.0TD'!$D$3="OPTIMIZAR",AA1540,AA1540))</f>
        <v>237.05500000000001</v>
      </c>
      <c r="C1540" s="103"/>
      <c r="D1540" s="92">
        <v>0.11117100000000001</v>
      </c>
      <c r="E1540" s="93">
        <v>0.14937</v>
      </c>
      <c r="F1540" s="94">
        <f t="shared" si="275"/>
        <v>35.409999999999997</v>
      </c>
      <c r="H1540" s="95">
        <v>179.66900000000001</v>
      </c>
      <c r="I1540" s="96">
        <v>0.14937</v>
      </c>
      <c r="J1540" s="97">
        <f t="shared" si="276"/>
        <v>26.84</v>
      </c>
      <c r="L1540" s="98">
        <v>289.69900000000001</v>
      </c>
      <c r="M1540" s="99">
        <v>0.14937</v>
      </c>
      <c r="N1540" s="100">
        <f t="shared" si="277"/>
        <v>43.27</v>
      </c>
      <c r="O1540" s="105" t="s">
        <v>621</v>
      </c>
      <c r="AA1540">
        <v>237.05500000000001</v>
      </c>
    </row>
    <row r="1541" spans="1:30" x14ac:dyDescent="0.2">
      <c r="A1541" s="89" t="s">
        <v>139</v>
      </c>
      <c r="B1541" s="90">
        <v>1</v>
      </c>
      <c r="C1541" s="91">
        <f>$N$1533-$L$1533+1</f>
        <v>30</v>
      </c>
      <c r="D1541" s="92">
        <v>0.79890000000000005</v>
      </c>
      <c r="E1541" s="93">
        <v>4</v>
      </c>
      <c r="F1541" s="94">
        <f t="shared" si="275"/>
        <v>4</v>
      </c>
      <c r="H1541" s="95">
        <v>1</v>
      </c>
      <c r="I1541" s="96">
        <v>4</v>
      </c>
      <c r="J1541" s="97">
        <f t="shared" si="276"/>
        <v>4</v>
      </c>
      <c r="L1541" s="98">
        <v>1</v>
      </c>
      <c r="M1541" s="99">
        <v>4</v>
      </c>
      <c r="N1541" s="100">
        <f t="shared" si="277"/>
        <v>4</v>
      </c>
    </row>
    <row r="1542" spans="1:30" x14ac:dyDescent="0.2">
      <c r="A1542" s="89" t="s">
        <v>140</v>
      </c>
      <c r="B1542" s="90">
        <v>30</v>
      </c>
      <c r="C1542" s="91">
        <f>$N$1533-$L$1533+1</f>
        <v>30</v>
      </c>
      <c r="D1542" s="92">
        <v>0.5736</v>
      </c>
      <c r="E1542" s="93">
        <v>1.274E-2</v>
      </c>
      <c r="F1542" s="94">
        <f t="shared" si="275"/>
        <v>0.38</v>
      </c>
      <c r="H1542" s="95">
        <v>30</v>
      </c>
      <c r="I1542" s="96">
        <v>1.274E-2</v>
      </c>
      <c r="J1542" s="97">
        <f t="shared" si="276"/>
        <v>0.38</v>
      </c>
      <c r="L1542" s="98">
        <v>30</v>
      </c>
      <c r="M1542" s="99">
        <v>6.2899999999999996E-3</v>
      </c>
      <c r="N1542" s="100">
        <f t="shared" si="277"/>
        <v>0.19</v>
      </c>
    </row>
    <row r="1543" spans="1:30" x14ac:dyDescent="0.2">
      <c r="A1543" s="89" t="s">
        <v>141</v>
      </c>
      <c r="B1543" s="90">
        <v>5.42</v>
      </c>
      <c r="C1543" s="103"/>
      <c r="D1543" s="92">
        <v>0.27311999999999997</v>
      </c>
      <c r="E1543" s="93">
        <v>1</v>
      </c>
      <c r="F1543" s="94">
        <f t="shared" si="275"/>
        <v>5.42</v>
      </c>
      <c r="H1543" s="95">
        <v>5.3</v>
      </c>
      <c r="I1543" s="96">
        <v>1</v>
      </c>
      <c r="J1543" s="97">
        <f t="shared" si="276"/>
        <v>5.3</v>
      </c>
      <c r="L1543" s="98">
        <v>6.67</v>
      </c>
      <c r="M1543" s="99">
        <v>1</v>
      </c>
      <c r="N1543" s="100">
        <f t="shared" si="277"/>
        <v>6.67</v>
      </c>
    </row>
    <row r="1544" spans="1:30" x14ac:dyDescent="0.2">
      <c r="A1544" s="106" t="s">
        <v>142</v>
      </c>
      <c r="F1544" s="107">
        <f>ROUND((SUM(F1536:F1543)-F1543)*1.1+F1543,2)</f>
        <v>126.77</v>
      </c>
      <c r="J1544" s="108">
        <f>ROUND(SUM(J1536:J1543),2)</f>
        <v>113.23</v>
      </c>
      <c r="N1544" s="109">
        <f>ROUND(SUM(N1536:N1543),2)</f>
        <v>141.22999999999999</v>
      </c>
    </row>
    <row r="1545" spans="1:30" x14ac:dyDescent="0.2">
      <c r="A1545" s="78" t="s">
        <v>143</v>
      </c>
      <c r="B1545" s="110">
        <f>IF((F1540+F1539+F1538+F1536+F1537)=0,"",((F1540+F1539+F1538+F1536+F1537)-$AB$1538)/(F1540+F1539+F1538+F1536+F1537))</f>
        <v>0.20981102546724553</v>
      </c>
      <c r="D1545" s="139" t="str">
        <f>IF(B1545="","SIN PC",IF(B1545&gt;=0.3,"APROBAR",IF(B1545&gt;=0.2,"REVISAR","RECHAZAR")))</f>
        <v>REVISAR</v>
      </c>
      <c r="E1545" s="139"/>
      <c r="F1545" s="139"/>
      <c r="AD1545">
        <f>SUM(F1538:F1540)-75.465</f>
        <v>-5.0000000000096634E-3</v>
      </c>
    </row>
    <row r="1547" spans="1:30" x14ac:dyDescent="0.2">
      <c r="A1547" s="137" t="s">
        <v>1358</v>
      </c>
      <c r="B1547" s="137"/>
      <c r="C1547" s="137"/>
      <c r="D1547" s="137"/>
      <c r="E1547" s="137"/>
      <c r="F1547" s="137"/>
      <c r="H1547" s="137" t="s">
        <v>1359</v>
      </c>
      <c r="I1547" s="137"/>
      <c r="J1547" s="137"/>
      <c r="K1547" s="137"/>
      <c r="L1547" s="76">
        <v>46113</v>
      </c>
      <c r="M1547" s="77" t="s">
        <v>607</v>
      </c>
      <c r="N1547" s="76">
        <v>46142</v>
      </c>
      <c r="R1547" s="138" t="s">
        <v>110</v>
      </c>
      <c r="S1547" s="138"/>
      <c r="T1547" s="138"/>
      <c r="U1547" s="138"/>
      <c r="V1547" s="138"/>
    </row>
    <row r="1548" spans="1:30" x14ac:dyDescent="0.2">
      <c r="A1548" s="78" t="s">
        <v>111</v>
      </c>
      <c r="B1548" s="79" t="s">
        <v>112</v>
      </c>
      <c r="C1548" s="80"/>
      <c r="D1548" s="80"/>
      <c r="E1548" s="80"/>
      <c r="F1548" s="80"/>
      <c r="H1548" s="81" t="s">
        <v>1360</v>
      </c>
      <c r="I1548" s="82"/>
      <c r="J1548" s="82"/>
      <c r="L1548" s="83" t="s">
        <v>796</v>
      </c>
      <c r="M1548" s="84"/>
      <c r="N1548" s="84"/>
      <c r="R1548" s="85" t="s">
        <v>797</v>
      </c>
    </row>
    <row r="1549" spans="1:30" x14ac:dyDescent="0.2">
      <c r="B1549" s="68" t="s">
        <v>116</v>
      </c>
      <c r="C1549" s="68" t="s">
        <v>117</v>
      </c>
      <c r="D1549" s="68" t="s">
        <v>118</v>
      </c>
      <c r="E1549" s="68" t="s">
        <v>119</v>
      </c>
      <c r="F1549" s="68" t="s">
        <v>120</v>
      </c>
      <c r="H1549" s="86" t="s">
        <v>116</v>
      </c>
      <c r="I1549" s="86" t="s">
        <v>119</v>
      </c>
      <c r="J1549" s="86" t="s">
        <v>120</v>
      </c>
      <c r="L1549" s="87" t="s">
        <v>116</v>
      </c>
      <c r="M1549" s="87" t="s">
        <v>119</v>
      </c>
      <c r="N1549" s="87" t="s">
        <v>120</v>
      </c>
      <c r="R1549" s="88" t="s">
        <v>764</v>
      </c>
    </row>
    <row r="1550" spans="1:30" x14ac:dyDescent="0.2">
      <c r="A1550" s="89" t="s">
        <v>122</v>
      </c>
      <c r="B1550" s="90">
        <v>9.1999999999999993</v>
      </c>
      <c r="C1550" s="91">
        <f>$N$1547-$L$1547+1</f>
        <v>30</v>
      </c>
      <c r="D1550" s="92">
        <v>3.68919</v>
      </c>
      <c r="E1550" s="93">
        <v>3.99</v>
      </c>
      <c r="F1550" s="94">
        <f t="shared" ref="F1550:F1557" si="278">ROUND(B1550*E1550,2)</f>
        <v>36.71</v>
      </c>
      <c r="H1550" s="95">
        <v>9.1999999999999993</v>
      </c>
      <c r="I1550" s="96">
        <v>3.99</v>
      </c>
      <c r="J1550" s="97">
        <f t="shared" ref="J1550:J1557" si="279">ROUND(H1550*I1550,2)</f>
        <v>36.71</v>
      </c>
      <c r="L1550" s="119"/>
      <c r="M1550" s="119"/>
      <c r="N1550" s="119"/>
      <c r="R1550" s="101" t="s">
        <v>798</v>
      </c>
    </row>
    <row r="1551" spans="1:30" x14ac:dyDescent="0.2">
      <c r="A1551" s="89" t="s">
        <v>124</v>
      </c>
      <c r="B1551" s="90">
        <v>9.1999999999999993</v>
      </c>
      <c r="C1551" s="91">
        <f>$N$1547-$L$1547+1</f>
        <v>30</v>
      </c>
      <c r="D1551" s="92">
        <v>1.31928</v>
      </c>
      <c r="E1551" s="93">
        <v>1.37</v>
      </c>
      <c r="F1551" s="94">
        <f t="shared" si="278"/>
        <v>12.6</v>
      </c>
      <c r="H1551" s="95">
        <v>9.1999999999999993</v>
      </c>
      <c r="I1551" s="96">
        <v>1.37</v>
      </c>
      <c r="J1551" s="97">
        <f t="shared" si="279"/>
        <v>12.6</v>
      </c>
      <c r="L1551" s="119"/>
      <c r="M1551" s="119"/>
      <c r="N1551" s="119"/>
    </row>
    <row r="1552" spans="1:30" x14ac:dyDescent="0.2">
      <c r="A1552" s="89" t="s">
        <v>614</v>
      </c>
      <c r="B1552" s="90">
        <f>IF($P$1552&lt;&gt;"",ROUND(AA1552*(($AB$1552/(1-$P$1552))-49.312)/31.0952,2),IF('Resumen 2.0TD'!$D$3="OPTIMIZAR",AA1552,AA1552))</f>
        <v>49.506999999999998</v>
      </c>
      <c r="C1552" s="103"/>
      <c r="D1552" s="92">
        <v>0.11117100000000001</v>
      </c>
      <c r="E1552" s="93">
        <v>0.129</v>
      </c>
      <c r="F1552" s="94">
        <f t="shared" si="278"/>
        <v>6.39</v>
      </c>
      <c r="H1552" s="95">
        <v>97.524000000000001</v>
      </c>
      <c r="I1552" s="96">
        <v>0.129</v>
      </c>
      <c r="J1552" s="97">
        <f t="shared" si="279"/>
        <v>12.58</v>
      </c>
      <c r="L1552" s="119"/>
      <c r="M1552" s="119"/>
      <c r="N1552" s="119"/>
      <c r="O1552" s="104" t="s">
        <v>615</v>
      </c>
      <c r="P1552" s="67"/>
      <c r="AA1552">
        <v>49.506999999999998</v>
      </c>
      <c r="AB1552">
        <f>B1550*D1550+B1551*D1551+AA1552*D1552+AA1553*D1553+AA1554*D1554</f>
        <v>72.875471207999993</v>
      </c>
    </row>
    <row r="1553" spans="1:30" x14ac:dyDescent="0.2">
      <c r="A1553" s="89" t="s">
        <v>617</v>
      </c>
      <c r="B1553" s="90">
        <f>IF($P$1552&lt;&gt;"",ROUND(AA1553*(($AB$1552/(1-$P$1552))-49.312)/31.0952,2),IF('Resumen 2.0TD'!$D$3="OPTIMIZAR",AA1553,AA1553))</f>
        <v>70.046999999999997</v>
      </c>
      <c r="C1553" s="103"/>
      <c r="D1553" s="92">
        <v>0.11117100000000001</v>
      </c>
      <c r="E1553" s="93">
        <v>0.129</v>
      </c>
      <c r="F1553" s="94">
        <f t="shared" si="278"/>
        <v>9.0399999999999991</v>
      </c>
      <c r="H1553" s="95">
        <v>80.905000000000001</v>
      </c>
      <c r="I1553" s="96">
        <v>0.129</v>
      </c>
      <c r="J1553" s="97">
        <f t="shared" si="279"/>
        <v>10.44</v>
      </c>
      <c r="L1553" s="119"/>
      <c r="M1553" s="119"/>
      <c r="N1553" s="119"/>
      <c r="O1553" s="105" t="s">
        <v>618</v>
      </c>
      <c r="R1553" s="102" t="s">
        <v>619</v>
      </c>
      <c r="AA1553">
        <v>70.046999999999997</v>
      </c>
    </row>
    <row r="1554" spans="1:30" x14ac:dyDescent="0.2">
      <c r="A1554" s="89" t="s">
        <v>620</v>
      </c>
      <c r="B1554" s="90">
        <f>IF($P$1552&lt;&gt;"",ROUND(AA1554*(($AB$1552/(1-$P$1552))-49.312)/31.0952,2),IF('Resumen 2.0TD'!$D$3="OPTIMIZAR",AA1554,AA1554))</f>
        <v>121.494</v>
      </c>
      <c r="C1554" s="103"/>
      <c r="D1554" s="92">
        <v>0.11117100000000001</v>
      </c>
      <c r="E1554" s="93">
        <v>0.129</v>
      </c>
      <c r="F1554" s="94">
        <f t="shared" si="278"/>
        <v>15.67</v>
      </c>
      <c r="H1554" s="95">
        <v>85.521000000000001</v>
      </c>
      <c r="I1554" s="96">
        <v>0.129</v>
      </c>
      <c r="J1554" s="97">
        <f t="shared" si="279"/>
        <v>11.03</v>
      </c>
      <c r="L1554" s="119"/>
      <c r="M1554" s="119"/>
      <c r="N1554" s="119"/>
      <c r="O1554" s="105" t="s">
        <v>621</v>
      </c>
      <c r="AA1554">
        <v>121.494</v>
      </c>
    </row>
    <row r="1555" spans="1:30" x14ac:dyDescent="0.2">
      <c r="A1555" s="89" t="s">
        <v>139</v>
      </c>
      <c r="B1555" s="90">
        <v>1</v>
      </c>
      <c r="C1555" s="91">
        <f>$N$1547-$L$1547+1</f>
        <v>30</v>
      </c>
      <c r="D1555" s="92">
        <v>0.79890000000000005</v>
      </c>
      <c r="E1555" s="93">
        <v>1</v>
      </c>
      <c r="F1555" s="94">
        <f t="shared" si="278"/>
        <v>1</v>
      </c>
      <c r="H1555" s="95">
        <v>1</v>
      </c>
      <c r="I1555" s="96">
        <v>1</v>
      </c>
      <c r="J1555" s="97">
        <f t="shared" si="279"/>
        <v>1</v>
      </c>
      <c r="L1555" s="119"/>
      <c r="M1555" s="119"/>
      <c r="N1555" s="119"/>
    </row>
    <row r="1556" spans="1:30" x14ac:dyDescent="0.2">
      <c r="A1556" s="89" t="s">
        <v>140</v>
      </c>
      <c r="B1556" s="90">
        <v>30</v>
      </c>
      <c r="C1556" s="91">
        <f>$N$1547-$L$1547+1</f>
        <v>30</v>
      </c>
      <c r="D1556" s="92">
        <v>0.5736</v>
      </c>
      <c r="E1556" s="93">
        <v>1.274E-2</v>
      </c>
      <c r="F1556" s="94">
        <f t="shared" si="278"/>
        <v>0.38</v>
      </c>
      <c r="H1556" s="95">
        <v>30</v>
      </c>
      <c r="I1556" s="96">
        <v>1.274E-2</v>
      </c>
      <c r="J1556" s="97">
        <f t="shared" si="279"/>
        <v>0.38</v>
      </c>
      <c r="L1556" s="119"/>
      <c r="M1556" s="119"/>
      <c r="N1556" s="119"/>
    </row>
    <row r="1557" spans="1:30" x14ac:dyDescent="0.2">
      <c r="A1557" s="89" t="s">
        <v>141</v>
      </c>
      <c r="B1557" s="90">
        <v>4.2</v>
      </c>
      <c r="C1557" s="103"/>
      <c r="D1557" s="92">
        <v>2.6710000000000001E-2</v>
      </c>
      <c r="E1557" s="93">
        <v>1</v>
      </c>
      <c r="F1557" s="94">
        <f t="shared" si="278"/>
        <v>4.2</v>
      </c>
      <c r="H1557" s="95">
        <v>4.3499999999999996</v>
      </c>
      <c r="I1557" s="96">
        <v>1</v>
      </c>
      <c r="J1557" s="97">
        <f t="shared" si="279"/>
        <v>4.3499999999999996</v>
      </c>
      <c r="L1557" s="119"/>
      <c r="M1557" s="119"/>
      <c r="N1557" s="119"/>
    </row>
    <row r="1558" spans="1:30" x14ac:dyDescent="0.2">
      <c r="A1558" s="106" t="s">
        <v>142</v>
      </c>
      <c r="F1558" s="107">
        <f>ROUND((SUM(F1550:F1557)-F1557)*1.1+F1557,2)</f>
        <v>94.17</v>
      </c>
      <c r="J1558" s="108">
        <f>ROUND(SUM(J1550:J1557),2)</f>
        <v>89.09</v>
      </c>
      <c r="N1558" s="120"/>
    </row>
    <row r="1559" spans="1:30" x14ac:dyDescent="0.2">
      <c r="A1559" s="78" t="s">
        <v>143</v>
      </c>
      <c r="B1559" s="110">
        <f>IF((F1554+F1553+F1552+F1550+F1551)=0,"",((F1554+F1553+F1552+F1550+F1551)-$AB$1552)/(F1554+F1553+F1552+F1550+F1551))</f>
        <v>9.3701390274841478E-2</v>
      </c>
      <c r="D1559" s="139" t="str">
        <f>IF(B1559="","SIN PC",IF(B1559&gt;=0.3,"APROBAR",IF(B1559&gt;=0.2,"REVISAR","RECHAZAR")))</f>
        <v>RECHAZAR</v>
      </c>
      <c r="E1559" s="139"/>
      <c r="F1559" s="139"/>
      <c r="AD1559">
        <f>SUM(F1552:F1554)-31.0952</f>
        <v>4.8000000000030241E-3</v>
      </c>
    </row>
    <row r="1561" spans="1:30" x14ac:dyDescent="0.2">
      <c r="A1561" s="137" t="s">
        <v>1361</v>
      </c>
      <c r="B1561" s="137"/>
      <c r="C1561" s="137"/>
      <c r="D1561" s="137"/>
      <c r="E1561" s="137"/>
      <c r="F1561" s="137"/>
      <c r="H1561" s="137" t="s">
        <v>1362</v>
      </c>
      <c r="I1561" s="137"/>
      <c r="J1561" s="137"/>
      <c r="K1561" s="137"/>
      <c r="L1561" s="76">
        <v>46113</v>
      </c>
      <c r="M1561" s="77" t="s">
        <v>607</v>
      </c>
      <c r="N1561" s="76">
        <v>46142</v>
      </c>
      <c r="R1561" s="138" t="s">
        <v>110</v>
      </c>
      <c r="S1561" s="138"/>
      <c r="T1561" s="138"/>
      <c r="U1561" s="138"/>
      <c r="V1561" s="138"/>
    </row>
    <row r="1562" spans="1:30" x14ac:dyDescent="0.2">
      <c r="A1562" s="78" t="s">
        <v>111</v>
      </c>
      <c r="B1562" s="79" t="s">
        <v>112</v>
      </c>
      <c r="C1562" s="80"/>
      <c r="D1562" s="80"/>
      <c r="E1562" s="80"/>
      <c r="F1562" s="80"/>
      <c r="H1562" s="81" t="s">
        <v>1363</v>
      </c>
      <c r="I1562" s="82"/>
      <c r="J1562" s="82"/>
      <c r="L1562" s="83" t="s">
        <v>796</v>
      </c>
      <c r="M1562" s="84"/>
      <c r="N1562" s="84"/>
      <c r="R1562" s="85" t="s">
        <v>1364</v>
      </c>
    </row>
    <row r="1563" spans="1:30" x14ac:dyDescent="0.2">
      <c r="B1563" s="68" t="s">
        <v>116</v>
      </c>
      <c r="C1563" s="68" t="s">
        <v>117</v>
      </c>
      <c r="D1563" s="68" t="s">
        <v>118</v>
      </c>
      <c r="E1563" s="68" t="s">
        <v>119</v>
      </c>
      <c r="F1563" s="68" t="s">
        <v>120</v>
      </c>
      <c r="H1563" s="86" t="s">
        <v>116</v>
      </c>
      <c r="I1563" s="86" t="s">
        <v>119</v>
      </c>
      <c r="J1563" s="86" t="s">
        <v>120</v>
      </c>
      <c r="L1563" s="87" t="s">
        <v>116</v>
      </c>
      <c r="M1563" s="87" t="s">
        <v>119</v>
      </c>
      <c r="N1563" s="87" t="s">
        <v>120</v>
      </c>
      <c r="R1563" s="88" t="s">
        <v>764</v>
      </c>
    </row>
    <row r="1564" spans="1:30" x14ac:dyDescent="0.2">
      <c r="A1564" s="89" t="s">
        <v>122</v>
      </c>
      <c r="B1564" s="90">
        <v>13.856</v>
      </c>
      <c r="C1564" s="91">
        <f>$N$1561-$L$1561+1</f>
        <v>30</v>
      </c>
      <c r="D1564" s="92">
        <v>3.68919</v>
      </c>
      <c r="E1564" s="93">
        <v>4.17</v>
      </c>
      <c r="F1564" s="94">
        <f t="shared" ref="F1564:F1571" si="280">ROUND(B1564*E1564,2)</f>
        <v>57.78</v>
      </c>
      <c r="H1564" s="95">
        <v>13.856</v>
      </c>
      <c r="I1564" s="96">
        <v>4.17</v>
      </c>
      <c r="J1564" s="97">
        <f t="shared" ref="J1564:J1571" si="281">ROUND(H1564*I1564,2)</f>
        <v>57.78</v>
      </c>
      <c r="L1564" s="119"/>
      <c r="M1564" s="119"/>
      <c r="N1564" s="119"/>
      <c r="R1564" s="101" t="s">
        <v>1365</v>
      </c>
    </row>
    <row r="1565" spans="1:30" x14ac:dyDescent="0.2">
      <c r="A1565" s="89" t="s">
        <v>124</v>
      </c>
      <c r="B1565" s="90">
        <v>13.856</v>
      </c>
      <c r="C1565" s="91">
        <f>$N$1561-$L$1561+1</f>
        <v>30</v>
      </c>
      <c r="D1565" s="92">
        <v>1.31928</v>
      </c>
      <c r="E1565" s="93">
        <v>1.37</v>
      </c>
      <c r="F1565" s="94">
        <f t="shared" si="280"/>
        <v>18.98</v>
      </c>
      <c r="H1565" s="95">
        <v>13.856</v>
      </c>
      <c r="I1565" s="96">
        <v>1.37</v>
      </c>
      <c r="J1565" s="97">
        <f t="shared" si="281"/>
        <v>18.98</v>
      </c>
      <c r="L1565" s="119"/>
      <c r="M1565" s="119"/>
      <c r="N1565" s="119"/>
    </row>
    <row r="1566" spans="1:30" x14ac:dyDescent="0.2">
      <c r="A1566" s="89" t="s">
        <v>614</v>
      </c>
      <c r="B1566" s="90">
        <f>IF($P$1566&lt;&gt;"",ROUND(AA1566*(($AB$1566/(1-$P$1566))-76.7622)/7.0925,2),IF('Resumen 2.0TD'!$D$3="OPTIMIZAR",AA1566,AA1566))</f>
        <v>0.154</v>
      </c>
      <c r="C1566" s="103"/>
      <c r="D1566" s="92">
        <v>0.11117100000000001</v>
      </c>
      <c r="E1566" s="93">
        <v>0.14937</v>
      </c>
      <c r="F1566" s="94">
        <f t="shared" si="280"/>
        <v>0.02</v>
      </c>
      <c r="H1566" s="95">
        <v>134.417</v>
      </c>
      <c r="I1566" s="96">
        <v>0.14937</v>
      </c>
      <c r="J1566" s="97">
        <f t="shared" si="281"/>
        <v>20.079999999999998</v>
      </c>
      <c r="L1566" s="119"/>
      <c r="M1566" s="119"/>
      <c r="N1566" s="119"/>
      <c r="O1566" s="104" t="s">
        <v>615</v>
      </c>
      <c r="P1566" s="67"/>
      <c r="AA1566">
        <v>0.154</v>
      </c>
      <c r="AB1566">
        <f>B1564*D1564+B1565*D1565+AA1566*D1566+AA1567*D1567+AA1568*D1568</f>
        <v>74.676092913000005</v>
      </c>
    </row>
    <row r="1567" spans="1:30" x14ac:dyDescent="0.2">
      <c r="A1567" s="89" t="s">
        <v>617</v>
      </c>
      <c r="B1567" s="90">
        <f>IF($P$1566&lt;&gt;"",ROUND(AA1567*(($AB$1566/(1-$P$1566))-76.7622)/7.0925,2),IF('Resumen 2.0TD'!$D$3="OPTIMIZAR",AA1567,AA1567))</f>
        <v>4.6870000000000003</v>
      </c>
      <c r="C1567" s="103"/>
      <c r="D1567" s="92">
        <v>0.11117100000000001</v>
      </c>
      <c r="E1567" s="93">
        <v>0.14937</v>
      </c>
      <c r="F1567" s="94">
        <f t="shared" si="280"/>
        <v>0.7</v>
      </c>
      <c r="H1567" s="95">
        <v>98.519000000000005</v>
      </c>
      <c r="I1567" s="96">
        <v>0.14937</v>
      </c>
      <c r="J1567" s="97">
        <f t="shared" si="281"/>
        <v>14.72</v>
      </c>
      <c r="L1567" s="119"/>
      <c r="M1567" s="119"/>
      <c r="N1567" s="119"/>
      <c r="O1567" s="105" t="s">
        <v>618</v>
      </c>
      <c r="R1567" s="102" t="s">
        <v>619</v>
      </c>
      <c r="AA1567">
        <v>4.6870000000000003</v>
      </c>
    </row>
    <row r="1568" spans="1:30" x14ac:dyDescent="0.2">
      <c r="A1568" s="89" t="s">
        <v>620</v>
      </c>
      <c r="B1568" s="90">
        <f>IF($P$1566&lt;&gt;"",ROUND(AA1568*(($AB$1566/(1-$P$1566))-76.7622)/7.0925,2),IF('Resumen 2.0TD'!$D$3="OPTIMIZAR",AA1568,AA1568))</f>
        <v>42.642000000000003</v>
      </c>
      <c r="C1568" s="103"/>
      <c r="D1568" s="92">
        <v>0.11117100000000001</v>
      </c>
      <c r="E1568" s="93">
        <v>0.14937</v>
      </c>
      <c r="F1568" s="94">
        <f t="shared" si="280"/>
        <v>6.37</v>
      </c>
      <c r="H1568" s="95">
        <v>431.66699999999997</v>
      </c>
      <c r="I1568" s="96">
        <v>0.14937</v>
      </c>
      <c r="J1568" s="97">
        <f t="shared" si="281"/>
        <v>64.48</v>
      </c>
      <c r="L1568" s="119"/>
      <c r="M1568" s="119"/>
      <c r="N1568" s="119"/>
      <c r="O1568" s="105" t="s">
        <v>621</v>
      </c>
      <c r="AA1568">
        <v>42.642000000000003</v>
      </c>
    </row>
    <row r="1569" spans="1:30" x14ac:dyDescent="0.2">
      <c r="A1569" s="89" t="s">
        <v>139</v>
      </c>
      <c r="B1569" s="90">
        <v>1</v>
      </c>
      <c r="C1569" s="91">
        <f>$N$1561-$L$1561+1</f>
        <v>30</v>
      </c>
      <c r="D1569" s="92">
        <v>1.3413999999999999</v>
      </c>
      <c r="E1569" s="93">
        <v>4</v>
      </c>
      <c r="F1569" s="94">
        <f t="shared" si="280"/>
        <v>4</v>
      </c>
      <c r="H1569" s="95">
        <v>1</v>
      </c>
      <c r="I1569" s="96">
        <v>4</v>
      </c>
      <c r="J1569" s="97">
        <f t="shared" si="281"/>
        <v>4</v>
      </c>
      <c r="L1569" s="119"/>
      <c r="M1569" s="119"/>
      <c r="N1569" s="119"/>
    </row>
    <row r="1570" spans="1:30" x14ac:dyDescent="0.2">
      <c r="A1570" s="89" t="s">
        <v>140</v>
      </c>
      <c r="B1570" s="90">
        <v>30</v>
      </c>
      <c r="C1570" s="91">
        <f>$N$1561-$L$1561+1</f>
        <v>30</v>
      </c>
      <c r="D1570" s="92">
        <v>0.5736</v>
      </c>
      <c r="E1570" s="93">
        <v>1.274E-2</v>
      </c>
      <c r="F1570" s="94">
        <f t="shared" si="280"/>
        <v>0.38</v>
      </c>
      <c r="H1570" s="95">
        <v>30</v>
      </c>
      <c r="I1570" s="96">
        <v>1.274E-2</v>
      </c>
      <c r="J1570" s="97">
        <f t="shared" si="281"/>
        <v>0.38</v>
      </c>
      <c r="L1570" s="119"/>
      <c r="M1570" s="119"/>
      <c r="N1570" s="119"/>
    </row>
    <row r="1571" spans="1:30" x14ac:dyDescent="0.2">
      <c r="A1571" s="89" t="s">
        <v>141</v>
      </c>
      <c r="B1571" s="90">
        <v>4.29</v>
      </c>
      <c r="C1571" s="103"/>
      <c r="D1571" s="92">
        <v>0.27311999999999997</v>
      </c>
      <c r="E1571" s="93">
        <v>1</v>
      </c>
      <c r="F1571" s="94">
        <f t="shared" si="280"/>
        <v>4.29</v>
      </c>
      <c r="H1571" s="95">
        <v>9.01</v>
      </c>
      <c r="I1571" s="96">
        <v>1</v>
      </c>
      <c r="J1571" s="97">
        <f t="shared" si="281"/>
        <v>9.01</v>
      </c>
      <c r="L1571" s="119"/>
      <c r="M1571" s="119"/>
      <c r="N1571" s="119"/>
    </row>
    <row r="1572" spans="1:30" x14ac:dyDescent="0.2">
      <c r="A1572" s="106" t="s">
        <v>142</v>
      </c>
      <c r="F1572" s="107">
        <f>ROUND((SUM(F1564:F1571)-F1571)*1.1+F1571,2)</f>
        <v>101.34</v>
      </c>
      <c r="J1572" s="108">
        <f>ROUND(SUM(J1564:J1571),2)</f>
        <v>189.43</v>
      </c>
      <c r="N1572" s="120"/>
    </row>
    <row r="1573" spans="1:30" x14ac:dyDescent="0.2">
      <c r="A1573" s="78" t="s">
        <v>143</v>
      </c>
      <c r="B1573" s="110">
        <f>IF((F1568+F1567+F1566+F1564+F1565)=0,"",((F1568+F1567+F1566+F1564+F1565)-$AB$1566)/(F1568+F1567+F1566+F1564+F1565))</f>
        <v>0.10940855202146693</v>
      </c>
      <c r="D1573" s="139" t="str">
        <f>IF(B1573="","SIN PC",IF(B1573&gt;=0.3,"APROBAR",IF(B1573&gt;=0.2,"REVISAR","RECHAZAR")))</f>
        <v>RECHAZAR</v>
      </c>
      <c r="E1573" s="139"/>
      <c r="F1573" s="139"/>
      <c r="AD1573">
        <f>SUM(F1566:F1568)-7.0925</f>
        <v>-2.5000000000003908E-3</v>
      </c>
    </row>
    <row r="1575" spans="1:30" x14ac:dyDescent="0.2">
      <c r="A1575" s="137" t="s">
        <v>1366</v>
      </c>
      <c r="B1575" s="137"/>
      <c r="C1575" s="137"/>
      <c r="D1575" s="137"/>
      <c r="E1575" s="137"/>
      <c r="F1575" s="137"/>
      <c r="H1575" s="137" t="s">
        <v>1367</v>
      </c>
      <c r="I1575" s="137"/>
      <c r="J1575" s="137"/>
      <c r="K1575" s="137"/>
      <c r="L1575" s="76">
        <v>46113</v>
      </c>
      <c r="M1575" s="77" t="s">
        <v>607</v>
      </c>
      <c r="N1575" s="76">
        <v>46142</v>
      </c>
      <c r="R1575" s="138" t="s">
        <v>110</v>
      </c>
      <c r="S1575" s="138"/>
      <c r="T1575" s="138"/>
      <c r="U1575" s="138"/>
      <c r="V1575" s="138"/>
    </row>
    <row r="1576" spans="1:30" x14ac:dyDescent="0.2">
      <c r="A1576" s="78" t="s">
        <v>111</v>
      </c>
      <c r="B1576" s="79" t="s">
        <v>112</v>
      </c>
      <c r="C1576" s="80"/>
      <c r="D1576" s="80"/>
      <c r="E1576" s="80"/>
      <c r="F1576" s="80"/>
      <c r="H1576" s="81" t="s">
        <v>1368</v>
      </c>
      <c r="I1576" s="82"/>
      <c r="J1576" s="82"/>
      <c r="L1576" s="83" t="s">
        <v>796</v>
      </c>
      <c r="M1576" s="84"/>
      <c r="N1576" s="84"/>
      <c r="R1576" s="85" t="s">
        <v>1369</v>
      </c>
    </row>
    <row r="1577" spans="1:30" x14ac:dyDescent="0.2">
      <c r="B1577" s="68" t="s">
        <v>116</v>
      </c>
      <c r="C1577" s="68" t="s">
        <v>117</v>
      </c>
      <c r="D1577" s="68" t="s">
        <v>118</v>
      </c>
      <c r="E1577" s="68" t="s">
        <v>119</v>
      </c>
      <c r="F1577" s="68" t="s">
        <v>120</v>
      </c>
      <c r="H1577" s="86" t="s">
        <v>116</v>
      </c>
      <c r="I1577" s="86" t="s">
        <v>119</v>
      </c>
      <c r="J1577" s="86" t="s">
        <v>120</v>
      </c>
      <c r="L1577" s="87" t="s">
        <v>116</v>
      </c>
      <c r="M1577" s="87" t="s">
        <v>119</v>
      </c>
      <c r="N1577" s="87" t="s">
        <v>120</v>
      </c>
      <c r="R1577" s="88" t="s">
        <v>764</v>
      </c>
    </row>
    <row r="1578" spans="1:30" x14ac:dyDescent="0.2">
      <c r="A1578" s="89" t="s">
        <v>122</v>
      </c>
      <c r="B1578" s="90">
        <v>3.464</v>
      </c>
      <c r="C1578" s="91">
        <f>$N$1575-$L$1575+1</f>
        <v>30</v>
      </c>
      <c r="D1578" s="92">
        <v>3.68919</v>
      </c>
      <c r="E1578" s="93">
        <v>4.17</v>
      </c>
      <c r="F1578" s="94">
        <f t="shared" ref="F1578:F1585" si="282">ROUND(B1578*E1578,2)</f>
        <v>14.44</v>
      </c>
      <c r="H1578" s="95">
        <v>3.464</v>
      </c>
      <c r="I1578" s="96">
        <v>4.17</v>
      </c>
      <c r="J1578" s="97">
        <f t="shared" ref="J1578:J1585" si="283">ROUND(H1578*I1578,2)</f>
        <v>14.44</v>
      </c>
      <c r="L1578" s="119"/>
      <c r="M1578" s="119"/>
      <c r="N1578" s="119"/>
      <c r="R1578" s="101" t="s">
        <v>1370</v>
      </c>
    </row>
    <row r="1579" spans="1:30" x14ac:dyDescent="0.2">
      <c r="A1579" s="89" t="s">
        <v>124</v>
      </c>
      <c r="B1579" s="90">
        <v>3.464</v>
      </c>
      <c r="C1579" s="91">
        <f>$N$1575-$L$1575+1</f>
        <v>30</v>
      </c>
      <c r="D1579" s="92">
        <v>1.31928</v>
      </c>
      <c r="E1579" s="93">
        <v>1.37</v>
      </c>
      <c r="F1579" s="94">
        <f t="shared" si="282"/>
        <v>4.75</v>
      </c>
      <c r="H1579" s="95">
        <v>3.464</v>
      </c>
      <c r="I1579" s="96">
        <v>1.37</v>
      </c>
      <c r="J1579" s="97">
        <f t="shared" si="283"/>
        <v>4.75</v>
      </c>
      <c r="L1579" s="119"/>
      <c r="M1579" s="119"/>
      <c r="N1579" s="119"/>
    </row>
    <row r="1580" spans="1:30" x14ac:dyDescent="0.2">
      <c r="A1580" s="89" t="s">
        <v>614</v>
      </c>
      <c r="B1580" s="90">
        <f>IF($P$1580&lt;&gt;"",ROUND(AA1580*(($AB$1580/(1-$P$1580))-19.1906)/25.6155,2),IF('Resumen 2.0TD'!$D$3="OPTIMIZAR",AA1580,AA1580))</f>
        <v>75.004000000000005</v>
      </c>
      <c r="C1580" s="103"/>
      <c r="D1580" s="92">
        <v>0.11117100000000001</v>
      </c>
      <c r="E1580" s="93">
        <v>0.14937</v>
      </c>
      <c r="F1580" s="94">
        <f t="shared" si="282"/>
        <v>11.2</v>
      </c>
      <c r="H1580" s="95">
        <v>60.470999999999997</v>
      </c>
      <c r="I1580" s="96">
        <v>0.14937</v>
      </c>
      <c r="J1580" s="97">
        <f t="shared" si="283"/>
        <v>9.0299999999999994</v>
      </c>
      <c r="L1580" s="119"/>
      <c r="M1580" s="119"/>
      <c r="N1580" s="119"/>
      <c r="O1580" s="104" t="s">
        <v>615</v>
      </c>
      <c r="P1580" s="67"/>
      <c r="AA1580">
        <v>75.004000000000005</v>
      </c>
      <c r="AB1580">
        <f>B1578*D1578+B1579*D1579+AA1580*D1580+AA1581*D1581+AA1582*D1582</f>
        <v>36.414054870000001</v>
      </c>
    </row>
    <row r="1581" spans="1:30" x14ac:dyDescent="0.2">
      <c r="A1581" s="89" t="s">
        <v>617</v>
      </c>
      <c r="B1581" s="90">
        <f>IF($P$1580&lt;&gt;"",ROUND(AA1581*(($AB$1580/(1-$P$1580))-19.1906)/25.6155,2),IF('Resumen 2.0TD'!$D$3="OPTIMIZAR",AA1581,AA1581))</f>
        <v>75.311000000000007</v>
      </c>
      <c r="C1581" s="103"/>
      <c r="D1581" s="92">
        <v>0.11117100000000001</v>
      </c>
      <c r="E1581" s="93">
        <v>0.14937</v>
      </c>
      <c r="F1581" s="94">
        <f t="shared" si="282"/>
        <v>11.25</v>
      </c>
      <c r="H1581" s="95">
        <v>57.29</v>
      </c>
      <c r="I1581" s="96">
        <v>0.14937</v>
      </c>
      <c r="J1581" s="97">
        <f t="shared" si="283"/>
        <v>8.56</v>
      </c>
      <c r="L1581" s="119"/>
      <c r="M1581" s="119"/>
      <c r="N1581" s="119"/>
      <c r="O1581" s="105" t="s">
        <v>618</v>
      </c>
      <c r="R1581" s="102" t="s">
        <v>619</v>
      </c>
      <c r="AA1581">
        <v>75.311000000000007</v>
      </c>
    </row>
    <row r="1582" spans="1:30" x14ac:dyDescent="0.2">
      <c r="A1582" s="89" t="s">
        <v>620</v>
      </c>
      <c r="B1582" s="90">
        <f>IF($P$1580&lt;&gt;"",ROUND(AA1582*(($AB$1580/(1-$P$1580))-19.1906)/25.6155,2),IF('Resumen 2.0TD'!$D$3="OPTIMIZAR",AA1582,AA1582))</f>
        <v>21.175000000000001</v>
      </c>
      <c r="C1582" s="103"/>
      <c r="D1582" s="92">
        <v>0.11117100000000001</v>
      </c>
      <c r="E1582" s="93">
        <v>0.14937</v>
      </c>
      <c r="F1582" s="94">
        <f t="shared" si="282"/>
        <v>3.16</v>
      </c>
      <c r="H1582" s="95">
        <v>16.984000000000002</v>
      </c>
      <c r="I1582" s="96">
        <v>0.14937</v>
      </c>
      <c r="J1582" s="97">
        <f t="shared" si="283"/>
        <v>2.54</v>
      </c>
      <c r="L1582" s="119"/>
      <c r="M1582" s="119"/>
      <c r="N1582" s="119"/>
      <c r="O1582" s="105" t="s">
        <v>621</v>
      </c>
      <c r="AA1582">
        <v>21.175000000000001</v>
      </c>
    </row>
    <row r="1583" spans="1:30" x14ac:dyDescent="0.2">
      <c r="A1583" s="89" t="s">
        <v>139</v>
      </c>
      <c r="B1583" s="90">
        <v>1</v>
      </c>
      <c r="C1583" s="91">
        <f>$N$1575-$L$1575+1</f>
        <v>30</v>
      </c>
      <c r="D1583" s="92">
        <v>0.79890000000000005</v>
      </c>
      <c r="E1583" s="93">
        <v>4</v>
      </c>
      <c r="F1583" s="94">
        <f t="shared" si="282"/>
        <v>4</v>
      </c>
      <c r="H1583" s="95">
        <v>1</v>
      </c>
      <c r="I1583" s="96">
        <v>4</v>
      </c>
      <c r="J1583" s="97">
        <f t="shared" si="283"/>
        <v>4</v>
      </c>
      <c r="L1583" s="119"/>
      <c r="M1583" s="119"/>
      <c r="N1583" s="119"/>
    </row>
    <row r="1584" spans="1:30" x14ac:dyDescent="0.2">
      <c r="A1584" s="89" t="s">
        <v>140</v>
      </c>
      <c r="B1584" s="90">
        <v>30</v>
      </c>
      <c r="C1584" s="91">
        <f>$N$1575-$L$1575+1</f>
        <v>30</v>
      </c>
      <c r="D1584" s="92">
        <v>0.5736</v>
      </c>
      <c r="E1584" s="93">
        <v>1.274E-2</v>
      </c>
      <c r="F1584" s="94">
        <f t="shared" si="282"/>
        <v>0.38</v>
      </c>
      <c r="H1584" s="95">
        <v>30</v>
      </c>
      <c r="I1584" s="96">
        <v>1.274E-2</v>
      </c>
      <c r="J1584" s="97">
        <f t="shared" si="283"/>
        <v>0.38</v>
      </c>
      <c r="L1584" s="119"/>
      <c r="M1584" s="119"/>
      <c r="N1584" s="119"/>
    </row>
    <row r="1585" spans="1:30" x14ac:dyDescent="0.2">
      <c r="A1585" s="89" t="s">
        <v>141</v>
      </c>
      <c r="B1585" s="90">
        <v>2.2999999999999998</v>
      </c>
      <c r="C1585" s="103"/>
      <c r="D1585" s="92">
        <v>2.6710000000000001E-2</v>
      </c>
      <c r="E1585" s="93">
        <v>1</v>
      </c>
      <c r="F1585" s="94">
        <f t="shared" si="282"/>
        <v>2.2999999999999998</v>
      </c>
      <c r="H1585" s="95">
        <v>2.02</v>
      </c>
      <c r="I1585" s="96">
        <v>1</v>
      </c>
      <c r="J1585" s="97">
        <f t="shared" si="283"/>
        <v>2.02</v>
      </c>
      <c r="L1585" s="119"/>
      <c r="M1585" s="119"/>
      <c r="N1585" s="119"/>
    </row>
    <row r="1586" spans="1:30" x14ac:dyDescent="0.2">
      <c r="A1586" s="106" t="s">
        <v>142</v>
      </c>
      <c r="F1586" s="107">
        <f>ROUND((SUM(F1578:F1585)-F1585)*1.1+F1585,2)</f>
        <v>56.4</v>
      </c>
      <c r="J1586" s="108">
        <f>ROUND(SUM(J1578:J1585),2)</f>
        <v>45.72</v>
      </c>
      <c r="N1586" s="120"/>
    </row>
    <row r="1587" spans="1:30" x14ac:dyDescent="0.2">
      <c r="A1587" s="78" t="s">
        <v>143</v>
      </c>
      <c r="B1587" s="110">
        <f>IF((F1582+F1581+F1580+F1578+F1579)=0,"",((F1582+F1581+F1580+F1578+F1579)-$AB$1580)/(F1582+F1581+F1580+F1578+F1579))</f>
        <v>0.18718627522321421</v>
      </c>
      <c r="D1587" s="139" t="str">
        <f>IF(B1587="","SIN PC",IF(B1587&gt;=0.3,"APROBAR",IF(B1587&gt;=0.2,"REVISAR","RECHAZAR")))</f>
        <v>RECHAZAR</v>
      </c>
      <c r="E1587" s="139"/>
      <c r="F1587" s="139"/>
      <c r="AD1587">
        <f>SUM(F1580:F1582)-25.6155</f>
        <v>-5.5000000000013927E-3</v>
      </c>
    </row>
    <row r="1589" spans="1:30" x14ac:dyDescent="0.2">
      <c r="A1589" s="137" t="s">
        <v>1371</v>
      </c>
      <c r="B1589" s="137"/>
      <c r="C1589" s="137"/>
      <c r="D1589" s="137"/>
      <c r="E1589" s="137"/>
      <c r="F1589" s="137"/>
      <c r="H1589" s="137" t="s">
        <v>1372</v>
      </c>
      <c r="I1589" s="137"/>
      <c r="J1589" s="137"/>
      <c r="K1589" s="137"/>
      <c r="L1589" s="76">
        <v>46113</v>
      </c>
      <c r="M1589" s="77" t="s">
        <v>607</v>
      </c>
      <c r="N1589" s="76">
        <v>46142</v>
      </c>
      <c r="R1589" s="138" t="s">
        <v>110</v>
      </c>
      <c r="S1589" s="138"/>
      <c r="T1589" s="138"/>
      <c r="U1589" s="138"/>
      <c r="V1589" s="138"/>
    </row>
    <row r="1590" spans="1:30" x14ac:dyDescent="0.2">
      <c r="A1590" s="78" t="s">
        <v>111</v>
      </c>
      <c r="B1590" s="79" t="s">
        <v>112</v>
      </c>
      <c r="C1590" s="80"/>
      <c r="D1590" s="80"/>
      <c r="E1590" s="80"/>
      <c r="F1590" s="80"/>
      <c r="H1590" s="81" t="s">
        <v>1373</v>
      </c>
      <c r="I1590" s="82"/>
      <c r="J1590" s="82"/>
      <c r="L1590" s="83" t="s">
        <v>796</v>
      </c>
      <c r="M1590" s="84"/>
      <c r="N1590" s="84"/>
      <c r="R1590" s="85" t="s">
        <v>1364</v>
      </c>
    </row>
    <row r="1591" spans="1:30" x14ac:dyDescent="0.2">
      <c r="B1591" s="68" t="s">
        <v>116</v>
      </c>
      <c r="C1591" s="68" t="s">
        <v>117</v>
      </c>
      <c r="D1591" s="68" t="s">
        <v>118</v>
      </c>
      <c r="E1591" s="68" t="s">
        <v>119</v>
      </c>
      <c r="F1591" s="68" t="s">
        <v>120</v>
      </c>
      <c r="H1591" s="86" t="s">
        <v>116</v>
      </c>
      <c r="I1591" s="86" t="s">
        <v>119</v>
      </c>
      <c r="J1591" s="86" t="s">
        <v>120</v>
      </c>
      <c r="L1591" s="87" t="s">
        <v>116</v>
      </c>
      <c r="M1591" s="87" t="s">
        <v>119</v>
      </c>
      <c r="N1591" s="87" t="s">
        <v>120</v>
      </c>
      <c r="R1591" s="88" t="s">
        <v>764</v>
      </c>
    </row>
    <row r="1592" spans="1:30" x14ac:dyDescent="0.2">
      <c r="A1592" s="89" t="s">
        <v>122</v>
      </c>
      <c r="B1592" s="90">
        <v>3.45</v>
      </c>
      <c r="C1592" s="91">
        <f>$N$1589-$L$1589+1</f>
        <v>30</v>
      </c>
      <c r="D1592" s="92">
        <v>3.68919</v>
      </c>
      <c r="E1592" s="93">
        <v>3.85</v>
      </c>
      <c r="F1592" s="94">
        <f t="shared" ref="F1592:F1599" si="284">ROUND(B1592*E1592,2)</f>
        <v>13.28</v>
      </c>
      <c r="H1592" s="95">
        <v>3.45</v>
      </c>
      <c r="I1592" s="96">
        <v>3.85</v>
      </c>
      <c r="J1592" s="97">
        <f t="shared" ref="J1592:J1599" si="285">ROUND(H1592*I1592,2)</f>
        <v>13.28</v>
      </c>
      <c r="L1592" s="119"/>
      <c r="M1592" s="119"/>
      <c r="N1592" s="119"/>
      <c r="R1592" s="101" t="s">
        <v>1365</v>
      </c>
    </row>
    <row r="1593" spans="1:30" x14ac:dyDescent="0.2">
      <c r="A1593" s="89" t="s">
        <v>124</v>
      </c>
      <c r="B1593" s="90">
        <v>3.45</v>
      </c>
      <c r="C1593" s="91">
        <f>$N$1589-$L$1589+1</f>
        <v>30</v>
      </c>
      <c r="D1593" s="92">
        <v>1.31928</v>
      </c>
      <c r="E1593" s="93">
        <v>1.33</v>
      </c>
      <c r="F1593" s="94">
        <f t="shared" si="284"/>
        <v>4.59</v>
      </c>
      <c r="H1593" s="95">
        <v>3.45</v>
      </c>
      <c r="I1593" s="96">
        <v>1.33</v>
      </c>
      <c r="J1593" s="97">
        <f t="shared" si="285"/>
        <v>4.59</v>
      </c>
      <c r="L1593" s="119"/>
      <c r="M1593" s="119"/>
      <c r="N1593" s="119"/>
    </row>
    <row r="1594" spans="1:30" x14ac:dyDescent="0.2">
      <c r="A1594" s="89" t="s">
        <v>614</v>
      </c>
      <c r="B1594" s="90">
        <f>IF($P$1594&lt;&gt;"",ROUND(AA1594*(($AB$1594/(1-$P$1594))-17.871)/6.2236,2),IF('Resumen 2.0TD'!$D$3="OPTIMIZAR",AA1594,AA1594))</f>
        <v>13.884</v>
      </c>
      <c r="C1594" s="103"/>
      <c r="D1594" s="92">
        <v>0.11117100000000001</v>
      </c>
      <c r="E1594" s="93">
        <v>0.13788</v>
      </c>
      <c r="F1594" s="94">
        <f t="shared" si="284"/>
        <v>1.91</v>
      </c>
      <c r="H1594" s="95">
        <v>9.5579999999999998</v>
      </c>
      <c r="I1594" s="96">
        <v>0.13788</v>
      </c>
      <c r="J1594" s="97">
        <f t="shared" si="285"/>
        <v>1.32</v>
      </c>
      <c r="L1594" s="119"/>
      <c r="M1594" s="119"/>
      <c r="N1594" s="119"/>
      <c r="O1594" s="104" t="s">
        <v>615</v>
      </c>
      <c r="P1594" s="67"/>
      <c r="AA1594">
        <v>13.884</v>
      </c>
      <c r="AB1594">
        <f>B1592*D1592+B1593*D1593+AA1594*D1594+AA1595*D1595+AA1596*D1596</f>
        <v>22.297258098</v>
      </c>
    </row>
    <row r="1595" spans="1:30" x14ac:dyDescent="0.2">
      <c r="A1595" s="89" t="s">
        <v>617</v>
      </c>
      <c r="B1595" s="90">
        <f>IF($P$1594&lt;&gt;"",ROUND(AA1595*(($AB$1594/(1-$P$1594))-17.871)/6.2236,2),IF('Resumen 2.0TD'!$D$3="OPTIMIZAR",AA1595,AA1595))</f>
        <v>7.9690000000000003</v>
      </c>
      <c r="C1595" s="103"/>
      <c r="D1595" s="92">
        <v>0.11117100000000001</v>
      </c>
      <c r="E1595" s="93">
        <v>0.13788</v>
      </c>
      <c r="F1595" s="94">
        <f t="shared" si="284"/>
        <v>1.1000000000000001</v>
      </c>
      <c r="H1595" s="95">
        <v>13.157</v>
      </c>
      <c r="I1595" s="96">
        <v>0.13788</v>
      </c>
      <c r="J1595" s="97">
        <f t="shared" si="285"/>
        <v>1.81</v>
      </c>
      <c r="L1595" s="119"/>
      <c r="M1595" s="119"/>
      <c r="N1595" s="119"/>
      <c r="O1595" s="105" t="s">
        <v>618</v>
      </c>
      <c r="R1595" s="102" t="s">
        <v>619</v>
      </c>
      <c r="AA1595">
        <v>7.9690000000000003</v>
      </c>
    </row>
    <row r="1596" spans="1:30" x14ac:dyDescent="0.2">
      <c r="A1596" s="89" t="s">
        <v>620</v>
      </c>
      <c r="B1596" s="90">
        <f>IF($P$1594&lt;&gt;"",ROUND(AA1596*(($AB$1594/(1-$P$1594))-17.871)/6.2236,2),IF('Resumen 2.0TD'!$D$3="OPTIMIZAR",AA1596,AA1596))</f>
        <v>23.285</v>
      </c>
      <c r="C1596" s="103"/>
      <c r="D1596" s="92">
        <v>0.11117100000000001</v>
      </c>
      <c r="E1596" s="93">
        <v>0.13788</v>
      </c>
      <c r="F1596" s="94">
        <f t="shared" si="284"/>
        <v>3.21</v>
      </c>
      <c r="H1596" s="95">
        <v>28.872</v>
      </c>
      <c r="I1596" s="96">
        <v>0.13788</v>
      </c>
      <c r="J1596" s="97">
        <f t="shared" si="285"/>
        <v>3.98</v>
      </c>
      <c r="L1596" s="119"/>
      <c r="M1596" s="119"/>
      <c r="N1596" s="119"/>
      <c r="O1596" s="105" t="s">
        <v>621</v>
      </c>
      <c r="AA1596">
        <v>23.285</v>
      </c>
    </row>
    <row r="1597" spans="1:30" x14ac:dyDescent="0.2">
      <c r="A1597" s="89" t="s">
        <v>139</v>
      </c>
      <c r="B1597" s="90">
        <v>1</v>
      </c>
      <c r="C1597" s="91">
        <f>$N$1589-$L$1589+1</f>
        <v>30</v>
      </c>
      <c r="D1597" s="92">
        <v>0.79890000000000005</v>
      </c>
      <c r="E1597" s="93">
        <v>3</v>
      </c>
      <c r="F1597" s="94">
        <f t="shared" si="284"/>
        <v>3</v>
      </c>
      <c r="H1597" s="95">
        <v>1</v>
      </c>
      <c r="I1597" s="96">
        <v>3</v>
      </c>
      <c r="J1597" s="97">
        <f t="shared" si="285"/>
        <v>3</v>
      </c>
      <c r="L1597" s="119"/>
      <c r="M1597" s="119"/>
      <c r="N1597" s="119"/>
    </row>
    <row r="1598" spans="1:30" x14ac:dyDescent="0.2">
      <c r="A1598" s="89" t="s">
        <v>140</v>
      </c>
      <c r="B1598" s="90">
        <v>30</v>
      </c>
      <c r="C1598" s="91">
        <f>$N$1589-$L$1589+1</f>
        <v>30</v>
      </c>
      <c r="D1598" s="92">
        <v>0.5736</v>
      </c>
      <c r="E1598" s="93">
        <v>1.274E-2</v>
      </c>
      <c r="F1598" s="94">
        <f t="shared" si="284"/>
        <v>0.38</v>
      </c>
      <c r="H1598" s="95">
        <v>30</v>
      </c>
      <c r="I1598" s="96">
        <v>1.274E-2</v>
      </c>
      <c r="J1598" s="97">
        <f t="shared" si="285"/>
        <v>0.38</v>
      </c>
      <c r="L1598" s="119"/>
      <c r="M1598" s="119"/>
      <c r="N1598" s="119"/>
    </row>
    <row r="1599" spans="1:30" x14ac:dyDescent="0.2">
      <c r="A1599" s="89" t="s">
        <v>141</v>
      </c>
      <c r="B1599" s="90">
        <v>1.24</v>
      </c>
      <c r="C1599" s="103"/>
      <c r="D1599" s="92">
        <v>0.27311999999999997</v>
      </c>
      <c r="E1599" s="93">
        <v>1</v>
      </c>
      <c r="F1599" s="94">
        <f t="shared" si="284"/>
        <v>1.24</v>
      </c>
      <c r="H1599" s="95">
        <v>1.29</v>
      </c>
      <c r="I1599" s="96">
        <v>1</v>
      </c>
      <c r="J1599" s="97">
        <f t="shared" si="285"/>
        <v>1.29</v>
      </c>
      <c r="L1599" s="119"/>
      <c r="M1599" s="119"/>
      <c r="N1599" s="119"/>
    </row>
    <row r="1600" spans="1:30" x14ac:dyDescent="0.2">
      <c r="A1600" s="106" t="s">
        <v>142</v>
      </c>
      <c r="F1600" s="107">
        <f>ROUND((SUM(F1592:F1599)-F1599)*1.1+F1599,2)</f>
        <v>31.46</v>
      </c>
      <c r="J1600" s="108">
        <f>ROUND(SUM(J1592:J1599),2)</f>
        <v>29.65</v>
      </c>
      <c r="N1600" s="120"/>
    </row>
    <row r="1601" spans="1:30" x14ac:dyDescent="0.2">
      <c r="A1601" s="78" t="s">
        <v>143</v>
      </c>
      <c r="B1601" s="110">
        <f>IF((F1596+F1595+F1594+F1592+F1593)=0,"",((F1596+F1595+F1594+F1592+F1593)-$AB$1594)/(F1596+F1595+F1594+F1592+F1593))</f>
        <v>7.4418509838107078E-2</v>
      </c>
      <c r="D1601" s="139" t="str">
        <f>IF(B1601="","SIN PC",IF(B1601&gt;=0.3,"APROBAR",IF(B1601&gt;=0.2,"REVISAR","RECHAZAR")))</f>
        <v>RECHAZAR</v>
      </c>
      <c r="E1601" s="139"/>
      <c r="F1601" s="139"/>
      <c r="AD1601">
        <f>SUM(F1594:F1596)-6.2236</f>
        <v>-3.6000000000004917E-3</v>
      </c>
    </row>
    <row r="1603" spans="1:30" x14ac:dyDescent="0.2">
      <c r="A1603" s="137" t="s">
        <v>1374</v>
      </c>
      <c r="B1603" s="137"/>
      <c r="C1603" s="137"/>
      <c r="D1603" s="137"/>
      <c r="E1603" s="137"/>
      <c r="F1603" s="137"/>
      <c r="H1603" s="137" t="s">
        <v>1375</v>
      </c>
      <c r="I1603" s="137"/>
      <c r="J1603" s="137"/>
      <c r="K1603" s="137"/>
      <c r="L1603" s="76">
        <v>46113</v>
      </c>
      <c r="M1603" s="77" t="s">
        <v>607</v>
      </c>
      <c r="N1603" s="76">
        <v>46142</v>
      </c>
      <c r="R1603" s="138" t="s">
        <v>110</v>
      </c>
      <c r="S1603" s="138"/>
      <c r="T1603" s="138"/>
      <c r="U1603" s="138"/>
      <c r="V1603" s="138"/>
    </row>
    <row r="1604" spans="1:30" x14ac:dyDescent="0.2">
      <c r="A1604" s="78" t="s">
        <v>111</v>
      </c>
      <c r="B1604" s="79" t="s">
        <v>112</v>
      </c>
      <c r="C1604" s="80"/>
      <c r="D1604" s="80"/>
      <c r="E1604" s="80"/>
      <c r="F1604" s="80"/>
      <c r="H1604" s="81" t="s">
        <v>1376</v>
      </c>
      <c r="I1604" s="82"/>
      <c r="J1604" s="82"/>
      <c r="L1604" s="83" t="s">
        <v>796</v>
      </c>
      <c r="M1604" s="84"/>
      <c r="N1604" s="84"/>
      <c r="R1604" s="85" t="s">
        <v>1377</v>
      </c>
    </row>
    <row r="1605" spans="1:30" x14ac:dyDescent="0.2">
      <c r="B1605" s="68" t="s">
        <v>116</v>
      </c>
      <c r="C1605" s="68" t="s">
        <v>117</v>
      </c>
      <c r="D1605" s="68" t="s">
        <v>118</v>
      </c>
      <c r="E1605" s="68" t="s">
        <v>119</v>
      </c>
      <c r="F1605" s="68" t="s">
        <v>120</v>
      </c>
      <c r="H1605" s="86" t="s">
        <v>116</v>
      </c>
      <c r="I1605" s="86" t="s">
        <v>119</v>
      </c>
      <c r="J1605" s="86" t="s">
        <v>120</v>
      </c>
      <c r="L1605" s="87" t="s">
        <v>116</v>
      </c>
      <c r="M1605" s="87" t="s">
        <v>119</v>
      </c>
      <c r="N1605" s="87" t="s">
        <v>120</v>
      </c>
      <c r="R1605" s="88" t="s">
        <v>764</v>
      </c>
    </row>
    <row r="1606" spans="1:30" x14ac:dyDescent="0.2">
      <c r="A1606" s="89" t="s">
        <v>122</v>
      </c>
      <c r="B1606" s="90">
        <v>5.75</v>
      </c>
      <c r="C1606" s="91">
        <f>$N$1603-$L$1603+1</f>
        <v>30</v>
      </c>
      <c r="D1606" s="92">
        <v>3.40863</v>
      </c>
      <c r="E1606" s="93">
        <v>3.85</v>
      </c>
      <c r="F1606" s="94">
        <f t="shared" ref="F1606:F1613" si="286">ROUND(B1606*E1606,2)</f>
        <v>22.14</v>
      </c>
      <c r="H1606" s="95">
        <v>5.75</v>
      </c>
      <c r="I1606" s="96">
        <v>3.85</v>
      </c>
      <c r="J1606" s="97">
        <f t="shared" ref="J1606:J1613" si="287">ROUND(H1606*I1606,2)</f>
        <v>22.14</v>
      </c>
      <c r="L1606" s="119"/>
      <c r="M1606" s="119"/>
      <c r="N1606" s="119"/>
      <c r="R1606" s="101" t="s">
        <v>1378</v>
      </c>
    </row>
    <row r="1607" spans="1:30" x14ac:dyDescent="0.2">
      <c r="A1607" s="89" t="s">
        <v>124</v>
      </c>
      <c r="B1607" s="90">
        <v>5.75</v>
      </c>
      <c r="C1607" s="91">
        <f>$N$1603-$L$1603+1</f>
        <v>30</v>
      </c>
      <c r="D1607" s="92">
        <v>1.44069</v>
      </c>
      <c r="E1607" s="93">
        <v>1.33</v>
      </c>
      <c r="F1607" s="94">
        <f t="shared" si="286"/>
        <v>7.65</v>
      </c>
      <c r="H1607" s="95">
        <v>5.75</v>
      </c>
      <c r="I1607" s="96">
        <v>1.33</v>
      </c>
      <c r="J1607" s="97">
        <f t="shared" si="287"/>
        <v>7.65</v>
      </c>
      <c r="L1607" s="119"/>
      <c r="M1607" s="119"/>
      <c r="N1607" s="119"/>
    </row>
    <row r="1608" spans="1:30" x14ac:dyDescent="0.2">
      <c r="A1608" s="89" t="s">
        <v>614</v>
      </c>
      <c r="B1608" s="90">
        <f>IF($P$1608&lt;&gt;"",ROUND(AA1608*(($AB$1608/(1-$P$1608))-29.785)/0.1074,2),IF('Resumen 2.0TD'!$D$3="OPTIMIZAR",AA1608,AA1608))</f>
        <v>0.151</v>
      </c>
      <c r="C1608" s="103"/>
      <c r="D1608" s="92">
        <v>0.18173900000000001</v>
      </c>
      <c r="E1608" s="93">
        <v>0.13788</v>
      </c>
      <c r="F1608" s="94">
        <f t="shared" si="286"/>
        <v>0.02</v>
      </c>
      <c r="H1608" s="95">
        <v>43.529000000000003</v>
      </c>
      <c r="I1608" s="96">
        <v>0.13788</v>
      </c>
      <c r="J1608" s="97">
        <f t="shared" si="287"/>
        <v>6</v>
      </c>
      <c r="L1608" s="119"/>
      <c r="M1608" s="119"/>
      <c r="N1608" s="119"/>
      <c r="O1608" s="104" t="s">
        <v>615</v>
      </c>
      <c r="P1608" s="67"/>
      <c r="AA1608">
        <v>0.151</v>
      </c>
      <c r="AB1608">
        <f>B1606*D1606+B1607*D1607+AA1608*D1608+AA1609*D1609+AA1610*D1610</f>
        <v>28.025164681</v>
      </c>
    </row>
    <row r="1609" spans="1:30" x14ac:dyDescent="0.2">
      <c r="A1609" s="89" t="s">
        <v>617</v>
      </c>
      <c r="B1609" s="90">
        <f>IF($P$1608&lt;&gt;"",ROUND(AA1609*(($AB$1608/(1-$P$1608))-29.785)/0.1074,2),IF('Resumen 2.0TD'!$D$3="OPTIMIZAR",AA1609,AA1609))</f>
        <v>3.3000000000000002E-2</v>
      </c>
      <c r="C1609" s="103"/>
      <c r="D1609" s="92">
        <v>0.18173900000000001</v>
      </c>
      <c r="E1609" s="93">
        <v>0.13788</v>
      </c>
      <c r="F1609" s="94">
        <f t="shared" si="286"/>
        <v>0</v>
      </c>
      <c r="H1609" s="95">
        <v>58.212000000000003</v>
      </c>
      <c r="I1609" s="96">
        <v>0.13788</v>
      </c>
      <c r="J1609" s="97">
        <f t="shared" si="287"/>
        <v>8.0299999999999994</v>
      </c>
      <c r="L1609" s="119"/>
      <c r="M1609" s="119"/>
      <c r="N1609" s="119"/>
      <c r="O1609" s="105" t="s">
        <v>618</v>
      </c>
      <c r="R1609" s="102" t="s">
        <v>619</v>
      </c>
      <c r="AA1609">
        <v>3.3000000000000002E-2</v>
      </c>
    </row>
    <row r="1610" spans="1:30" x14ac:dyDescent="0.2">
      <c r="A1610" s="89" t="s">
        <v>620</v>
      </c>
      <c r="B1610" s="90">
        <f>IF($P$1608&lt;&gt;"",ROUND(AA1610*(($AB$1608/(1-$P$1608))-29.785)/0.1074,2),IF('Resumen 2.0TD'!$D$3="OPTIMIZAR",AA1610,AA1610))</f>
        <v>0.59499999999999997</v>
      </c>
      <c r="C1610" s="103"/>
      <c r="D1610" s="92">
        <v>0.18173900000000001</v>
      </c>
      <c r="E1610" s="93">
        <v>0.13788</v>
      </c>
      <c r="F1610" s="94">
        <f t="shared" si="286"/>
        <v>0.08</v>
      </c>
      <c r="H1610" s="95">
        <v>84.686999999999998</v>
      </c>
      <c r="I1610" s="96">
        <v>0.13788</v>
      </c>
      <c r="J1610" s="97">
        <f t="shared" si="287"/>
        <v>11.68</v>
      </c>
      <c r="L1610" s="119"/>
      <c r="M1610" s="119"/>
      <c r="N1610" s="119"/>
      <c r="O1610" s="105" t="s">
        <v>621</v>
      </c>
      <c r="AA1610">
        <v>0.59499999999999997</v>
      </c>
    </row>
    <row r="1611" spans="1:30" x14ac:dyDescent="0.2">
      <c r="A1611" s="89" t="s">
        <v>139</v>
      </c>
      <c r="B1611" s="90">
        <v>1</v>
      </c>
      <c r="C1611" s="91">
        <f>$N$1603-$L$1603+1</f>
        <v>30</v>
      </c>
      <c r="D1611" s="92">
        <v>0.79890000000000005</v>
      </c>
      <c r="E1611" s="93">
        <v>3</v>
      </c>
      <c r="F1611" s="94">
        <f t="shared" si="286"/>
        <v>3</v>
      </c>
      <c r="H1611" s="95">
        <v>1</v>
      </c>
      <c r="I1611" s="96">
        <v>3</v>
      </c>
      <c r="J1611" s="97">
        <f t="shared" si="287"/>
        <v>3</v>
      </c>
      <c r="L1611" s="119"/>
      <c r="M1611" s="119"/>
      <c r="N1611" s="119"/>
    </row>
    <row r="1612" spans="1:30" x14ac:dyDescent="0.2">
      <c r="A1612" s="89" t="s">
        <v>140</v>
      </c>
      <c r="B1612" s="90">
        <v>30</v>
      </c>
      <c r="C1612" s="91">
        <f>$N$1603-$L$1603+1</f>
        <v>30</v>
      </c>
      <c r="D1612" s="92">
        <v>0.5736</v>
      </c>
      <c r="E1612" s="93">
        <v>1.274E-2</v>
      </c>
      <c r="F1612" s="94">
        <f t="shared" si="286"/>
        <v>0.38</v>
      </c>
      <c r="H1612" s="95">
        <v>30</v>
      </c>
      <c r="I1612" s="96">
        <v>1.274E-2</v>
      </c>
      <c r="J1612" s="97">
        <f t="shared" si="287"/>
        <v>0.38</v>
      </c>
      <c r="L1612" s="119"/>
      <c r="M1612" s="119"/>
      <c r="N1612" s="119"/>
    </row>
    <row r="1613" spans="1:30" x14ac:dyDescent="0.2">
      <c r="A1613" s="89" t="s">
        <v>141</v>
      </c>
      <c r="B1613" s="90">
        <v>1.53</v>
      </c>
      <c r="C1613" s="103"/>
      <c r="D1613" s="92">
        <v>2.6970000000000001E-2</v>
      </c>
      <c r="E1613" s="93">
        <v>1</v>
      </c>
      <c r="F1613" s="94">
        <f t="shared" si="286"/>
        <v>1.53</v>
      </c>
      <c r="H1613" s="95">
        <v>2.4</v>
      </c>
      <c r="I1613" s="96">
        <v>1</v>
      </c>
      <c r="J1613" s="97">
        <f t="shared" si="287"/>
        <v>2.4</v>
      </c>
      <c r="L1613" s="119"/>
      <c r="M1613" s="119"/>
      <c r="N1613" s="119"/>
    </row>
    <row r="1614" spans="1:30" x14ac:dyDescent="0.2">
      <c r="A1614" s="106" t="s">
        <v>142</v>
      </c>
      <c r="F1614" s="107">
        <f>ROUND((SUM(F1606:F1613)-F1613)*1.1+F1613,2)</f>
        <v>38.130000000000003</v>
      </c>
      <c r="J1614" s="108">
        <f>ROUND(SUM(J1606:J1613),2)</f>
        <v>61.28</v>
      </c>
      <c r="N1614" s="120"/>
    </row>
    <row r="1615" spans="1:30" x14ac:dyDescent="0.2">
      <c r="A1615" s="78" t="s">
        <v>143</v>
      </c>
      <c r="B1615" s="110">
        <f>IF((F1610+F1609+F1608+F1606+F1607)=0,"",((F1610+F1609+F1608+F1606+F1607)-$AB$1608)/(F1610+F1609+F1608+F1606+F1607))</f>
        <v>6.2389940414854496E-2</v>
      </c>
      <c r="D1615" s="139" t="str">
        <f>IF(B1615="","SIN PC",IF(B1615&gt;=0.3,"APROBAR",IF(B1615&gt;=0.2,"REVISAR","RECHAZAR")))</f>
        <v>RECHAZAR</v>
      </c>
      <c r="E1615" s="139"/>
      <c r="F1615" s="139"/>
      <c r="AD1615">
        <f>SUM(F1608:F1610)-0.1074</f>
        <v>-7.3999999999999899E-3</v>
      </c>
    </row>
    <row r="1616" spans="1:30" x14ac:dyDescent="0.2">
      <c r="A1616" s="140" t="s">
        <v>743</v>
      </c>
      <c r="B1616" s="140"/>
      <c r="C1616" s="140"/>
      <c r="D1616" s="140"/>
      <c r="E1616" s="140"/>
      <c r="F1616" s="140"/>
    </row>
    <row r="1617" spans="1:28" x14ac:dyDescent="0.2">
      <c r="A1617" s="111" t="s">
        <v>111</v>
      </c>
      <c r="B1617" s="111" t="s">
        <v>744</v>
      </c>
      <c r="D1617" s="111" t="s">
        <v>745</v>
      </c>
      <c r="E1617" s="111" t="s">
        <v>746</v>
      </c>
      <c r="F1617" s="111" t="s">
        <v>120</v>
      </c>
    </row>
    <row r="1618" spans="1:28" x14ac:dyDescent="0.2">
      <c r="A1618" s="112" t="s">
        <v>747</v>
      </c>
      <c r="B1618" s="113">
        <v>481</v>
      </c>
      <c r="C1618" s="114"/>
      <c r="D1618" s="92">
        <v>1.5319999999999999E-3</v>
      </c>
      <c r="E1618" s="114"/>
      <c r="F1618" s="115">
        <f>ROUND(B1618*D1618,2)</f>
        <v>0.74</v>
      </c>
      <c r="H1618" s="122" t="s">
        <v>1379</v>
      </c>
    </row>
    <row r="1619" spans="1:28" x14ac:dyDescent="0.2">
      <c r="A1619" s="112" t="s">
        <v>748</v>
      </c>
      <c r="B1619" s="114"/>
      <c r="C1619" s="114"/>
      <c r="D1619" s="114"/>
      <c r="E1619" s="114"/>
      <c r="F1619" s="115">
        <v>0.1</v>
      </c>
    </row>
    <row r="1620" spans="1:28" x14ac:dyDescent="0.2">
      <c r="A1620" s="117" t="s">
        <v>749</v>
      </c>
      <c r="B1620" s="114"/>
      <c r="C1620" s="114"/>
      <c r="D1620" s="114"/>
      <c r="E1620" s="114"/>
      <c r="F1620" s="118">
        <f>F1618-F1619</f>
        <v>0.64</v>
      </c>
    </row>
    <row r="1622" spans="1:28" x14ac:dyDescent="0.2">
      <c r="A1622" s="137" t="s">
        <v>1380</v>
      </c>
      <c r="B1622" s="137"/>
      <c r="C1622" s="137"/>
      <c r="D1622" s="137"/>
      <c r="E1622" s="137"/>
      <c r="F1622" s="137"/>
      <c r="H1622" s="137" t="s">
        <v>1381</v>
      </c>
      <c r="I1622" s="137"/>
      <c r="J1622" s="137"/>
      <c r="K1622" s="137"/>
      <c r="L1622" s="76">
        <v>46113</v>
      </c>
      <c r="M1622" s="77" t="s">
        <v>607</v>
      </c>
      <c r="N1622" s="76">
        <v>46142</v>
      </c>
      <c r="R1622" s="138" t="s">
        <v>110</v>
      </c>
      <c r="S1622" s="138"/>
      <c r="T1622" s="138"/>
      <c r="U1622" s="138"/>
      <c r="V1622" s="138"/>
    </row>
    <row r="1623" spans="1:28" x14ac:dyDescent="0.2">
      <c r="A1623" s="78" t="s">
        <v>111</v>
      </c>
      <c r="B1623" s="79" t="s">
        <v>112</v>
      </c>
      <c r="C1623" s="80"/>
      <c r="D1623" s="80"/>
      <c r="E1623" s="80"/>
      <c r="F1623" s="80"/>
      <c r="H1623" s="81" t="s">
        <v>1382</v>
      </c>
      <c r="I1623" s="82"/>
      <c r="J1623" s="82"/>
      <c r="L1623" s="83" t="s">
        <v>796</v>
      </c>
      <c r="M1623" s="84"/>
      <c r="N1623" s="84"/>
      <c r="R1623" s="85" t="s">
        <v>1364</v>
      </c>
    </row>
    <row r="1624" spans="1:28" x14ac:dyDescent="0.2">
      <c r="B1624" s="68" t="s">
        <v>116</v>
      </c>
      <c r="C1624" s="68" t="s">
        <v>117</v>
      </c>
      <c r="D1624" s="68" t="s">
        <v>118</v>
      </c>
      <c r="E1624" s="68" t="s">
        <v>119</v>
      </c>
      <c r="F1624" s="68" t="s">
        <v>120</v>
      </c>
      <c r="H1624" s="86" t="s">
        <v>116</v>
      </c>
      <c r="I1624" s="86" t="s">
        <v>119</v>
      </c>
      <c r="J1624" s="86" t="s">
        <v>120</v>
      </c>
      <c r="L1624" s="87" t="s">
        <v>116</v>
      </c>
      <c r="M1624" s="87" t="s">
        <v>119</v>
      </c>
      <c r="N1624" s="87" t="s">
        <v>120</v>
      </c>
      <c r="R1624" s="88" t="s">
        <v>764</v>
      </c>
    </row>
    <row r="1625" spans="1:28" x14ac:dyDescent="0.2">
      <c r="A1625" s="89" t="s">
        <v>122</v>
      </c>
      <c r="B1625" s="90">
        <v>14.49</v>
      </c>
      <c r="C1625" s="91">
        <f>$N$1622-$L$1622+1</f>
        <v>30</v>
      </c>
      <c r="D1625" s="92">
        <v>3.68919</v>
      </c>
      <c r="E1625" s="93">
        <v>3.85</v>
      </c>
      <c r="F1625" s="94">
        <f t="shared" ref="F1625:F1632" si="288">ROUND(B1625*E1625,2)</f>
        <v>55.79</v>
      </c>
      <c r="H1625" s="95">
        <v>14.49</v>
      </c>
      <c r="I1625" s="96">
        <v>3.85</v>
      </c>
      <c r="J1625" s="97">
        <f t="shared" ref="J1625:J1632" si="289">ROUND(H1625*I1625,2)</f>
        <v>55.79</v>
      </c>
      <c r="L1625" s="119"/>
      <c r="M1625" s="119"/>
      <c r="N1625" s="119"/>
      <c r="R1625" s="101" t="s">
        <v>1365</v>
      </c>
    </row>
    <row r="1626" spans="1:28" x14ac:dyDescent="0.2">
      <c r="A1626" s="89" t="s">
        <v>124</v>
      </c>
      <c r="B1626" s="90">
        <v>14.49</v>
      </c>
      <c r="C1626" s="91">
        <f>$N$1622-$L$1622+1</f>
        <v>30</v>
      </c>
      <c r="D1626" s="92">
        <v>1.31928</v>
      </c>
      <c r="E1626" s="93">
        <v>1.33</v>
      </c>
      <c r="F1626" s="94">
        <f t="shared" si="288"/>
        <v>19.27</v>
      </c>
      <c r="H1626" s="95">
        <v>14.49</v>
      </c>
      <c r="I1626" s="96">
        <v>1.33</v>
      </c>
      <c r="J1626" s="97">
        <f t="shared" si="289"/>
        <v>19.27</v>
      </c>
      <c r="L1626" s="119"/>
      <c r="M1626" s="119"/>
      <c r="N1626" s="119"/>
    </row>
    <row r="1627" spans="1:28" x14ac:dyDescent="0.2">
      <c r="A1627" s="89" t="s">
        <v>614</v>
      </c>
      <c r="B1627" s="90">
        <f>IF($P$1627&lt;&gt;"",ROUND(AA1627*(($AB$1627/(1-$P$1627))-75.0582)/220.443,2),IF('Resumen 2.0TD'!$D$3="OPTIMIZAR",AA1627,AA1627))</f>
        <v>428.61399999999998</v>
      </c>
      <c r="C1627" s="103"/>
      <c r="D1627" s="92">
        <v>0.11117100000000001</v>
      </c>
      <c r="E1627" s="93">
        <v>0.13788</v>
      </c>
      <c r="F1627" s="94">
        <f t="shared" si="288"/>
        <v>59.1</v>
      </c>
      <c r="H1627" s="95">
        <v>325.70699999999999</v>
      </c>
      <c r="I1627" s="96">
        <v>0.13788</v>
      </c>
      <c r="J1627" s="97">
        <f t="shared" si="289"/>
        <v>44.91</v>
      </c>
      <c r="L1627" s="119"/>
      <c r="M1627" s="119"/>
      <c r="N1627" s="119"/>
      <c r="O1627" s="104" t="s">
        <v>615</v>
      </c>
      <c r="P1627" s="67"/>
      <c r="AA1627">
        <v>428.61399999999998</v>
      </c>
      <c r="AB1627">
        <f>B1625*D1625+B1626*D1626+AA1627*D1627+AA1628*D1628+AA1629*D1629</f>
        <v>250.31325861300002</v>
      </c>
    </row>
    <row r="1628" spans="1:28" x14ac:dyDescent="0.2">
      <c r="A1628" s="89" t="s">
        <v>617</v>
      </c>
      <c r="B1628" s="90">
        <f>IF($P$1627&lt;&gt;"",ROUND(AA1628*(($AB$1627/(1-$P$1627))-75.0582)/220.443,2),IF('Resumen 2.0TD'!$D$3="OPTIMIZAR",AA1628,AA1628))</f>
        <v>393.29</v>
      </c>
      <c r="C1628" s="103"/>
      <c r="D1628" s="92">
        <v>0.11117100000000001</v>
      </c>
      <c r="E1628" s="93">
        <v>0.13788</v>
      </c>
      <c r="F1628" s="94">
        <f t="shared" si="288"/>
        <v>54.23</v>
      </c>
      <c r="H1628" s="95">
        <v>282.44299999999998</v>
      </c>
      <c r="I1628" s="96">
        <v>0.13788</v>
      </c>
      <c r="J1628" s="97">
        <f t="shared" si="289"/>
        <v>38.94</v>
      </c>
      <c r="L1628" s="119"/>
      <c r="M1628" s="119"/>
      <c r="N1628" s="119"/>
      <c r="O1628" s="105" t="s">
        <v>618</v>
      </c>
      <c r="R1628" s="102" t="s">
        <v>619</v>
      </c>
      <c r="AA1628">
        <v>393.29</v>
      </c>
    </row>
    <row r="1629" spans="1:28" x14ac:dyDescent="0.2">
      <c r="A1629" s="89" t="s">
        <v>620</v>
      </c>
      <c r="B1629" s="90">
        <f>IF($P$1627&lt;&gt;"",ROUND(AA1629*(($AB$1627/(1-$P$1627))-75.0582)/220.443,2),IF('Resumen 2.0TD'!$D$3="OPTIMIZAR",AA1629,AA1629))</f>
        <v>776.899</v>
      </c>
      <c r="C1629" s="103"/>
      <c r="D1629" s="92">
        <v>0.11117100000000001</v>
      </c>
      <c r="E1629" s="93">
        <v>0.13788</v>
      </c>
      <c r="F1629" s="94">
        <f t="shared" si="288"/>
        <v>107.12</v>
      </c>
      <c r="H1629" s="95">
        <v>553.84900000000005</v>
      </c>
      <c r="I1629" s="96">
        <v>0.13788</v>
      </c>
      <c r="J1629" s="97">
        <f t="shared" si="289"/>
        <v>76.36</v>
      </c>
      <c r="L1629" s="119"/>
      <c r="M1629" s="119"/>
      <c r="N1629" s="119"/>
      <c r="O1629" s="105" t="s">
        <v>621</v>
      </c>
      <c r="AA1629">
        <v>776.899</v>
      </c>
    </row>
    <row r="1630" spans="1:28" x14ac:dyDescent="0.2">
      <c r="A1630" s="89" t="s">
        <v>139</v>
      </c>
      <c r="B1630" s="90">
        <v>1</v>
      </c>
      <c r="C1630" s="91">
        <f>$N$1622-$L$1622+1</f>
        <v>30</v>
      </c>
      <c r="D1630" s="92">
        <v>0.79890000000000005</v>
      </c>
      <c r="E1630" s="93">
        <v>3</v>
      </c>
      <c r="F1630" s="94">
        <f t="shared" si="288"/>
        <v>3</v>
      </c>
      <c r="H1630" s="95">
        <v>1</v>
      </c>
      <c r="I1630" s="96">
        <v>3</v>
      </c>
      <c r="J1630" s="97">
        <f t="shared" si="289"/>
        <v>3</v>
      </c>
      <c r="L1630" s="119"/>
      <c r="M1630" s="119"/>
      <c r="N1630" s="119"/>
    </row>
    <row r="1631" spans="1:28" x14ac:dyDescent="0.2">
      <c r="A1631" s="89" t="s">
        <v>140</v>
      </c>
      <c r="B1631" s="90">
        <v>30</v>
      </c>
      <c r="C1631" s="91">
        <f>$N$1622-$L$1622+1</f>
        <v>30</v>
      </c>
      <c r="D1631" s="92">
        <v>0.5736</v>
      </c>
      <c r="E1631" s="93">
        <v>1.274E-2</v>
      </c>
      <c r="F1631" s="94">
        <f t="shared" si="288"/>
        <v>0.38</v>
      </c>
      <c r="H1631" s="95">
        <v>30</v>
      </c>
      <c r="I1631" s="96">
        <v>1.274E-2</v>
      </c>
      <c r="J1631" s="97">
        <f t="shared" si="289"/>
        <v>0.38</v>
      </c>
      <c r="L1631" s="119"/>
      <c r="M1631" s="119"/>
      <c r="N1631" s="119"/>
    </row>
    <row r="1632" spans="1:28" x14ac:dyDescent="0.2">
      <c r="A1632" s="89" t="s">
        <v>141</v>
      </c>
      <c r="B1632" s="90">
        <v>15.96</v>
      </c>
      <c r="C1632" s="103"/>
      <c r="D1632" s="92">
        <v>0.27311999999999997</v>
      </c>
      <c r="E1632" s="93">
        <v>1</v>
      </c>
      <c r="F1632" s="94">
        <f t="shared" si="288"/>
        <v>15.96</v>
      </c>
      <c r="H1632" s="95">
        <v>12.03</v>
      </c>
      <c r="I1632" s="96">
        <v>1</v>
      </c>
      <c r="J1632" s="97">
        <f t="shared" si="289"/>
        <v>12.03</v>
      </c>
      <c r="L1632" s="119"/>
      <c r="M1632" s="119"/>
      <c r="N1632" s="119"/>
    </row>
    <row r="1633" spans="1:30" x14ac:dyDescent="0.2">
      <c r="A1633" s="106" t="s">
        <v>142</v>
      </c>
      <c r="F1633" s="107">
        <f>ROUND((SUM(F1625:F1632)-F1632)*1.1+F1632,2)</f>
        <v>344.74</v>
      </c>
      <c r="J1633" s="108">
        <f>ROUND(SUM(J1625:J1632),2)</f>
        <v>250.68</v>
      </c>
      <c r="N1633" s="120"/>
    </row>
    <row r="1634" spans="1:30" x14ac:dyDescent="0.2">
      <c r="A1634" s="78" t="s">
        <v>143</v>
      </c>
      <c r="B1634" s="110">
        <f>IF((F1629+F1628+F1627+F1625+F1626)=0,"",((F1629+F1628+F1627+F1625+F1626)-$AB$1627)/(F1629+F1628+F1627+F1625+F1626))</f>
        <v>0.15294487965551073</v>
      </c>
      <c r="D1634" s="139" t="str">
        <f>IF(B1634="","SIN PC",IF(B1634&gt;=0.3,"APROBAR",IF(B1634&gt;=0.2,"REVISAR","RECHAZAR")))</f>
        <v>RECHAZAR</v>
      </c>
      <c r="E1634" s="139"/>
      <c r="F1634" s="139"/>
      <c r="AD1634">
        <f>SUM(F1627:F1629)-220.443</f>
        <v>6.9999999999765805E-3</v>
      </c>
    </row>
    <row r="1636" spans="1:30" x14ac:dyDescent="0.2">
      <c r="A1636" s="137" t="s">
        <v>1383</v>
      </c>
      <c r="B1636" s="137"/>
      <c r="C1636" s="137"/>
      <c r="D1636" s="137"/>
      <c r="E1636" s="137"/>
      <c r="F1636" s="137"/>
      <c r="H1636" s="137" t="s">
        <v>1384</v>
      </c>
      <c r="I1636" s="137"/>
      <c r="J1636" s="137"/>
      <c r="K1636" s="137"/>
      <c r="L1636" s="76">
        <v>46113</v>
      </c>
      <c r="M1636" s="77" t="s">
        <v>607</v>
      </c>
      <c r="N1636" s="76">
        <v>46142</v>
      </c>
      <c r="R1636" s="138" t="s">
        <v>110</v>
      </c>
      <c r="S1636" s="138"/>
      <c r="T1636" s="138"/>
      <c r="U1636" s="138"/>
      <c r="V1636" s="138"/>
    </row>
    <row r="1637" spans="1:30" x14ac:dyDescent="0.2">
      <c r="A1637" s="78" t="s">
        <v>111</v>
      </c>
      <c r="B1637" s="79" t="s">
        <v>112</v>
      </c>
      <c r="C1637" s="80"/>
      <c r="D1637" s="80"/>
      <c r="E1637" s="80"/>
      <c r="F1637" s="80"/>
      <c r="H1637" s="81" t="s">
        <v>1385</v>
      </c>
      <c r="I1637" s="82"/>
      <c r="J1637" s="82"/>
      <c r="L1637" s="83" t="s">
        <v>796</v>
      </c>
      <c r="M1637" s="84"/>
      <c r="N1637" s="84"/>
      <c r="R1637" s="85" t="s">
        <v>797</v>
      </c>
    </row>
    <row r="1638" spans="1:30" x14ac:dyDescent="0.2">
      <c r="B1638" s="68" t="s">
        <v>116</v>
      </c>
      <c r="C1638" s="68" t="s">
        <v>117</v>
      </c>
      <c r="D1638" s="68" t="s">
        <v>118</v>
      </c>
      <c r="E1638" s="68" t="s">
        <v>119</v>
      </c>
      <c r="F1638" s="68" t="s">
        <v>120</v>
      </c>
      <c r="H1638" s="86" t="s">
        <v>116</v>
      </c>
      <c r="I1638" s="86" t="s">
        <v>119</v>
      </c>
      <c r="J1638" s="86" t="s">
        <v>120</v>
      </c>
      <c r="L1638" s="87" t="s">
        <v>116</v>
      </c>
      <c r="M1638" s="87" t="s">
        <v>119</v>
      </c>
      <c r="N1638" s="87" t="s">
        <v>120</v>
      </c>
      <c r="R1638" s="88" t="s">
        <v>764</v>
      </c>
    </row>
    <row r="1639" spans="1:30" x14ac:dyDescent="0.2">
      <c r="A1639" s="89" t="s">
        <v>122</v>
      </c>
      <c r="B1639" s="90">
        <v>5.75</v>
      </c>
      <c r="C1639" s="91">
        <f>$N$1636-$L$1636+1</f>
        <v>30</v>
      </c>
      <c r="D1639" s="92">
        <v>2.9805600000000001</v>
      </c>
      <c r="E1639" s="93">
        <v>3.85</v>
      </c>
      <c r="F1639" s="94">
        <f t="shared" ref="F1639:F1646" si="290">ROUND(B1639*E1639,2)</f>
        <v>22.14</v>
      </c>
      <c r="H1639" s="95">
        <v>5.75</v>
      </c>
      <c r="I1639" s="96">
        <v>3.85</v>
      </c>
      <c r="J1639" s="97">
        <f t="shared" ref="J1639:J1646" si="291">ROUND(H1639*I1639,2)</f>
        <v>22.14</v>
      </c>
      <c r="L1639" s="119"/>
      <c r="M1639" s="119"/>
      <c r="N1639" s="119"/>
      <c r="R1639" s="101" t="s">
        <v>798</v>
      </c>
    </row>
    <row r="1640" spans="1:30" x14ac:dyDescent="0.2">
      <c r="A1640" s="89" t="s">
        <v>124</v>
      </c>
      <c r="B1640" s="90">
        <v>5.75</v>
      </c>
      <c r="C1640" s="91">
        <f>$N$1636-$L$1636+1</f>
        <v>30</v>
      </c>
      <c r="D1640" s="92">
        <v>9.2280000000000001E-2</v>
      </c>
      <c r="E1640" s="93">
        <v>1.33</v>
      </c>
      <c r="F1640" s="94">
        <f t="shared" si="290"/>
        <v>7.65</v>
      </c>
      <c r="H1640" s="95">
        <v>5.75</v>
      </c>
      <c r="I1640" s="96">
        <v>1.33</v>
      </c>
      <c r="J1640" s="97">
        <f t="shared" si="291"/>
        <v>7.65</v>
      </c>
      <c r="L1640" s="119"/>
      <c r="M1640" s="119"/>
      <c r="N1640" s="119"/>
    </row>
    <row r="1641" spans="1:30" x14ac:dyDescent="0.2">
      <c r="A1641" s="89" t="s">
        <v>614</v>
      </c>
      <c r="B1641" s="90">
        <f>IF($P$1641&lt;&gt;"",ROUND(AA1641*(($AB$1641/(1-$P$1641))-29.785)/11.7794,2),IF('Resumen 2.0TD'!$D$3="OPTIMIZAR",AA1641,AA1641))</f>
        <v>31.863</v>
      </c>
      <c r="C1641" s="103"/>
      <c r="D1641" s="92">
        <v>0.222799</v>
      </c>
      <c r="E1641" s="93">
        <v>0.13788</v>
      </c>
      <c r="F1641" s="94">
        <f t="shared" si="290"/>
        <v>4.3899999999999997</v>
      </c>
      <c r="H1641" s="95">
        <v>28.332999999999998</v>
      </c>
      <c r="I1641" s="96">
        <v>0.13788</v>
      </c>
      <c r="J1641" s="97">
        <f t="shared" si="291"/>
        <v>3.91</v>
      </c>
      <c r="L1641" s="119"/>
      <c r="M1641" s="119"/>
      <c r="N1641" s="119"/>
      <c r="O1641" s="104" t="s">
        <v>615</v>
      </c>
      <c r="P1641" s="67"/>
      <c r="AA1641">
        <v>31.863</v>
      </c>
      <c r="AB1641">
        <f>B1639*D1639+B1640*D1640+AA1641*D1641+AA1642*D1642+AA1643*D1643</f>
        <v>36.702994168000004</v>
      </c>
    </row>
    <row r="1642" spans="1:30" x14ac:dyDescent="0.2">
      <c r="A1642" s="89" t="s">
        <v>617</v>
      </c>
      <c r="B1642" s="90">
        <f>IF($P$1641&lt;&gt;"",ROUND(AA1642*(($AB$1641/(1-$P$1641))-29.785)/11.7794,2),IF('Resumen 2.0TD'!$D$3="OPTIMIZAR",AA1642,AA1642))</f>
        <v>17.294</v>
      </c>
      <c r="C1642" s="103"/>
      <c r="D1642" s="92">
        <v>0.222799</v>
      </c>
      <c r="E1642" s="93">
        <v>0.13788</v>
      </c>
      <c r="F1642" s="94">
        <f t="shared" si="290"/>
        <v>2.38</v>
      </c>
      <c r="H1642" s="95">
        <v>17.821000000000002</v>
      </c>
      <c r="I1642" s="96">
        <v>0.13788</v>
      </c>
      <c r="J1642" s="97">
        <f t="shared" si="291"/>
        <v>2.46</v>
      </c>
      <c r="L1642" s="119"/>
      <c r="M1642" s="119"/>
      <c r="N1642" s="119"/>
      <c r="O1642" s="105" t="s">
        <v>618</v>
      </c>
      <c r="R1642" s="102" t="s">
        <v>619</v>
      </c>
      <c r="AA1642">
        <v>17.294</v>
      </c>
    </row>
    <row r="1643" spans="1:30" x14ac:dyDescent="0.2">
      <c r="A1643" s="89" t="s">
        <v>620</v>
      </c>
      <c r="B1643" s="90">
        <f>IF($P$1641&lt;&gt;"",ROUND(AA1643*(($AB$1641/(1-$P$1641))-29.785)/11.7794,2),IF('Resumen 2.0TD'!$D$3="OPTIMIZAR",AA1643,AA1643))</f>
        <v>36.274999999999999</v>
      </c>
      <c r="C1643" s="103"/>
      <c r="D1643" s="92">
        <v>0.222799</v>
      </c>
      <c r="E1643" s="93">
        <v>0.13788</v>
      </c>
      <c r="F1643" s="94">
        <f t="shared" si="290"/>
        <v>5</v>
      </c>
      <c r="H1643" s="95">
        <v>42.064</v>
      </c>
      <c r="I1643" s="96">
        <v>0.13788</v>
      </c>
      <c r="J1643" s="97">
        <f t="shared" si="291"/>
        <v>5.8</v>
      </c>
      <c r="L1643" s="119"/>
      <c r="M1643" s="119"/>
      <c r="N1643" s="119"/>
      <c r="O1643" s="105" t="s">
        <v>621</v>
      </c>
      <c r="AA1643">
        <v>36.274999999999999</v>
      </c>
    </row>
    <row r="1644" spans="1:30" x14ac:dyDescent="0.2">
      <c r="A1644" s="89" t="s">
        <v>139</v>
      </c>
      <c r="B1644" s="90">
        <v>1</v>
      </c>
      <c r="C1644" s="91">
        <f>$N$1636-$L$1636+1</f>
        <v>30</v>
      </c>
      <c r="D1644" s="92">
        <v>0.79890000000000005</v>
      </c>
      <c r="E1644" s="93">
        <v>3</v>
      </c>
      <c r="F1644" s="94">
        <f t="shared" si="290"/>
        <v>3</v>
      </c>
      <c r="H1644" s="95">
        <v>1</v>
      </c>
      <c r="I1644" s="96">
        <v>3</v>
      </c>
      <c r="J1644" s="97">
        <f t="shared" si="291"/>
        <v>3</v>
      </c>
      <c r="L1644" s="119"/>
      <c r="M1644" s="119"/>
      <c r="N1644" s="119"/>
    </row>
    <row r="1645" spans="1:30" x14ac:dyDescent="0.2">
      <c r="A1645" s="89" t="s">
        <v>140</v>
      </c>
      <c r="B1645" s="90">
        <v>30</v>
      </c>
      <c r="C1645" s="91">
        <f>$N$1636-$L$1636+1</f>
        <v>30</v>
      </c>
      <c r="D1645" s="92">
        <v>0.5736</v>
      </c>
      <c r="E1645" s="93">
        <v>1.274E-2</v>
      </c>
      <c r="F1645" s="94">
        <f t="shared" si="290"/>
        <v>0.38</v>
      </c>
      <c r="H1645" s="95">
        <v>30</v>
      </c>
      <c r="I1645" s="96">
        <v>1.274E-2</v>
      </c>
      <c r="J1645" s="97">
        <f t="shared" si="291"/>
        <v>0.38</v>
      </c>
      <c r="L1645" s="119"/>
      <c r="M1645" s="119"/>
      <c r="N1645" s="119"/>
    </row>
    <row r="1646" spans="1:30" x14ac:dyDescent="0.2">
      <c r="A1646" s="89" t="s">
        <v>141</v>
      </c>
      <c r="B1646" s="90">
        <v>2.13</v>
      </c>
      <c r="C1646" s="103"/>
      <c r="D1646" s="92">
        <v>1.8710000000000001E-2</v>
      </c>
      <c r="E1646" s="93">
        <v>1</v>
      </c>
      <c r="F1646" s="94">
        <f t="shared" si="290"/>
        <v>2.13</v>
      </c>
      <c r="H1646" s="95">
        <v>2.15</v>
      </c>
      <c r="I1646" s="96">
        <v>1</v>
      </c>
      <c r="J1646" s="97">
        <f t="shared" si="291"/>
        <v>2.15</v>
      </c>
      <c r="L1646" s="119"/>
      <c r="M1646" s="119"/>
      <c r="N1646" s="119"/>
    </row>
    <row r="1647" spans="1:30" x14ac:dyDescent="0.2">
      <c r="A1647" s="106" t="s">
        <v>142</v>
      </c>
      <c r="F1647" s="107">
        <f>ROUND((SUM(F1639:F1646)-F1646)*1.1+F1646,2)</f>
        <v>51.56</v>
      </c>
      <c r="J1647" s="108">
        <f>ROUND(SUM(J1639:J1646),2)</f>
        <v>47.49</v>
      </c>
      <c r="N1647" s="120"/>
    </row>
    <row r="1648" spans="1:30" x14ac:dyDescent="0.2">
      <c r="A1648" s="78" t="s">
        <v>143</v>
      </c>
      <c r="B1648" s="110">
        <f>IF((F1643+F1642+F1641+F1639+F1640)=0,"",((F1643+F1642+F1641+F1639+F1640)-$AB$1641)/(F1643+F1642+F1641+F1639+F1640))</f>
        <v>0.11686732030798826</v>
      </c>
      <c r="D1648" s="139" t="str">
        <f>IF(B1648="","SIN PC",IF(B1648&gt;=0.3,"APROBAR",IF(B1648&gt;=0.2,"REVISAR","RECHAZAR")))</f>
        <v>RECHAZAR</v>
      </c>
      <c r="E1648" s="139"/>
      <c r="F1648" s="139"/>
      <c r="AD1648">
        <f>SUM(F1641:F1643)-11.7794</f>
        <v>-9.4000000000011852E-3</v>
      </c>
    </row>
    <row r="1650" spans="1:30" x14ac:dyDescent="0.2">
      <c r="A1650" s="137" t="s">
        <v>1386</v>
      </c>
      <c r="B1650" s="137"/>
      <c r="C1650" s="137"/>
      <c r="D1650" s="137"/>
      <c r="E1650" s="137"/>
      <c r="F1650" s="137"/>
      <c r="H1650" s="137" t="s">
        <v>1387</v>
      </c>
      <c r="I1650" s="137"/>
      <c r="J1650" s="137"/>
      <c r="K1650" s="137"/>
      <c r="L1650" s="76">
        <v>46113</v>
      </c>
      <c r="M1650" s="77" t="s">
        <v>607</v>
      </c>
      <c r="N1650" s="76">
        <v>46142</v>
      </c>
      <c r="R1650" s="138" t="s">
        <v>110</v>
      </c>
      <c r="S1650" s="138"/>
      <c r="T1650" s="138"/>
      <c r="U1650" s="138"/>
      <c r="V1650" s="138"/>
    </row>
    <row r="1651" spans="1:30" x14ac:dyDescent="0.2">
      <c r="A1651" s="78" t="s">
        <v>111</v>
      </c>
      <c r="B1651" s="79" t="s">
        <v>112</v>
      </c>
      <c r="C1651" s="80"/>
      <c r="D1651" s="80"/>
      <c r="E1651" s="80"/>
      <c r="F1651" s="80"/>
      <c r="H1651" s="81" t="s">
        <v>1388</v>
      </c>
      <c r="I1651" s="82"/>
      <c r="J1651" s="82"/>
      <c r="L1651" s="83" t="s">
        <v>796</v>
      </c>
      <c r="M1651" s="84"/>
      <c r="N1651" s="84"/>
      <c r="R1651" s="85" t="s">
        <v>797</v>
      </c>
    </row>
    <row r="1652" spans="1:30" x14ac:dyDescent="0.2">
      <c r="B1652" s="68" t="s">
        <v>116</v>
      </c>
      <c r="C1652" s="68" t="s">
        <v>117</v>
      </c>
      <c r="D1652" s="68" t="s">
        <v>118</v>
      </c>
      <c r="E1652" s="68" t="s">
        <v>119</v>
      </c>
      <c r="F1652" s="68" t="s">
        <v>120</v>
      </c>
      <c r="H1652" s="86" t="s">
        <v>116</v>
      </c>
      <c r="I1652" s="86" t="s">
        <v>119</v>
      </c>
      <c r="J1652" s="86" t="s">
        <v>120</v>
      </c>
      <c r="L1652" s="87" t="s">
        <v>116</v>
      </c>
      <c r="M1652" s="87" t="s">
        <v>119</v>
      </c>
      <c r="N1652" s="87" t="s">
        <v>120</v>
      </c>
      <c r="R1652" s="88" t="s">
        <v>764</v>
      </c>
    </row>
    <row r="1653" spans="1:30" x14ac:dyDescent="0.2">
      <c r="A1653" s="89" t="s">
        <v>122</v>
      </c>
      <c r="B1653" s="90">
        <v>4.4000000000000004</v>
      </c>
      <c r="C1653" s="91">
        <f>$N$1650-$L$1650+1</f>
        <v>30</v>
      </c>
      <c r="D1653" s="92">
        <v>3.68919</v>
      </c>
      <c r="E1653" s="93">
        <v>3.85</v>
      </c>
      <c r="F1653" s="94">
        <f t="shared" ref="F1653:F1660" si="292">ROUND(B1653*E1653,2)</f>
        <v>16.940000000000001</v>
      </c>
      <c r="H1653" s="95">
        <v>4.4000000000000004</v>
      </c>
      <c r="I1653" s="96">
        <v>3.85</v>
      </c>
      <c r="J1653" s="97">
        <f t="shared" ref="J1653:J1660" si="293">ROUND(H1653*I1653,2)</f>
        <v>16.940000000000001</v>
      </c>
      <c r="L1653" s="119"/>
      <c r="M1653" s="119"/>
      <c r="N1653" s="119"/>
      <c r="R1653" s="101" t="s">
        <v>798</v>
      </c>
    </row>
    <row r="1654" spans="1:30" x14ac:dyDescent="0.2">
      <c r="A1654" s="89" t="s">
        <v>124</v>
      </c>
      <c r="B1654" s="90">
        <v>4.4000000000000004</v>
      </c>
      <c r="C1654" s="91">
        <f>$N$1650-$L$1650+1</f>
        <v>30</v>
      </c>
      <c r="D1654" s="92">
        <v>1.31928</v>
      </c>
      <c r="E1654" s="93">
        <v>1.33</v>
      </c>
      <c r="F1654" s="94">
        <f t="shared" si="292"/>
        <v>5.85</v>
      </c>
      <c r="H1654" s="95">
        <v>4.4000000000000004</v>
      </c>
      <c r="I1654" s="96">
        <v>1.33</v>
      </c>
      <c r="J1654" s="97">
        <f t="shared" si="293"/>
        <v>5.85</v>
      </c>
      <c r="L1654" s="119"/>
      <c r="M1654" s="119"/>
      <c r="N1654" s="119"/>
    </row>
    <row r="1655" spans="1:30" x14ac:dyDescent="0.2">
      <c r="A1655" s="89" t="s">
        <v>614</v>
      </c>
      <c r="B1655" s="90">
        <f>IF($P$1655&lt;&gt;"",ROUND(AA1655*(($AB$1655/(1-$P$1655))-22.792)/21.0475,2),IF('Resumen 2.0TD'!$D$3="OPTIMIZAR",AA1655,AA1655))</f>
        <v>43.043999999999997</v>
      </c>
      <c r="C1655" s="103"/>
      <c r="D1655" s="92">
        <v>0.11117100000000001</v>
      </c>
      <c r="E1655" s="93">
        <v>0.13788</v>
      </c>
      <c r="F1655" s="94">
        <f t="shared" si="292"/>
        <v>5.93</v>
      </c>
      <c r="H1655" s="95">
        <v>48.267000000000003</v>
      </c>
      <c r="I1655" s="96">
        <v>0.13788</v>
      </c>
      <c r="J1655" s="97">
        <f t="shared" si="293"/>
        <v>6.66</v>
      </c>
      <c r="L1655" s="119"/>
      <c r="M1655" s="119"/>
      <c r="N1655" s="119"/>
      <c r="O1655" s="104" t="s">
        <v>615</v>
      </c>
      <c r="P1655" s="67"/>
      <c r="AA1655">
        <v>43.043999999999997</v>
      </c>
      <c r="AB1655">
        <f>B1653*D1653+B1654*D1654+AA1655*D1655+AA1656*D1656+AA1657*D1657</f>
        <v>39.007632321000003</v>
      </c>
    </row>
    <row r="1656" spans="1:30" x14ac:dyDescent="0.2">
      <c r="A1656" s="89" t="s">
        <v>617</v>
      </c>
      <c r="B1656" s="90">
        <f>IF($P$1655&lt;&gt;"",ROUND(AA1656*(($AB$1655/(1-$P$1655))-22.792)/21.0475,2),IF('Resumen 2.0TD'!$D$3="OPTIMIZAR",AA1656,AA1656))</f>
        <v>38.124000000000002</v>
      </c>
      <c r="C1656" s="103"/>
      <c r="D1656" s="92">
        <v>0.11117100000000001</v>
      </c>
      <c r="E1656" s="93">
        <v>0.13788</v>
      </c>
      <c r="F1656" s="94">
        <f t="shared" si="292"/>
        <v>5.26</v>
      </c>
      <c r="H1656" s="95">
        <v>51.180999999999997</v>
      </c>
      <c r="I1656" s="96">
        <v>0.13788</v>
      </c>
      <c r="J1656" s="97">
        <f t="shared" si="293"/>
        <v>7.06</v>
      </c>
      <c r="L1656" s="119"/>
      <c r="M1656" s="119"/>
      <c r="N1656" s="119"/>
      <c r="O1656" s="105" t="s">
        <v>618</v>
      </c>
      <c r="R1656" s="102" t="s">
        <v>619</v>
      </c>
      <c r="AA1656">
        <v>38.124000000000002</v>
      </c>
    </row>
    <row r="1657" spans="1:30" x14ac:dyDescent="0.2">
      <c r="A1657" s="89" t="s">
        <v>620</v>
      </c>
      <c r="B1657" s="90">
        <f>IF($P$1655&lt;&gt;"",ROUND(AA1657*(($AB$1655/(1-$P$1655))-22.792)/21.0475,2),IF('Resumen 2.0TD'!$D$3="OPTIMIZAR",AA1657,AA1657))</f>
        <v>71.483000000000004</v>
      </c>
      <c r="C1657" s="103"/>
      <c r="D1657" s="92">
        <v>0.11117100000000001</v>
      </c>
      <c r="E1657" s="93">
        <v>0.13788</v>
      </c>
      <c r="F1657" s="94">
        <f t="shared" si="292"/>
        <v>9.86</v>
      </c>
      <c r="H1657" s="95">
        <v>76.515000000000001</v>
      </c>
      <c r="I1657" s="96">
        <v>0.13788</v>
      </c>
      <c r="J1657" s="97">
        <f t="shared" si="293"/>
        <v>10.55</v>
      </c>
      <c r="L1657" s="119"/>
      <c r="M1657" s="119"/>
      <c r="N1657" s="119"/>
      <c r="O1657" s="105" t="s">
        <v>621</v>
      </c>
      <c r="AA1657">
        <v>71.483000000000004</v>
      </c>
    </row>
    <row r="1658" spans="1:30" x14ac:dyDescent="0.2">
      <c r="A1658" s="89" t="s">
        <v>139</v>
      </c>
      <c r="B1658" s="90">
        <v>1</v>
      </c>
      <c r="C1658" s="91">
        <f>$N$1650-$L$1650+1</f>
        <v>30</v>
      </c>
      <c r="D1658" s="92">
        <v>0.79890000000000005</v>
      </c>
      <c r="E1658" s="93">
        <v>3</v>
      </c>
      <c r="F1658" s="94">
        <f t="shared" si="292"/>
        <v>3</v>
      </c>
      <c r="H1658" s="95">
        <v>1</v>
      </c>
      <c r="I1658" s="96">
        <v>3</v>
      </c>
      <c r="J1658" s="97">
        <f t="shared" si="293"/>
        <v>3</v>
      </c>
      <c r="L1658" s="119"/>
      <c r="M1658" s="119"/>
      <c r="N1658" s="119"/>
    </row>
    <row r="1659" spans="1:30" x14ac:dyDescent="0.2">
      <c r="A1659" s="89" t="s">
        <v>140</v>
      </c>
      <c r="B1659" s="90">
        <v>30</v>
      </c>
      <c r="C1659" s="91">
        <f>$N$1650-$L$1650+1</f>
        <v>30</v>
      </c>
      <c r="D1659" s="92">
        <v>0.5736</v>
      </c>
      <c r="E1659" s="93">
        <v>1.274E-2</v>
      </c>
      <c r="F1659" s="94">
        <f t="shared" si="292"/>
        <v>0.38</v>
      </c>
      <c r="H1659" s="95">
        <v>30</v>
      </c>
      <c r="I1659" s="96">
        <v>1.274E-2</v>
      </c>
      <c r="J1659" s="97">
        <f t="shared" si="293"/>
        <v>0.38</v>
      </c>
      <c r="L1659" s="119"/>
      <c r="M1659" s="119"/>
      <c r="N1659" s="119"/>
    </row>
    <row r="1660" spans="1:30" x14ac:dyDescent="0.2">
      <c r="A1660" s="89" t="s">
        <v>141</v>
      </c>
      <c r="B1660" s="90">
        <v>2.25</v>
      </c>
      <c r="C1660" s="103"/>
      <c r="D1660" s="92">
        <v>0.27311999999999997</v>
      </c>
      <c r="E1660" s="93">
        <v>1</v>
      </c>
      <c r="F1660" s="94">
        <f t="shared" si="292"/>
        <v>2.25</v>
      </c>
      <c r="H1660" s="95">
        <v>2.41</v>
      </c>
      <c r="I1660" s="96">
        <v>1</v>
      </c>
      <c r="J1660" s="97">
        <f t="shared" si="293"/>
        <v>2.41</v>
      </c>
      <c r="L1660" s="119"/>
      <c r="M1660" s="119"/>
      <c r="N1660" s="119"/>
    </row>
    <row r="1661" spans="1:30" x14ac:dyDescent="0.2">
      <c r="A1661" s="106" t="s">
        <v>142</v>
      </c>
      <c r="F1661" s="107">
        <f>ROUND((SUM(F1653:F1660)-F1660)*1.1+F1660,2)</f>
        <v>54.19</v>
      </c>
      <c r="J1661" s="108">
        <f>ROUND(SUM(J1653:J1660),2)</f>
        <v>52.85</v>
      </c>
      <c r="N1661" s="120"/>
    </row>
    <row r="1662" spans="1:30" x14ac:dyDescent="0.2">
      <c r="A1662" s="78" t="s">
        <v>143</v>
      </c>
      <c r="B1662" s="110">
        <f>IF((F1657+F1656+F1655+F1653+F1654)=0,"",((F1657+F1656+F1655+F1653+F1654)-$AB$1655)/(F1657+F1656+F1655+F1653+F1654))</f>
        <v>0.1102273649406933</v>
      </c>
      <c r="D1662" s="139" t="str">
        <f>IF(B1662="","SIN PC",IF(B1662&gt;=0.3,"APROBAR",IF(B1662&gt;=0.2,"REVISAR","RECHAZAR")))</f>
        <v>RECHAZAR</v>
      </c>
      <c r="E1662" s="139"/>
      <c r="F1662" s="139"/>
      <c r="AD1662">
        <f>SUM(F1655:F1657)-21.0475</f>
        <v>2.4999999999977263E-3</v>
      </c>
    </row>
    <row r="1664" spans="1:30" x14ac:dyDescent="0.2">
      <c r="A1664" s="137" t="s">
        <v>1389</v>
      </c>
      <c r="B1664" s="137"/>
      <c r="C1664" s="137"/>
      <c r="D1664" s="137"/>
      <c r="E1664" s="137"/>
      <c r="F1664" s="137"/>
      <c r="H1664" s="137" t="s">
        <v>1390</v>
      </c>
      <c r="I1664" s="137"/>
      <c r="J1664" s="137"/>
      <c r="K1664" s="137"/>
      <c r="L1664" s="76">
        <v>46113</v>
      </c>
      <c r="M1664" s="77" t="s">
        <v>607</v>
      </c>
      <c r="N1664" s="76">
        <v>46142</v>
      </c>
      <c r="R1664" s="138" t="s">
        <v>110</v>
      </c>
      <c r="S1664" s="138"/>
      <c r="T1664" s="138"/>
      <c r="U1664" s="138"/>
      <c r="V1664" s="138"/>
    </row>
    <row r="1665" spans="1:30" x14ac:dyDescent="0.2">
      <c r="A1665" s="78" t="s">
        <v>111</v>
      </c>
      <c r="B1665" s="79" t="s">
        <v>112</v>
      </c>
      <c r="C1665" s="80"/>
      <c r="D1665" s="80"/>
      <c r="E1665" s="80"/>
      <c r="F1665" s="80"/>
      <c r="H1665" s="81" t="s">
        <v>1391</v>
      </c>
      <c r="I1665" s="82"/>
      <c r="J1665" s="82"/>
      <c r="L1665" s="83" t="s">
        <v>796</v>
      </c>
      <c r="M1665" s="84"/>
      <c r="N1665" s="84"/>
      <c r="R1665" s="85" t="s">
        <v>1364</v>
      </c>
    </row>
    <row r="1666" spans="1:30" x14ac:dyDescent="0.2">
      <c r="B1666" s="68" t="s">
        <v>116</v>
      </c>
      <c r="C1666" s="68" t="s">
        <v>117</v>
      </c>
      <c r="D1666" s="68" t="s">
        <v>118</v>
      </c>
      <c r="E1666" s="68" t="s">
        <v>119</v>
      </c>
      <c r="F1666" s="68" t="s">
        <v>120</v>
      </c>
      <c r="H1666" s="86" t="s">
        <v>116</v>
      </c>
      <c r="I1666" s="86" t="s">
        <v>119</v>
      </c>
      <c r="J1666" s="86" t="s">
        <v>120</v>
      </c>
      <c r="L1666" s="87" t="s">
        <v>116</v>
      </c>
      <c r="M1666" s="87" t="s">
        <v>119</v>
      </c>
      <c r="N1666" s="87" t="s">
        <v>120</v>
      </c>
      <c r="R1666" s="88" t="s">
        <v>764</v>
      </c>
    </row>
    <row r="1667" spans="1:30" x14ac:dyDescent="0.2">
      <c r="A1667" s="89" t="s">
        <v>122</v>
      </c>
      <c r="B1667" s="90">
        <v>3.45</v>
      </c>
      <c r="C1667" s="91">
        <f>$N$1664-$L$1664+1</f>
        <v>30</v>
      </c>
      <c r="D1667" s="92">
        <v>3.68919</v>
      </c>
      <c r="E1667" s="93">
        <v>3.85</v>
      </c>
      <c r="F1667" s="94">
        <f t="shared" ref="F1667:F1674" si="294">ROUND(B1667*E1667,2)</f>
        <v>13.28</v>
      </c>
      <c r="H1667" s="95">
        <v>3.45</v>
      </c>
      <c r="I1667" s="96">
        <v>3.85</v>
      </c>
      <c r="J1667" s="97">
        <f t="shared" ref="J1667:J1674" si="295">ROUND(H1667*I1667,2)</f>
        <v>13.28</v>
      </c>
      <c r="L1667" s="119"/>
      <c r="M1667" s="119"/>
      <c r="N1667" s="119"/>
      <c r="R1667" s="101" t="s">
        <v>1365</v>
      </c>
    </row>
    <row r="1668" spans="1:30" x14ac:dyDescent="0.2">
      <c r="A1668" s="89" t="s">
        <v>124</v>
      </c>
      <c r="B1668" s="90">
        <v>3.45</v>
      </c>
      <c r="C1668" s="91">
        <f>$N$1664-$L$1664+1</f>
        <v>30</v>
      </c>
      <c r="D1668" s="92">
        <v>1.31928</v>
      </c>
      <c r="E1668" s="93">
        <v>1.33</v>
      </c>
      <c r="F1668" s="94">
        <f t="shared" si="294"/>
        <v>4.59</v>
      </c>
      <c r="H1668" s="95">
        <v>3.45</v>
      </c>
      <c r="I1668" s="96">
        <v>1.33</v>
      </c>
      <c r="J1668" s="97">
        <f t="shared" si="295"/>
        <v>4.59</v>
      </c>
      <c r="L1668" s="119"/>
      <c r="M1668" s="119"/>
      <c r="N1668" s="119"/>
    </row>
    <row r="1669" spans="1:30" x14ac:dyDescent="0.2">
      <c r="A1669" s="89" t="s">
        <v>614</v>
      </c>
      <c r="B1669" s="90">
        <f>IF($P$1669&lt;&gt;"",ROUND(AA1669*(($AB$1669/(1-$P$1669))-17.871)/67.1602,2),IF('Resumen 2.0TD'!$D$3="OPTIMIZAR",AA1669,AA1669))</f>
        <v>138.93100000000001</v>
      </c>
      <c r="C1669" s="103"/>
      <c r="D1669" s="92">
        <v>0.11117100000000001</v>
      </c>
      <c r="E1669" s="93">
        <v>0.13788</v>
      </c>
      <c r="F1669" s="94">
        <f t="shared" si="294"/>
        <v>19.16</v>
      </c>
      <c r="H1669" s="95">
        <v>174.50299999999999</v>
      </c>
      <c r="I1669" s="96">
        <v>0.13788</v>
      </c>
      <c r="J1669" s="97">
        <f t="shared" si="295"/>
        <v>24.06</v>
      </c>
      <c r="L1669" s="119"/>
      <c r="M1669" s="119"/>
      <c r="N1669" s="119"/>
      <c r="O1669" s="104" t="s">
        <v>615</v>
      </c>
      <c r="P1669" s="67"/>
      <c r="AA1669">
        <v>138.93100000000001</v>
      </c>
      <c r="AB1669">
        <f>B1667*D1667+B1668*D1668+AA1669*D1669+AA1670*D1670+AA1671*D1671</f>
        <v>71.429726232000007</v>
      </c>
    </row>
    <row r="1670" spans="1:30" x14ac:dyDescent="0.2">
      <c r="A1670" s="89" t="s">
        <v>617</v>
      </c>
      <c r="B1670" s="90">
        <f>IF($P$1669&lt;&gt;"",ROUND(AA1670*(($AB$1669/(1-$P$1669))-17.871)/67.1602,2),IF('Resumen 2.0TD'!$D$3="OPTIMIZAR",AA1670,AA1670))</f>
        <v>133.25200000000001</v>
      </c>
      <c r="C1670" s="103"/>
      <c r="D1670" s="92">
        <v>0.11117100000000001</v>
      </c>
      <c r="E1670" s="93">
        <v>0.13788</v>
      </c>
      <c r="F1670" s="94">
        <f t="shared" si="294"/>
        <v>18.37</v>
      </c>
      <c r="H1670" s="95">
        <v>169.28899999999999</v>
      </c>
      <c r="I1670" s="96">
        <v>0.13788</v>
      </c>
      <c r="J1670" s="97">
        <f t="shared" si="295"/>
        <v>23.34</v>
      </c>
      <c r="L1670" s="119"/>
      <c r="M1670" s="119"/>
      <c r="N1670" s="119"/>
      <c r="O1670" s="105" t="s">
        <v>618</v>
      </c>
      <c r="R1670" s="102" t="s">
        <v>619</v>
      </c>
      <c r="AA1670">
        <v>133.25200000000001</v>
      </c>
    </row>
    <row r="1671" spans="1:30" x14ac:dyDescent="0.2">
      <c r="A1671" s="89" t="s">
        <v>620</v>
      </c>
      <c r="B1671" s="90">
        <f>IF($P$1669&lt;&gt;"",ROUND(AA1671*(($AB$1669/(1-$P$1669))-17.871)/67.1602,2),IF('Resumen 2.0TD'!$D$3="OPTIMIZAR",AA1671,AA1671))</f>
        <v>214.90899999999999</v>
      </c>
      <c r="C1671" s="103"/>
      <c r="D1671" s="92">
        <v>0.11117100000000001</v>
      </c>
      <c r="E1671" s="93">
        <v>0.13788</v>
      </c>
      <c r="F1671" s="94">
        <f t="shared" si="294"/>
        <v>29.63</v>
      </c>
      <c r="H1671" s="95">
        <v>259.87200000000001</v>
      </c>
      <c r="I1671" s="96">
        <v>0.13788</v>
      </c>
      <c r="J1671" s="97">
        <f t="shared" si="295"/>
        <v>35.83</v>
      </c>
      <c r="L1671" s="119"/>
      <c r="M1671" s="119"/>
      <c r="N1671" s="119"/>
      <c r="O1671" s="105" t="s">
        <v>621</v>
      </c>
      <c r="AA1671">
        <v>214.90899999999999</v>
      </c>
    </row>
    <row r="1672" spans="1:30" x14ac:dyDescent="0.2">
      <c r="A1672" s="89" t="s">
        <v>139</v>
      </c>
      <c r="B1672" s="90">
        <v>1</v>
      </c>
      <c r="C1672" s="91">
        <f>$N$1664-$L$1664+1</f>
        <v>30</v>
      </c>
      <c r="D1672" s="92">
        <v>0.79890000000000005</v>
      </c>
      <c r="E1672" s="93">
        <v>3</v>
      </c>
      <c r="F1672" s="94">
        <f t="shared" si="294"/>
        <v>3</v>
      </c>
      <c r="H1672" s="95">
        <v>1</v>
      </c>
      <c r="I1672" s="96">
        <v>3</v>
      </c>
      <c r="J1672" s="97">
        <f t="shared" si="295"/>
        <v>3</v>
      </c>
      <c r="L1672" s="119"/>
      <c r="M1672" s="119"/>
      <c r="N1672" s="119"/>
    </row>
    <row r="1673" spans="1:30" x14ac:dyDescent="0.2">
      <c r="A1673" s="89" t="s">
        <v>140</v>
      </c>
      <c r="B1673" s="90">
        <v>30</v>
      </c>
      <c r="C1673" s="91">
        <f>$N$1664-$L$1664+1</f>
        <v>30</v>
      </c>
      <c r="D1673" s="92">
        <v>0.5736</v>
      </c>
      <c r="E1673" s="93">
        <v>1.274E-2</v>
      </c>
      <c r="F1673" s="94">
        <f t="shared" si="294"/>
        <v>0.38</v>
      </c>
      <c r="H1673" s="95">
        <v>30</v>
      </c>
      <c r="I1673" s="96">
        <v>1.274E-2</v>
      </c>
      <c r="J1673" s="97">
        <f t="shared" si="295"/>
        <v>0.38</v>
      </c>
      <c r="L1673" s="119"/>
      <c r="M1673" s="119"/>
      <c r="N1673" s="119"/>
    </row>
    <row r="1674" spans="1:30" x14ac:dyDescent="0.2">
      <c r="A1674" s="89" t="s">
        <v>141</v>
      </c>
      <c r="B1674" s="90">
        <v>4.3499999999999996</v>
      </c>
      <c r="C1674" s="103"/>
      <c r="D1674" s="92">
        <v>0.27311999999999997</v>
      </c>
      <c r="E1674" s="93">
        <v>1</v>
      </c>
      <c r="F1674" s="94">
        <f t="shared" si="294"/>
        <v>4.3499999999999996</v>
      </c>
      <c r="H1674" s="95">
        <v>5.18</v>
      </c>
      <c r="I1674" s="96">
        <v>1</v>
      </c>
      <c r="J1674" s="97">
        <f t="shared" si="295"/>
        <v>5.18</v>
      </c>
      <c r="L1674" s="119"/>
      <c r="M1674" s="119"/>
      <c r="N1674" s="119"/>
    </row>
    <row r="1675" spans="1:30" x14ac:dyDescent="0.2">
      <c r="A1675" s="106" t="s">
        <v>142</v>
      </c>
      <c r="F1675" s="107">
        <f>ROUND((SUM(F1667:F1674)-F1674)*1.1+F1674,2)</f>
        <v>101.6</v>
      </c>
      <c r="J1675" s="108">
        <f>ROUND(SUM(J1667:J1674),2)</f>
        <v>109.66</v>
      </c>
      <c r="N1675" s="120"/>
    </row>
    <row r="1676" spans="1:30" x14ac:dyDescent="0.2">
      <c r="A1676" s="78" t="s">
        <v>143</v>
      </c>
      <c r="B1676" s="110">
        <f>IF((F1671+F1670+F1669+F1667+F1668)=0,"",((F1671+F1670+F1669+F1667+F1668)-$AB$1669)/(F1671+F1670+F1669+F1667+F1668))</f>
        <v>0.15994676899917668</v>
      </c>
      <c r="D1676" s="139" t="str">
        <f>IF(B1676="","SIN PC",IF(B1676&gt;=0.3,"APROBAR",IF(B1676&gt;=0.2,"REVISAR","RECHAZAR")))</f>
        <v>RECHAZAR</v>
      </c>
      <c r="E1676" s="139"/>
      <c r="F1676" s="139"/>
      <c r="AD1676">
        <f>SUM(F1669:F1671)-67.1602</f>
        <v>-2.0000000000663931E-4</v>
      </c>
    </row>
    <row r="1678" spans="1:30" x14ac:dyDescent="0.2">
      <c r="A1678" s="137" t="s">
        <v>1392</v>
      </c>
      <c r="B1678" s="137"/>
      <c r="C1678" s="137"/>
      <c r="D1678" s="137"/>
      <c r="E1678" s="137"/>
      <c r="F1678" s="137"/>
      <c r="H1678" s="137" t="s">
        <v>1393</v>
      </c>
      <c r="I1678" s="137"/>
      <c r="J1678" s="137"/>
      <c r="K1678" s="137"/>
      <c r="L1678" s="76">
        <v>46113</v>
      </c>
      <c r="M1678" s="77" t="s">
        <v>607</v>
      </c>
      <c r="N1678" s="76">
        <v>46142</v>
      </c>
      <c r="R1678" s="138" t="s">
        <v>110</v>
      </c>
      <c r="S1678" s="138"/>
      <c r="T1678" s="138"/>
      <c r="U1678" s="138"/>
      <c r="V1678" s="138"/>
    </row>
    <row r="1679" spans="1:30" x14ac:dyDescent="0.2">
      <c r="A1679" s="78" t="s">
        <v>111</v>
      </c>
      <c r="B1679" s="79" t="s">
        <v>112</v>
      </c>
      <c r="C1679" s="80"/>
      <c r="D1679" s="80"/>
      <c r="E1679" s="80"/>
      <c r="F1679" s="80"/>
      <c r="H1679" s="81" t="s">
        <v>1394</v>
      </c>
      <c r="I1679" s="82"/>
      <c r="J1679" s="82"/>
      <c r="L1679" s="83" t="s">
        <v>796</v>
      </c>
      <c r="M1679" s="84"/>
      <c r="N1679" s="84"/>
      <c r="R1679" s="85" t="s">
        <v>797</v>
      </c>
    </row>
    <row r="1680" spans="1:30" x14ac:dyDescent="0.2">
      <c r="B1680" s="68" t="s">
        <v>116</v>
      </c>
      <c r="C1680" s="68" t="s">
        <v>117</v>
      </c>
      <c r="D1680" s="68" t="s">
        <v>118</v>
      </c>
      <c r="E1680" s="68" t="s">
        <v>119</v>
      </c>
      <c r="F1680" s="68" t="s">
        <v>120</v>
      </c>
      <c r="H1680" s="86" t="s">
        <v>116</v>
      </c>
      <c r="I1680" s="86" t="s">
        <v>119</v>
      </c>
      <c r="J1680" s="86" t="s">
        <v>120</v>
      </c>
      <c r="L1680" s="87" t="s">
        <v>116</v>
      </c>
      <c r="M1680" s="87" t="s">
        <v>119</v>
      </c>
      <c r="N1680" s="87" t="s">
        <v>120</v>
      </c>
      <c r="R1680" s="88" t="s">
        <v>764</v>
      </c>
    </row>
    <row r="1681" spans="1:30" x14ac:dyDescent="0.2">
      <c r="A1681" s="89" t="s">
        <v>122</v>
      </c>
      <c r="B1681" s="90">
        <v>5.75</v>
      </c>
      <c r="C1681" s="91">
        <f>$N$1678-$L$1678+1</f>
        <v>30</v>
      </c>
      <c r="D1681" s="92">
        <v>3.68919</v>
      </c>
      <c r="E1681" s="93">
        <v>3.85</v>
      </c>
      <c r="F1681" s="94">
        <f t="shared" ref="F1681:F1688" si="296">ROUND(B1681*E1681,2)</f>
        <v>22.14</v>
      </c>
      <c r="H1681" s="95">
        <v>5.75</v>
      </c>
      <c r="I1681" s="96">
        <v>3.85</v>
      </c>
      <c r="J1681" s="97">
        <f t="shared" ref="J1681:J1688" si="297">ROUND(H1681*I1681,2)</f>
        <v>22.14</v>
      </c>
      <c r="L1681" s="119"/>
      <c r="M1681" s="119"/>
      <c r="N1681" s="119"/>
      <c r="R1681" s="101" t="s">
        <v>798</v>
      </c>
    </row>
    <row r="1682" spans="1:30" x14ac:dyDescent="0.2">
      <c r="A1682" s="89" t="s">
        <v>124</v>
      </c>
      <c r="B1682" s="90">
        <v>5.75</v>
      </c>
      <c r="C1682" s="91">
        <f>$N$1678-$L$1678+1</f>
        <v>30</v>
      </c>
      <c r="D1682" s="92">
        <v>1.31928</v>
      </c>
      <c r="E1682" s="93">
        <v>1.33</v>
      </c>
      <c r="F1682" s="94">
        <f t="shared" si="296"/>
        <v>7.65</v>
      </c>
      <c r="H1682" s="95">
        <v>5.75</v>
      </c>
      <c r="I1682" s="96">
        <v>1.33</v>
      </c>
      <c r="J1682" s="97">
        <f t="shared" si="297"/>
        <v>7.65</v>
      </c>
      <c r="L1682" s="119"/>
      <c r="M1682" s="119"/>
      <c r="N1682" s="119"/>
    </row>
    <row r="1683" spans="1:30" x14ac:dyDescent="0.2">
      <c r="A1683" s="89" t="s">
        <v>614</v>
      </c>
      <c r="B1683" s="90">
        <f>IF($P$1683&lt;&gt;"",ROUND(AA1683*(($AB$1683/(1-$P$1683))-29.785)/6.881,2),IF('Resumen 2.0TD'!$D$3="OPTIMIZAR",AA1683,AA1683))</f>
        <v>9.5169999999999995</v>
      </c>
      <c r="C1683" s="103"/>
      <c r="D1683" s="92">
        <v>0.11117100000000001</v>
      </c>
      <c r="E1683" s="93">
        <v>0.13788</v>
      </c>
      <c r="F1683" s="94">
        <f t="shared" si="296"/>
        <v>1.31</v>
      </c>
      <c r="H1683" s="95">
        <v>25.440999999999999</v>
      </c>
      <c r="I1683" s="96">
        <v>0.13788</v>
      </c>
      <c r="J1683" s="97">
        <f t="shared" si="297"/>
        <v>3.51</v>
      </c>
      <c r="L1683" s="119"/>
      <c r="M1683" s="119"/>
      <c r="N1683" s="119"/>
      <c r="O1683" s="104" t="s">
        <v>615</v>
      </c>
      <c r="P1683" s="67"/>
      <c r="AA1683">
        <v>9.5169999999999995</v>
      </c>
      <c r="AB1683">
        <f>B1681*D1681+B1682*D1682+AA1683*D1683+AA1684*D1684+AA1685*D1685</f>
        <v>34.346802425999996</v>
      </c>
    </row>
    <row r="1684" spans="1:30" x14ac:dyDescent="0.2">
      <c r="A1684" s="89" t="s">
        <v>617</v>
      </c>
      <c r="B1684" s="90">
        <f>IF($P$1683&lt;&gt;"",ROUND(AA1684*(($AB$1683/(1-$P$1683))-29.785)/6.881,2),IF('Resumen 2.0TD'!$D$3="OPTIMIZAR",AA1684,AA1684))</f>
        <v>15.845000000000001</v>
      </c>
      <c r="C1684" s="103"/>
      <c r="D1684" s="92">
        <v>0.11117100000000001</v>
      </c>
      <c r="E1684" s="93">
        <v>0.13788</v>
      </c>
      <c r="F1684" s="94">
        <f t="shared" si="296"/>
        <v>2.1800000000000002</v>
      </c>
      <c r="H1684" s="95">
        <v>16.664000000000001</v>
      </c>
      <c r="I1684" s="96">
        <v>0.13788</v>
      </c>
      <c r="J1684" s="97">
        <f t="shared" si="297"/>
        <v>2.2999999999999998</v>
      </c>
      <c r="L1684" s="119"/>
      <c r="M1684" s="119"/>
      <c r="N1684" s="119"/>
      <c r="O1684" s="105" t="s">
        <v>618</v>
      </c>
      <c r="R1684" s="102" t="s">
        <v>619</v>
      </c>
      <c r="AA1684">
        <v>15.845000000000001</v>
      </c>
    </row>
    <row r="1685" spans="1:30" x14ac:dyDescent="0.2">
      <c r="A1685" s="89" t="s">
        <v>620</v>
      </c>
      <c r="B1685" s="90">
        <f>IF($P$1683&lt;&gt;"",ROUND(AA1685*(($AB$1683/(1-$P$1683))-29.785)/6.881,2),IF('Resumen 2.0TD'!$D$3="OPTIMIZAR",AA1685,AA1685))</f>
        <v>24.544</v>
      </c>
      <c r="C1685" s="103"/>
      <c r="D1685" s="92">
        <v>0.11117100000000001</v>
      </c>
      <c r="E1685" s="93">
        <v>0.13788</v>
      </c>
      <c r="F1685" s="94">
        <f t="shared" si="296"/>
        <v>3.38</v>
      </c>
      <c r="H1685" s="95">
        <v>21.789000000000001</v>
      </c>
      <c r="I1685" s="96">
        <v>0.13788</v>
      </c>
      <c r="J1685" s="97">
        <f t="shared" si="297"/>
        <v>3</v>
      </c>
      <c r="L1685" s="119"/>
      <c r="M1685" s="119"/>
      <c r="N1685" s="119"/>
      <c r="O1685" s="105" t="s">
        <v>621</v>
      </c>
      <c r="AA1685">
        <v>24.544</v>
      </c>
    </row>
    <row r="1686" spans="1:30" x14ac:dyDescent="0.2">
      <c r="A1686" s="89" t="s">
        <v>139</v>
      </c>
      <c r="B1686" s="90">
        <v>1</v>
      </c>
      <c r="C1686" s="91">
        <f>$N$1678-$L$1678+1</f>
        <v>30</v>
      </c>
      <c r="D1686" s="92">
        <v>0.79890000000000005</v>
      </c>
      <c r="E1686" s="93">
        <v>3</v>
      </c>
      <c r="F1686" s="94">
        <f t="shared" si="296"/>
        <v>3</v>
      </c>
      <c r="H1686" s="95">
        <v>1</v>
      </c>
      <c r="I1686" s="96">
        <v>3</v>
      </c>
      <c r="J1686" s="97">
        <f t="shared" si="297"/>
        <v>3</v>
      </c>
      <c r="L1686" s="119"/>
      <c r="M1686" s="119"/>
      <c r="N1686" s="119"/>
    </row>
    <row r="1687" spans="1:30" x14ac:dyDescent="0.2">
      <c r="A1687" s="89" t="s">
        <v>140</v>
      </c>
      <c r="B1687" s="90">
        <v>30</v>
      </c>
      <c r="C1687" s="91">
        <f>$N$1678-$L$1678+1</f>
        <v>30</v>
      </c>
      <c r="D1687" s="92">
        <v>0.5736</v>
      </c>
      <c r="E1687" s="93">
        <v>1.274E-2</v>
      </c>
      <c r="F1687" s="94">
        <f t="shared" si="296"/>
        <v>0.38</v>
      </c>
      <c r="H1687" s="95">
        <v>30</v>
      </c>
      <c r="I1687" s="96">
        <v>1.274E-2</v>
      </c>
      <c r="J1687" s="97">
        <f t="shared" si="297"/>
        <v>0.38</v>
      </c>
      <c r="L1687" s="119"/>
      <c r="M1687" s="119"/>
      <c r="N1687" s="119"/>
    </row>
    <row r="1688" spans="1:30" x14ac:dyDescent="0.2">
      <c r="A1688" s="89" t="s">
        <v>141</v>
      </c>
      <c r="B1688" s="90">
        <v>1.88</v>
      </c>
      <c r="C1688" s="103"/>
      <c r="D1688" s="92">
        <v>2.6710000000000001E-2</v>
      </c>
      <c r="E1688" s="93">
        <v>1</v>
      </c>
      <c r="F1688" s="94">
        <f t="shared" si="296"/>
        <v>1.88</v>
      </c>
      <c r="H1688" s="95">
        <v>1.98</v>
      </c>
      <c r="I1688" s="96">
        <v>1</v>
      </c>
      <c r="J1688" s="97">
        <f t="shared" si="297"/>
        <v>1.98</v>
      </c>
      <c r="L1688" s="119"/>
      <c r="M1688" s="119"/>
      <c r="N1688" s="119"/>
    </row>
    <row r="1689" spans="1:30" x14ac:dyDescent="0.2">
      <c r="A1689" s="106" t="s">
        <v>142</v>
      </c>
      <c r="F1689" s="107">
        <f>ROUND((SUM(F1681:F1688)-F1688)*1.1+F1688,2)</f>
        <v>45.92</v>
      </c>
      <c r="J1689" s="108">
        <f>ROUND(SUM(J1681:J1688),2)</f>
        <v>43.96</v>
      </c>
      <c r="N1689" s="120"/>
    </row>
    <row r="1690" spans="1:30" x14ac:dyDescent="0.2">
      <c r="A1690" s="78" t="s">
        <v>143</v>
      </c>
      <c r="B1690" s="110">
        <f>IF((F1685+F1684+F1683+F1681+F1682)=0,"",((F1685+F1684+F1683+F1681+F1682)-$AB$1683)/(F1685+F1684+F1683+F1681+F1682))</f>
        <v>6.3098679050736683E-2</v>
      </c>
      <c r="D1690" s="139" t="str">
        <f>IF(B1690="","SIN PC",IF(B1690&gt;=0.3,"APROBAR",IF(B1690&gt;=0.2,"REVISAR","RECHAZAR")))</f>
        <v>RECHAZAR</v>
      </c>
      <c r="E1690" s="139"/>
      <c r="F1690" s="139"/>
      <c r="AD1690">
        <f>SUM(F1683:F1685)-6.881</f>
        <v>-1.1000000000000121E-2</v>
      </c>
    </row>
    <row r="1692" spans="1:30" x14ac:dyDescent="0.2">
      <c r="A1692" s="137" t="s">
        <v>1395</v>
      </c>
      <c r="B1692" s="137"/>
      <c r="C1692" s="137"/>
      <c r="D1692" s="137"/>
      <c r="E1692" s="137"/>
      <c r="F1692" s="137"/>
      <c r="H1692" s="137" t="s">
        <v>1396</v>
      </c>
      <c r="I1692" s="137"/>
      <c r="J1692" s="137"/>
      <c r="K1692" s="137"/>
      <c r="L1692" s="76">
        <v>46113</v>
      </c>
      <c r="M1692" s="77" t="s">
        <v>607</v>
      </c>
      <c r="N1692" s="76">
        <v>46142</v>
      </c>
      <c r="R1692" s="138" t="s">
        <v>110</v>
      </c>
      <c r="S1692" s="138"/>
      <c r="T1692" s="138"/>
      <c r="U1692" s="138"/>
      <c r="V1692" s="138"/>
    </row>
    <row r="1693" spans="1:30" x14ac:dyDescent="0.2">
      <c r="A1693" s="78" t="s">
        <v>111</v>
      </c>
      <c r="B1693" s="79" t="s">
        <v>112</v>
      </c>
      <c r="C1693" s="80"/>
      <c r="D1693" s="80"/>
      <c r="E1693" s="80"/>
      <c r="F1693" s="80"/>
      <c r="H1693" s="81" t="s">
        <v>1397</v>
      </c>
      <c r="I1693" s="82"/>
      <c r="J1693" s="82"/>
      <c r="L1693" s="83" t="s">
        <v>796</v>
      </c>
      <c r="M1693" s="84"/>
      <c r="N1693" s="84"/>
      <c r="R1693" s="85" t="s">
        <v>797</v>
      </c>
    </row>
    <row r="1694" spans="1:30" x14ac:dyDescent="0.2">
      <c r="B1694" s="68" t="s">
        <v>116</v>
      </c>
      <c r="C1694" s="68" t="s">
        <v>117</v>
      </c>
      <c r="D1694" s="68" t="s">
        <v>118</v>
      </c>
      <c r="E1694" s="68" t="s">
        <v>119</v>
      </c>
      <c r="F1694" s="68" t="s">
        <v>120</v>
      </c>
      <c r="H1694" s="86" t="s">
        <v>116</v>
      </c>
      <c r="I1694" s="86" t="s">
        <v>119</v>
      </c>
      <c r="J1694" s="86" t="s">
        <v>120</v>
      </c>
      <c r="L1694" s="87" t="s">
        <v>116</v>
      </c>
      <c r="M1694" s="87" t="s">
        <v>119</v>
      </c>
      <c r="N1694" s="87" t="s">
        <v>120</v>
      </c>
      <c r="R1694" s="88" t="s">
        <v>764</v>
      </c>
    </row>
    <row r="1695" spans="1:30" x14ac:dyDescent="0.2">
      <c r="A1695" s="89" t="s">
        <v>122</v>
      </c>
      <c r="B1695" s="90">
        <v>5.75</v>
      </c>
      <c r="C1695" s="91">
        <f>$N$1692-$L$1692+1</f>
        <v>30</v>
      </c>
      <c r="D1695" s="92">
        <v>3.68919</v>
      </c>
      <c r="E1695" s="93">
        <v>3.85</v>
      </c>
      <c r="F1695" s="94">
        <f t="shared" ref="F1695:F1702" si="298">ROUND(B1695*E1695,2)</f>
        <v>22.14</v>
      </c>
      <c r="H1695" s="95">
        <v>5.75</v>
      </c>
      <c r="I1695" s="96">
        <v>3.85</v>
      </c>
      <c r="J1695" s="97">
        <f t="shared" ref="J1695:J1702" si="299">ROUND(H1695*I1695,2)</f>
        <v>22.14</v>
      </c>
      <c r="L1695" s="119"/>
      <c r="M1695" s="119"/>
      <c r="N1695" s="119"/>
      <c r="R1695" s="101" t="s">
        <v>798</v>
      </c>
    </row>
    <row r="1696" spans="1:30" x14ac:dyDescent="0.2">
      <c r="A1696" s="89" t="s">
        <v>124</v>
      </c>
      <c r="B1696" s="90">
        <v>5.75</v>
      </c>
      <c r="C1696" s="91">
        <f>$N$1692-$L$1692+1</f>
        <v>30</v>
      </c>
      <c r="D1696" s="92">
        <v>1.31928</v>
      </c>
      <c r="E1696" s="93">
        <v>1.33</v>
      </c>
      <c r="F1696" s="94">
        <f t="shared" si="298"/>
        <v>7.65</v>
      </c>
      <c r="H1696" s="95">
        <v>5.75</v>
      </c>
      <c r="I1696" s="96">
        <v>1.33</v>
      </c>
      <c r="J1696" s="97">
        <f t="shared" si="299"/>
        <v>7.65</v>
      </c>
      <c r="L1696" s="119"/>
      <c r="M1696" s="119"/>
      <c r="N1696" s="119"/>
    </row>
    <row r="1697" spans="1:30" x14ac:dyDescent="0.2">
      <c r="A1697" s="89" t="s">
        <v>614</v>
      </c>
      <c r="B1697" s="90">
        <f>IF($P$1697&lt;&gt;"",ROUND(AA1697*(($AB$1697/(1-$P$1697))-29.785)/0.1475,2),IF('Resumen 2.0TD'!$D$3="OPTIMIZAR",AA1697,AA1697))</f>
        <v>0.72699999999999998</v>
      </c>
      <c r="C1697" s="103"/>
      <c r="D1697" s="92">
        <v>0.11117100000000001</v>
      </c>
      <c r="E1697" s="93">
        <v>0.13788</v>
      </c>
      <c r="F1697" s="94">
        <f t="shared" si="298"/>
        <v>0.1</v>
      </c>
      <c r="H1697" s="95">
        <v>17.646000000000001</v>
      </c>
      <c r="I1697" s="96">
        <v>0.13788</v>
      </c>
      <c r="J1697" s="97">
        <f t="shared" si="299"/>
        <v>2.4300000000000002</v>
      </c>
      <c r="L1697" s="119"/>
      <c r="M1697" s="119"/>
      <c r="N1697" s="119"/>
      <c r="O1697" s="104" t="s">
        <v>615</v>
      </c>
      <c r="P1697" s="67"/>
      <c r="AA1697">
        <v>0.72699999999999998</v>
      </c>
      <c r="AB1697">
        <f>B1695*D1695+B1696*D1696+AA1697*D1697+AA1698*D1698+AA1699*D1699</f>
        <v>28.917655470000003</v>
      </c>
    </row>
    <row r="1698" spans="1:30" x14ac:dyDescent="0.2">
      <c r="A1698" s="89" t="s">
        <v>617</v>
      </c>
      <c r="B1698" s="90">
        <f>IF($P$1697&lt;&gt;"",ROUND(AA1698*(($AB$1697/(1-$P$1697))-29.785)/0.1475,2),IF('Resumen 2.0TD'!$D$3="OPTIMIZAR",AA1698,AA1698))</f>
        <v>0.221</v>
      </c>
      <c r="C1698" s="103"/>
      <c r="D1698" s="92">
        <v>0.11117100000000001</v>
      </c>
      <c r="E1698" s="93">
        <v>0.13788</v>
      </c>
      <c r="F1698" s="94">
        <f t="shared" si="298"/>
        <v>0.03</v>
      </c>
      <c r="H1698" s="95">
        <v>19.588999999999999</v>
      </c>
      <c r="I1698" s="96">
        <v>0.13788</v>
      </c>
      <c r="J1698" s="97">
        <f t="shared" si="299"/>
        <v>2.7</v>
      </c>
      <c r="L1698" s="119"/>
      <c r="M1698" s="119"/>
      <c r="N1698" s="119"/>
      <c r="O1698" s="105" t="s">
        <v>618</v>
      </c>
      <c r="R1698" s="102" t="s">
        <v>619</v>
      </c>
      <c r="AA1698">
        <v>0.221</v>
      </c>
    </row>
    <row r="1699" spans="1:30" x14ac:dyDescent="0.2">
      <c r="A1699" s="89" t="s">
        <v>620</v>
      </c>
      <c r="B1699" s="90">
        <f>IF($P$1697&lt;&gt;"",ROUND(AA1699*(($AB$1697/(1-$P$1697))-29.785)/0.1475,2),IF('Resumen 2.0TD'!$D$3="OPTIMIZAR",AA1699,AA1699))</f>
        <v>0.122</v>
      </c>
      <c r="C1699" s="103"/>
      <c r="D1699" s="92">
        <v>0.11117100000000001</v>
      </c>
      <c r="E1699" s="93">
        <v>0.13788</v>
      </c>
      <c r="F1699" s="94">
        <f t="shared" si="298"/>
        <v>0.02</v>
      </c>
      <c r="H1699" s="95">
        <v>3.6890000000000001</v>
      </c>
      <c r="I1699" s="96">
        <v>0.13788</v>
      </c>
      <c r="J1699" s="97">
        <f t="shared" si="299"/>
        <v>0.51</v>
      </c>
      <c r="L1699" s="119"/>
      <c r="M1699" s="119"/>
      <c r="N1699" s="119"/>
      <c r="O1699" s="105" t="s">
        <v>621</v>
      </c>
      <c r="AA1699">
        <v>0.122</v>
      </c>
    </row>
    <row r="1700" spans="1:30" x14ac:dyDescent="0.2">
      <c r="A1700" s="89" t="s">
        <v>139</v>
      </c>
      <c r="B1700" s="90">
        <v>1</v>
      </c>
      <c r="C1700" s="91">
        <f>$N$1692-$L$1692+1</f>
        <v>30</v>
      </c>
      <c r="D1700" s="92">
        <v>0.79890000000000005</v>
      </c>
      <c r="E1700" s="93">
        <v>3</v>
      </c>
      <c r="F1700" s="94">
        <f t="shared" si="298"/>
        <v>3</v>
      </c>
      <c r="H1700" s="95">
        <v>1</v>
      </c>
      <c r="I1700" s="96">
        <v>3</v>
      </c>
      <c r="J1700" s="97">
        <f t="shared" si="299"/>
        <v>3</v>
      </c>
      <c r="L1700" s="119"/>
      <c r="M1700" s="119"/>
      <c r="N1700" s="119"/>
    </row>
    <row r="1701" spans="1:30" x14ac:dyDescent="0.2">
      <c r="A1701" s="89" t="s">
        <v>140</v>
      </c>
      <c r="B1701" s="90">
        <v>30</v>
      </c>
      <c r="C1701" s="91">
        <f>$N$1692-$L$1692+1</f>
        <v>30</v>
      </c>
      <c r="D1701" s="92">
        <v>0.5736</v>
      </c>
      <c r="E1701" s="93">
        <v>1.274E-2</v>
      </c>
      <c r="F1701" s="94">
        <f t="shared" si="298"/>
        <v>0.38</v>
      </c>
      <c r="H1701" s="95">
        <v>30</v>
      </c>
      <c r="I1701" s="96">
        <v>1.274E-2</v>
      </c>
      <c r="J1701" s="97">
        <f t="shared" si="299"/>
        <v>0.38</v>
      </c>
      <c r="L1701" s="119"/>
      <c r="M1701" s="119"/>
      <c r="N1701" s="119"/>
    </row>
    <row r="1702" spans="1:30" x14ac:dyDescent="0.2">
      <c r="A1702" s="89" t="s">
        <v>141</v>
      </c>
      <c r="B1702" s="90">
        <v>1.54</v>
      </c>
      <c r="C1702" s="103"/>
      <c r="D1702" s="92">
        <v>2.6710000000000001E-2</v>
      </c>
      <c r="E1702" s="93">
        <v>1</v>
      </c>
      <c r="F1702" s="94">
        <f t="shared" si="298"/>
        <v>1.54</v>
      </c>
      <c r="H1702" s="95">
        <v>1.82</v>
      </c>
      <c r="I1702" s="96">
        <v>1</v>
      </c>
      <c r="J1702" s="97">
        <f t="shared" si="299"/>
        <v>1.82</v>
      </c>
      <c r="L1702" s="119"/>
      <c r="M1702" s="119"/>
      <c r="N1702" s="119"/>
    </row>
    <row r="1703" spans="1:30" x14ac:dyDescent="0.2">
      <c r="A1703" s="106" t="s">
        <v>142</v>
      </c>
      <c r="F1703" s="107">
        <f>ROUND((SUM(F1695:F1702)-F1702)*1.1+F1702,2)</f>
        <v>38.19</v>
      </c>
      <c r="J1703" s="108">
        <f>ROUND(SUM(J1695:J1702),2)</f>
        <v>40.630000000000003</v>
      </c>
      <c r="N1703" s="120"/>
    </row>
    <row r="1704" spans="1:30" x14ac:dyDescent="0.2">
      <c r="A1704" s="78" t="s">
        <v>143</v>
      </c>
      <c r="B1704" s="110">
        <f>IF((F1699+F1698+F1697+F1695+F1696)=0,"",((F1699+F1698+F1697+F1695+F1696)-$AB$1697)/(F1699+F1698+F1697+F1695+F1696))</f>
        <v>3.4146443887775373E-2</v>
      </c>
      <c r="D1704" s="139" t="str">
        <f>IF(B1704="","SIN PC",IF(B1704&gt;=0.3,"APROBAR",IF(B1704&gt;=0.2,"REVISAR","RECHAZAR")))</f>
        <v>RECHAZAR</v>
      </c>
      <c r="E1704" s="139"/>
      <c r="F1704" s="139"/>
      <c r="AD1704">
        <f>SUM(F1697:F1699)-0.1475</f>
        <v>2.5000000000000022E-3</v>
      </c>
    </row>
    <row r="1706" spans="1:30" x14ac:dyDescent="0.2">
      <c r="A1706" s="137" t="s">
        <v>1398</v>
      </c>
      <c r="B1706" s="137"/>
      <c r="C1706" s="137"/>
      <c r="D1706" s="137"/>
      <c r="E1706" s="137"/>
      <c r="F1706" s="137"/>
      <c r="H1706" s="137" t="s">
        <v>1399</v>
      </c>
      <c r="I1706" s="137"/>
      <c r="J1706" s="137"/>
      <c r="K1706" s="137"/>
      <c r="L1706" s="76">
        <v>46113</v>
      </c>
      <c r="M1706" s="77" t="s">
        <v>607</v>
      </c>
      <c r="N1706" s="76">
        <v>46142</v>
      </c>
      <c r="R1706" s="138" t="s">
        <v>110</v>
      </c>
      <c r="S1706" s="138"/>
      <c r="T1706" s="138"/>
      <c r="U1706" s="138"/>
      <c r="V1706" s="138"/>
    </row>
    <row r="1707" spans="1:30" x14ac:dyDescent="0.2">
      <c r="A1707" s="78" t="s">
        <v>111</v>
      </c>
      <c r="B1707" s="79" t="s">
        <v>112</v>
      </c>
      <c r="C1707" s="80"/>
      <c r="D1707" s="80"/>
      <c r="E1707" s="80"/>
      <c r="F1707" s="80"/>
      <c r="H1707" s="81" t="s">
        <v>1400</v>
      </c>
      <c r="I1707" s="82"/>
      <c r="J1707" s="82"/>
      <c r="L1707" s="83" t="s">
        <v>796</v>
      </c>
      <c r="M1707" s="84"/>
      <c r="N1707" s="84"/>
      <c r="R1707" s="85" t="s">
        <v>1377</v>
      </c>
    </row>
    <row r="1708" spans="1:30" x14ac:dyDescent="0.2">
      <c r="B1708" s="68" t="s">
        <v>116</v>
      </c>
      <c r="C1708" s="68" t="s">
        <v>117</v>
      </c>
      <c r="D1708" s="68" t="s">
        <v>118</v>
      </c>
      <c r="E1708" s="68" t="s">
        <v>119</v>
      </c>
      <c r="F1708" s="68" t="s">
        <v>120</v>
      </c>
      <c r="H1708" s="86" t="s">
        <v>116</v>
      </c>
      <c r="I1708" s="86" t="s">
        <v>119</v>
      </c>
      <c r="J1708" s="86" t="s">
        <v>120</v>
      </c>
      <c r="L1708" s="87" t="s">
        <v>116</v>
      </c>
      <c r="M1708" s="87" t="s">
        <v>119</v>
      </c>
      <c r="N1708" s="87" t="s">
        <v>120</v>
      </c>
      <c r="R1708" s="88" t="s">
        <v>764</v>
      </c>
    </row>
    <row r="1709" spans="1:30" x14ac:dyDescent="0.2">
      <c r="A1709" s="89" t="s">
        <v>122</v>
      </c>
      <c r="B1709" s="90">
        <v>3.3</v>
      </c>
      <c r="C1709" s="91">
        <f>$N$1706-$L$1706+1</f>
        <v>30</v>
      </c>
      <c r="D1709" s="92">
        <v>3.4085999999999999</v>
      </c>
      <c r="E1709" s="93">
        <v>3.85</v>
      </c>
      <c r="F1709" s="94">
        <f t="shared" ref="F1709:F1716" si="300">ROUND(B1709*E1709,2)</f>
        <v>12.71</v>
      </c>
      <c r="H1709" s="95">
        <v>3.3</v>
      </c>
      <c r="I1709" s="96">
        <v>3.85</v>
      </c>
      <c r="J1709" s="97">
        <f t="shared" ref="J1709:J1716" si="301">ROUND(H1709*I1709,2)</f>
        <v>12.71</v>
      </c>
      <c r="L1709" s="119"/>
      <c r="M1709" s="119"/>
      <c r="N1709" s="119"/>
      <c r="R1709" s="101" t="s">
        <v>1378</v>
      </c>
    </row>
    <row r="1710" spans="1:30" x14ac:dyDescent="0.2">
      <c r="A1710" s="89" t="s">
        <v>124</v>
      </c>
      <c r="B1710" s="90">
        <v>3.3</v>
      </c>
      <c r="C1710" s="91">
        <f>$N$1706-$L$1706+1</f>
        <v>30</v>
      </c>
      <c r="D1710" s="92">
        <v>1.2057899999999999</v>
      </c>
      <c r="E1710" s="93">
        <v>1.33</v>
      </c>
      <c r="F1710" s="94">
        <f t="shared" si="300"/>
        <v>4.3899999999999997</v>
      </c>
      <c r="H1710" s="95">
        <v>3.3</v>
      </c>
      <c r="I1710" s="96">
        <v>1.33</v>
      </c>
      <c r="J1710" s="97">
        <f t="shared" si="301"/>
        <v>4.3899999999999997</v>
      </c>
      <c r="L1710" s="119"/>
      <c r="M1710" s="119"/>
      <c r="N1710" s="119"/>
    </row>
    <row r="1711" spans="1:30" x14ac:dyDescent="0.2">
      <c r="A1711" s="89" t="s">
        <v>614</v>
      </c>
      <c r="B1711" s="90">
        <f>IF($P$1711&lt;&gt;"",ROUND(AA1711*(($AB$1711/(1-$P$1711))-17.094)/15.4296,2),IF('Resumen 2.0TD'!$D$3="OPTIMIZAR",AA1711,AA1711))</f>
        <v>46.116</v>
      </c>
      <c r="C1711" s="103"/>
      <c r="D1711" s="92">
        <v>0.108</v>
      </c>
      <c r="E1711" s="93">
        <v>0.13788</v>
      </c>
      <c r="F1711" s="94">
        <f t="shared" si="300"/>
        <v>6.36</v>
      </c>
      <c r="H1711" s="95">
        <v>31.827000000000002</v>
      </c>
      <c r="I1711" s="96">
        <v>0.13788</v>
      </c>
      <c r="J1711" s="97">
        <f t="shared" si="301"/>
        <v>4.3899999999999997</v>
      </c>
      <c r="L1711" s="119"/>
      <c r="M1711" s="119"/>
      <c r="N1711" s="119"/>
      <c r="O1711" s="104" t="s">
        <v>615</v>
      </c>
      <c r="P1711" s="67"/>
      <c r="AA1711">
        <v>46.116</v>
      </c>
      <c r="AB1711">
        <f>B1709*D1709+B1710*D1710+AA1711*D1711+AA1712*D1712+AA1713*D1713</f>
        <v>27.313334999999995</v>
      </c>
    </row>
    <row r="1712" spans="1:30" x14ac:dyDescent="0.2">
      <c r="A1712" s="89" t="s">
        <v>617</v>
      </c>
      <c r="B1712" s="90">
        <f>IF($P$1711&lt;&gt;"",ROUND(AA1712*(($AB$1711/(1-$P$1711))-17.094)/15.4296,2),IF('Resumen 2.0TD'!$D$3="OPTIMIZAR",AA1712,AA1712))</f>
        <v>25.26</v>
      </c>
      <c r="C1712" s="103"/>
      <c r="D1712" s="92">
        <v>0.108</v>
      </c>
      <c r="E1712" s="93">
        <v>0.13788</v>
      </c>
      <c r="F1712" s="94">
        <f t="shared" si="300"/>
        <v>3.48</v>
      </c>
      <c r="H1712" s="95">
        <v>30.178000000000001</v>
      </c>
      <c r="I1712" s="96">
        <v>0.13788</v>
      </c>
      <c r="J1712" s="97">
        <f t="shared" si="301"/>
        <v>4.16</v>
      </c>
      <c r="L1712" s="119"/>
      <c r="M1712" s="119"/>
      <c r="N1712" s="119"/>
      <c r="O1712" s="105" t="s">
        <v>618</v>
      </c>
      <c r="R1712" s="102" t="s">
        <v>619</v>
      </c>
      <c r="AA1712">
        <v>25.26</v>
      </c>
    </row>
    <row r="1713" spans="1:30" x14ac:dyDescent="0.2">
      <c r="A1713" s="89" t="s">
        <v>620</v>
      </c>
      <c r="B1713" s="90">
        <f>IF($P$1711&lt;&gt;"",ROUND(AA1713*(($AB$1711/(1-$P$1711))-17.094)/15.4296,2),IF('Resumen 2.0TD'!$D$3="OPTIMIZAR",AA1713,AA1713))</f>
        <v>40.53</v>
      </c>
      <c r="C1713" s="103"/>
      <c r="D1713" s="92">
        <v>0.108</v>
      </c>
      <c r="E1713" s="93">
        <v>0.13788</v>
      </c>
      <c r="F1713" s="94">
        <f t="shared" si="300"/>
        <v>5.59</v>
      </c>
      <c r="H1713" s="95">
        <v>28.651</v>
      </c>
      <c r="I1713" s="96">
        <v>0.13788</v>
      </c>
      <c r="J1713" s="97">
        <f t="shared" si="301"/>
        <v>3.95</v>
      </c>
      <c r="L1713" s="119"/>
      <c r="M1713" s="119"/>
      <c r="N1713" s="119"/>
      <c r="O1713" s="105" t="s">
        <v>621</v>
      </c>
      <c r="AA1713">
        <v>40.53</v>
      </c>
    </row>
    <row r="1714" spans="1:30" x14ac:dyDescent="0.2">
      <c r="A1714" s="89" t="s">
        <v>139</v>
      </c>
      <c r="B1714" s="90">
        <v>1</v>
      </c>
      <c r="C1714" s="91">
        <f>$N$1706-$L$1706+1</f>
        <v>30</v>
      </c>
      <c r="D1714" s="92">
        <v>0.79890000000000005</v>
      </c>
      <c r="E1714" s="93">
        <v>3</v>
      </c>
      <c r="F1714" s="94">
        <f t="shared" si="300"/>
        <v>3</v>
      </c>
      <c r="H1714" s="95">
        <v>1</v>
      </c>
      <c r="I1714" s="96">
        <v>3</v>
      </c>
      <c r="J1714" s="97">
        <f t="shared" si="301"/>
        <v>3</v>
      </c>
      <c r="L1714" s="119"/>
      <c r="M1714" s="119"/>
      <c r="N1714" s="119"/>
    </row>
    <row r="1715" spans="1:30" x14ac:dyDescent="0.2">
      <c r="A1715" s="89" t="s">
        <v>140</v>
      </c>
      <c r="B1715" s="90">
        <v>30</v>
      </c>
      <c r="C1715" s="91">
        <f>$N$1706-$L$1706+1</f>
        <v>30</v>
      </c>
      <c r="D1715" s="92">
        <v>0.5736</v>
      </c>
      <c r="E1715" s="93">
        <v>1.274E-2</v>
      </c>
      <c r="F1715" s="94">
        <f t="shared" si="300"/>
        <v>0.38</v>
      </c>
      <c r="H1715" s="95">
        <v>30</v>
      </c>
      <c r="I1715" s="96">
        <v>1.274E-2</v>
      </c>
      <c r="J1715" s="97">
        <f t="shared" si="301"/>
        <v>0.38</v>
      </c>
      <c r="L1715" s="119"/>
      <c r="M1715" s="119"/>
      <c r="N1715" s="119"/>
    </row>
    <row r="1716" spans="1:30" x14ac:dyDescent="0.2">
      <c r="A1716" s="89" t="s">
        <v>141</v>
      </c>
      <c r="B1716" s="90">
        <v>1.67</v>
      </c>
      <c r="C1716" s="103"/>
      <c r="D1716" s="92">
        <v>0.25247999999999998</v>
      </c>
      <c r="E1716" s="93">
        <v>1</v>
      </c>
      <c r="F1716" s="94">
        <f t="shared" si="300"/>
        <v>1.67</v>
      </c>
      <c r="H1716" s="95">
        <v>1.52</v>
      </c>
      <c r="I1716" s="96">
        <v>1</v>
      </c>
      <c r="J1716" s="97">
        <f t="shared" si="301"/>
        <v>1.52</v>
      </c>
      <c r="L1716" s="119"/>
      <c r="M1716" s="119"/>
      <c r="N1716" s="119"/>
    </row>
    <row r="1717" spans="1:30" x14ac:dyDescent="0.2">
      <c r="A1717" s="106" t="s">
        <v>142</v>
      </c>
      <c r="F1717" s="107">
        <f>ROUND((SUM(F1709:F1716)-F1716)*1.1+F1716,2)</f>
        <v>41.17</v>
      </c>
      <c r="J1717" s="108">
        <f>ROUND(SUM(J1709:J1716),2)</f>
        <v>34.5</v>
      </c>
      <c r="N1717" s="120"/>
    </row>
    <row r="1718" spans="1:30" x14ac:dyDescent="0.2">
      <c r="A1718" s="78" t="s">
        <v>143</v>
      </c>
      <c r="B1718" s="110">
        <f>IF((F1713+F1712+F1711+F1709+F1710)=0,"",((F1713+F1712+F1711+F1709+F1710)-$AB$1711)/(F1713+F1712+F1711+F1709+F1710))</f>
        <v>0.16036474023977884</v>
      </c>
      <c r="D1718" s="139" t="str">
        <f>IF(B1718="","SIN PC",IF(B1718&gt;=0.3,"APROBAR",IF(B1718&gt;=0.2,"REVISAR","RECHAZAR")))</f>
        <v>RECHAZAR</v>
      </c>
      <c r="E1718" s="139"/>
      <c r="F1718" s="139"/>
      <c r="AD1718">
        <f>SUM(F1711:F1713)-15.4296</f>
        <v>3.9999999999906777E-4</v>
      </c>
    </row>
    <row r="1720" spans="1:30" x14ac:dyDescent="0.2">
      <c r="A1720" s="137" t="s">
        <v>1401</v>
      </c>
      <c r="B1720" s="137"/>
      <c r="C1720" s="137"/>
      <c r="D1720" s="137"/>
      <c r="E1720" s="137"/>
      <c r="F1720" s="137"/>
      <c r="H1720" s="137" t="s">
        <v>1402</v>
      </c>
      <c r="I1720" s="137"/>
      <c r="J1720" s="137"/>
      <c r="K1720" s="137"/>
      <c r="L1720" s="76">
        <v>46113</v>
      </c>
      <c r="M1720" s="77" t="s">
        <v>607</v>
      </c>
      <c r="N1720" s="76">
        <v>46142</v>
      </c>
      <c r="R1720" s="138" t="s">
        <v>110</v>
      </c>
      <c r="S1720" s="138"/>
      <c r="T1720" s="138"/>
      <c r="U1720" s="138"/>
      <c r="V1720" s="138"/>
    </row>
    <row r="1721" spans="1:30" x14ac:dyDescent="0.2">
      <c r="A1721" s="78" t="s">
        <v>111</v>
      </c>
      <c r="B1721" s="79" t="s">
        <v>112</v>
      </c>
      <c r="C1721" s="80"/>
      <c r="D1721" s="80"/>
      <c r="E1721" s="80"/>
      <c r="F1721" s="80"/>
      <c r="H1721" s="81" t="s">
        <v>1403</v>
      </c>
      <c r="I1721" s="82"/>
      <c r="J1721" s="82"/>
      <c r="L1721" s="83" t="s">
        <v>796</v>
      </c>
      <c r="M1721" s="84"/>
      <c r="N1721" s="84"/>
      <c r="R1721" s="85" t="s">
        <v>1364</v>
      </c>
    </row>
    <row r="1722" spans="1:30" x14ac:dyDescent="0.2">
      <c r="B1722" s="68" t="s">
        <v>116</v>
      </c>
      <c r="C1722" s="68" t="s">
        <v>117</v>
      </c>
      <c r="D1722" s="68" t="s">
        <v>118</v>
      </c>
      <c r="E1722" s="68" t="s">
        <v>119</v>
      </c>
      <c r="F1722" s="68" t="s">
        <v>120</v>
      </c>
      <c r="H1722" s="86" t="s">
        <v>116</v>
      </c>
      <c r="I1722" s="86" t="s">
        <v>119</v>
      </c>
      <c r="J1722" s="86" t="s">
        <v>120</v>
      </c>
      <c r="L1722" s="87" t="s">
        <v>116</v>
      </c>
      <c r="M1722" s="87" t="s">
        <v>119</v>
      </c>
      <c r="N1722" s="87" t="s">
        <v>120</v>
      </c>
      <c r="R1722" s="88" t="s">
        <v>764</v>
      </c>
    </row>
    <row r="1723" spans="1:30" x14ac:dyDescent="0.2">
      <c r="A1723" s="89" t="s">
        <v>122</v>
      </c>
      <c r="B1723" s="90">
        <v>9.1999999999999993</v>
      </c>
      <c r="C1723" s="91">
        <f>$N$1720-$L$1720+1</f>
        <v>30</v>
      </c>
      <c r="D1723" s="92">
        <v>3.68919</v>
      </c>
      <c r="E1723" s="93">
        <v>3.85</v>
      </c>
      <c r="F1723" s="94">
        <f t="shared" ref="F1723:F1730" si="302">ROUND(B1723*E1723,2)</f>
        <v>35.42</v>
      </c>
      <c r="H1723" s="95">
        <v>9.1999999999999993</v>
      </c>
      <c r="I1723" s="96">
        <v>3.85</v>
      </c>
      <c r="J1723" s="97">
        <f t="shared" ref="J1723:J1730" si="303">ROUND(H1723*I1723,2)</f>
        <v>35.42</v>
      </c>
      <c r="L1723" s="119"/>
      <c r="M1723" s="119"/>
      <c r="N1723" s="119"/>
      <c r="R1723" s="101" t="s">
        <v>1365</v>
      </c>
    </row>
    <row r="1724" spans="1:30" x14ac:dyDescent="0.2">
      <c r="A1724" s="89" t="s">
        <v>124</v>
      </c>
      <c r="B1724" s="90">
        <v>9.1999999999999993</v>
      </c>
      <c r="C1724" s="91">
        <f>$N$1720-$L$1720+1</f>
        <v>30</v>
      </c>
      <c r="D1724" s="92">
        <v>1.31928</v>
      </c>
      <c r="E1724" s="93">
        <v>1.33</v>
      </c>
      <c r="F1724" s="94">
        <f t="shared" si="302"/>
        <v>12.24</v>
      </c>
      <c r="H1724" s="95">
        <v>9.1999999999999993</v>
      </c>
      <c r="I1724" s="96">
        <v>1.33</v>
      </c>
      <c r="J1724" s="97">
        <f t="shared" si="303"/>
        <v>12.24</v>
      </c>
      <c r="L1724" s="119"/>
      <c r="M1724" s="119"/>
      <c r="N1724" s="119"/>
    </row>
    <row r="1725" spans="1:30" x14ac:dyDescent="0.2">
      <c r="A1725" s="89" t="s">
        <v>614</v>
      </c>
      <c r="B1725" s="90">
        <f>IF($P$1725&lt;&gt;"",ROUND(AA1725*(($AB$1725/(1-$P$1725))-47.656)/184.368,2),IF('Resumen 2.0TD'!$D$3="OPTIMIZAR",AA1725,AA1725))</f>
        <v>204.78700000000001</v>
      </c>
      <c r="C1725" s="103"/>
      <c r="D1725" s="92">
        <v>0.11117100000000001</v>
      </c>
      <c r="E1725" s="93">
        <v>0.129</v>
      </c>
      <c r="F1725" s="94">
        <f t="shared" si="302"/>
        <v>26.42</v>
      </c>
      <c r="H1725" s="95">
        <v>318.18799999999999</v>
      </c>
      <c r="I1725" s="96">
        <v>0.13788</v>
      </c>
      <c r="J1725" s="97">
        <f t="shared" si="303"/>
        <v>43.87</v>
      </c>
      <c r="L1725" s="119"/>
      <c r="M1725" s="119"/>
      <c r="N1725" s="119"/>
      <c r="O1725" s="104" t="s">
        <v>615</v>
      </c>
      <c r="P1725" s="67"/>
      <c r="AA1725">
        <v>204.78700000000001</v>
      </c>
      <c r="AB1725">
        <f>B1723*D1723+B1724*D1724+AA1725*D1725+AA1726*D1726+AA1727*D1727</f>
        <v>204.964517739</v>
      </c>
    </row>
    <row r="1726" spans="1:30" x14ac:dyDescent="0.2">
      <c r="A1726" s="89" t="s">
        <v>617</v>
      </c>
      <c r="B1726" s="90">
        <f>IF($P$1725&lt;&gt;"",ROUND(AA1726*(($AB$1725/(1-$P$1725))-47.656)/184.368,2),IF('Resumen 2.0TD'!$D$3="OPTIMIZAR",AA1726,AA1726))</f>
        <v>200.61199999999999</v>
      </c>
      <c r="C1726" s="103"/>
      <c r="D1726" s="92">
        <v>0.11117100000000001</v>
      </c>
      <c r="E1726" s="93">
        <v>0.129</v>
      </c>
      <c r="F1726" s="94">
        <f t="shared" si="302"/>
        <v>25.88</v>
      </c>
      <c r="H1726" s="95">
        <v>339.73099999999999</v>
      </c>
      <c r="I1726" s="96">
        <v>0.13788</v>
      </c>
      <c r="J1726" s="97">
        <f t="shared" si="303"/>
        <v>46.84</v>
      </c>
      <c r="L1726" s="119"/>
      <c r="M1726" s="119"/>
      <c r="N1726" s="119"/>
      <c r="O1726" s="105" t="s">
        <v>618</v>
      </c>
      <c r="R1726" s="102" t="s">
        <v>619</v>
      </c>
      <c r="AA1726">
        <v>200.61199999999999</v>
      </c>
    </row>
    <row r="1727" spans="1:30" x14ac:dyDescent="0.2">
      <c r="A1727" s="89" t="s">
        <v>620</v>
      </c>
      <c r="B1727" s="90">
        <f>IF($P$1725&lt;&gt;"",ROUND(AA1727*(($AB$1725/(1-$P$1725))-47.656)/184.368,2),IF('Resumen 2.0TD'!$D$3="OPTIMIZAR",AA1727,AA1727))</f>
        <v>1023.81</v>
      </c>
      <c r="C1727" s="103"/>
      <c r="D1727" s="92">
        <v>0.11117100000000001</v>
      </c>
      <c r="E1727" s="93">
        <v>0.129</v>
      </c>
      <c r="F1727" s="94">
        <f t="shared" si="302"/>
        <v>132.07</v>
      </c>
      <c r="H1727" s="95">
        <v>1049.76</v>
      </c>
      <c r="I1727" s="96">
        <v>0.13788</v>
      </c>
      <c r="J1727" s="97">
        <f t="shared" si="303"/>
        <v>144.74</v>
      </c>
      <c r="L1727" s="119"/>
      <c r="M1727" s="119"/>
      <c r="N1727" s="119"/>
      <c r="O1727" s="105" t="s">
        <v>621</v>
      </c>
      <c r="AA1727">
        <v>1023.81</v>
      </c>
    </row>
    <row r="1728" spans="1:30" x14ac:dyDescent="0.2">
      <c r="A1728" s="89" t="s">
        <v>139</v>
      </c>
      <c r="B1728" s="90">
        <v>1</v>
      </c>
      <c r="C1728" s="91">
        <f>$N$1720-$L$1720+1</f>
        <v>30</v>
      </c>
      <c r="D1728" s="92">
        <v>0.79890000000000005</v>
      </c>
      <c r="E1728" s="93">
        <v>3</v>
      </c>
      <c r="F1728" s="94">
        <f t="shared" si="302"/>
        <v>3</v>
      </c>
      <c r="H1728" s="95">
        <v>1</v>
      </c>
      <c r="I1728" s="96">
        <v>3</v>
      </c>
      <c r="J1728" s="97">
        <f t="shared" si="303"/>
        <v>3</v>
      </c>
      <c r="L1728" s="119"/>
      <c r="M1728" s="119"/>
      <c r="N1728" s="119"/>
    </row>
    <row r="1729" spans="1:30" x14ac:dyDescent="0.2">
      <c r="A1729" s="89" t="s">
        <v>140</v>
      </c>
      <c r="B1729" s="90">
        <v>30</v>
      </c>
      <c r="C1729" s="91">
        <f>$N$1720-$L$1720+1</f>
        <v>30</v>
      </c>
      <c r="D1729" s="92">
        <v>0.5736</v>
      </c>
      <c r="E1729" s="93">
        <v>1.274E-2</v>
      </c>
      <c r="F1729" s="94">
        <f t="shared" si="302"/>
        <v>0.38</v>
      </c>
      <c r="H1729" s="95">
        <v>30</v>
      </c>
      <c r="I1729" s="96">
        <v>1.274E-2</v>
      </c>
      <c r="J1729" s="97">
        <f t="shared" si="303"/>
        <v>0.38</v>
      </c>
      <c r="L1729" s="119"/>
      <c r="M1729" s="119"/>
      <c r="N1729" s="119"/>
    </row>
    <row r="1730" spans="1:30" x14ac:dyDescent="0.2">
      <c r="A1730" s="89" t="s">
        <v>141</v>
      </c>
      <c r="B1730" s="90">
        <v>11.51</v>
      </c>
      <c r="C1730" s="103"/>
      <c r="D1730" s="92">
        <v>0.27311999999999997</v>
      </c>
      <c r="E1730" s="93">
        <v>1</v>
      </c>
      <c r="F1730" s="94">
        <f t="shared" si="302"/>
        <v>11.51</v>
      </c>
      <c r="H1730" s="95">
        <v>14.04</v>
      </c>
      <c r="I1730" s="96">
        <v>1</v>
      </c>
      <c r="J1730" s="97">
        <f t="shared" si="303"/>
        <v>14.04</v>
      </c>
      <c r="L1730" s="119"/>
      <c r="M1730" s="119"/>
      <c r="N1730" s="119"/>
    </row>
    <row r="1731" spans="1:30" x14ac:dyDescent="0.2">
      <c r="A1731" s="106" t="s">
        <v>142</v>
      </c>
      <c r="F1731" s="107">
        <f>ROUND((SUM(F1723:F1730)-F1730)*1.1+F1730,2)</f>
        <v>270.45999999999998</v>
      </c>
      <c r="J1731" s="108">
        <f>ROUND(SUM(J1723:J1730),2)</f>
        <v>300.52999999999997</v>
      </c>
      <c r="N1731" s="120"/>
    </row>
    <row r="1732" spans="1:30" x14ac:dyDescent="0.2">
      <c r="A1732" s="78" t="s">
        <v>143</v>
      </c>
      <c r="B1732" s="110">
        <f>IF((F1727+F1726+F1725+F1723+F1724)=0,"",((F1727+F1726+F1725+F1723+F1724)-$AB$1725)/(F1727+F1726+F1725+F1723+F1724))</f>
        <v>0.11664647787355094</v>
      </c>
      <c r="D1732" s="139" t="str">
        <f>IF(B1732="","SIN PC",IF(B1732&gt;=0.3,"APROBAR",IF(B1732&gt;=0.2,"REVISAR","RECHAZAR")))</f>
        <v>RECHAZAR</v>
      </c>
      <c r="E1732" s="139"/>
      <c r="F1732" s="139"/>
      <c r="AD1732">
        <f>SUM(F1725:F1727)-184.368</f>
        <v>2.0000000000095497E-3</v>
      </c>
    </row>
    <row r="1733" spans="1:30" x14ac:dyDescent="0.2">
      <c r="A1733" s="140" t="s">
        <v>743</v>
      </c>
      <c r="B1733" s="140"/>
      <c r="C1733" s="140"/>
      <c r="D1733" s="140"/>
      <c r="E1733" s="140"/>
      <c r="F1733" s="140"/>
    </row>
    <row r="1734" spans="1:30" x14ac:dyDescent="0.2">
      <c r="A1734" s="111" t="s">
        <v>111</v>
      </c>
      <c r="B1734" s="111" t="s">
        <v>744</v>
      </c>
      <c r="D1734" s="111" t="s">
        <v>745</v>
      </c>
      <c r="E1734" s="111" t="s">
        <v>746</v>
      </c>
      <c r="F1734" s="111" t="s">
        <v>120</v>
      </c>
    </row>
    <row r="1735" spans="1:30" x14ac:dyDescent="0.2">
      <c r="A1735" s="112" t="s">
        <v>747</v>
      </c>
      <c r="B1735" s="113">
        <v>324</v>
      </c>
      <c r="C1735" s="114"/>
      <c r="D1735" s="92">
        <v>0.06</v>
      </c>
      <c r="E1735" s="114"/>
      <c r="F1735" s="115">
        <f>ROUND(B1735*D1735,2)</f>
        <v>19.440000000000001</v>
      </c>
    </row>
    <row r="1736" spans="1:30" x14ac:dyDescent="0.2">
      <c r="A1736" s="112" t="s">
        <v>748</v>
      </c>
      <c r="B1736" s="114"/>
      <c r="C1736" s="114"/>
      <c r="D1736" s="114"/>
      <c r="E1736" s="116">
        <v>5.6000000000000001E-2</v>
      </c>
      <c r="F1736" s="115">
        <v>19.61</v>
      </c>
    </row>
    <row r="1737" spans="1:30" x14ac:dyDescent="0.2">
      <c r="A1737" s="117" t="s">
        <v>749</v>
      </c>
      <c r="B1737" s="114"/>
      <c r="C1737" s="114"/>
      <c r="D1737" s="114"/>
      <c r="E1737" s="114"/>
      <c r="F1737" s="118">
        <f>F1735-F1736</f>
        <v>-0.16999999999999815</v>
      </c>
    </row>
    <row r="1739" spans="1:30" x14ac:dyDescent="0.2">
      <c r="A1739" s="137" t="s">
        <v>1404</v>
      </c>
      <c r="B1739" s="137"/>
      <c r="C1739" s="137"/>
      <c r="D1739" s="137"/>
      <c r="E1739" s="137"/>
      <c r="F1739" s="137"/>
      <c r="H1739" s="137" t="s">
        <v>1405</v>
      </c>
      <c r="I1739" s="137"/>
      <c r="J1739" s="137"/>
      <c r="K1739" s="137"/>
      <c r="L1739" s="76">
        <v>46113</v>
      </c>
      <c r="M1739" s="77" t="s">
        <v>607</v>
      </c>
      <c r="N1739" s="76">
        <v>46142</v>
      </c>
      <c r="R1739" s="138" t="s">
        <v>110</v>
      </c>
      <c r="S1739" s="138"/>
      <c r="T1739" s="138"/>
      <c r="U1739" s="138"/>
      <c r="V1739" s="138"/>
    </row>
    <row r="1740" spans="1:30" x14ac:dyDescent="0.2">
      <c r="A1740" s="78" t="s">
        <v>111</v>
      </c>
      <c r="B1740" s="79" t="s">
        <v>112</v>
      </c>
      <c r="C1740" s="80"/>
      <c r="D1740" s="80"/>
      <c r="E1740" s="80"/>
      <c r="F1740" s="80"/>
      <c r="H1740" s="81" t="s">
        <v>1406</v>
      </c>
      <c r="I1740" s="82"/>
      <c r="J1740" s="82"/>
      <c r="L1740" s="83" t="s">
        <v>796</v>
      </c>
      <c r="M1740" s="84"/>
      <c r="N1740" s="84"/>
      <c r="R1740" s="85" t="s">
        <v>797</v>
      </c>
    </row>
    <row r="1741" spans="1:30" x14ac:dyDescent="0.2">
      <c r="B1741" s="68" t="s">
        <v>116</v>
      </c>
      <c r="C1741" s="68" t="s">
        <v>117</v>
      </c>
      <c r="D1741" s="68" t="s">
        <v>118</v>
      </c>
      <c r="E1741" s="68" t="s">
        <v>119</v>
      </c>
      <c r="F1741" s="68" t="s">
        <v>120</v>
      </c>
      <c r="H1741" s="86" t="s">
        <v>116</v>
      </c>
      <c r="I1741" s="86" t="s">
        <v>119</v>
      </c>
      <c r="J1741" s="86" t="s">
        <v>120</v>
      </c>
      <c r="L1741" s="87" t="s">
        <v>116</v>
      </c>
      <c r="M1741" s="87" t="s">
        <v>119</v>
      </c>
      <c r="N1741" s="87" t="s">
        <v>120</v>
      </c>
      <c r="R1741" s="88" t="s">
        <v>764</v>
      </c>
    </row>
    <row r="1742" spans="1:30" x14ac:dyDescent="0.2">
      <c r="A1742" s="89" t="s">
        <v>122</v>
      </c>
      <c r="B1742" s="90">
        <v>5</v>
      </c>
      <c r="C1742" s="91">
        <f>$N$1739-$L$1739+1</f>
        <v>30</v>
      </c>
      <c r="D1742" s="92">
        <v>3.68919</v>
      </c>
      <c r="E1742" s="93">
        <v>3.85</v>
      </c>
      <c r="F1742" s="94">
        <f t="shared" ref="F1742:F1749" si="304">ROUND(B1742*E1742,2)</f>
        <v>19.25</v>
      </c>
      <c r="H1742" s="95">
        <v>5</v>
      </c>
      <c r="I1742" s="96">
        <v>3.85</v>
      </c>
      <c r="J1742" s="97">
        <f t="shared" ref="J1742:J1749" si="305">ROUND(H1742*I1742,2)</f>
        <v>19.25</v>
      </c>
      <c r="L1742" s="119"/>
      <c r="M1742" s="119"/>
      <c r="N1742" s="119"/>
      <c r="R1742" s="101" t="s">
        <v>798</v>
      </c>
    </row>
    <row r="1743" spans="1:30" x14ac:dyDescent="0.2">
      <c r="A1743" s="89" t="s">
        <v>124</v>
      </c>
      <c r="B1743" s="90">
        <v>5</v>
      </c>
      <c r="C1743" s="91">
        <f>$N$1739-$L$1739+1</f>
        <v>30</v>
      </c>
      <c r="D1743" s="92">
        <v>1.31928</v>
      </c>
      <c r="E1743" s="93">
        <v>1.33</v>
      </c>
      <c r="F1743" s="94">
        <f t="shared" si="304"/>
        <v>6.65</v>
      </c>
      <c r="H1743" s="95">
        <v>5</v>
      </c>
      <c r="I1743" s="96">
        <v>1.33</v>
      </c>
      <c r="J1743" s="97">
        <f t="shared" si="305"/>
        <v>6.65</v>
      </c>
      <c r="L1743" s="119"/>
      <c r="M1743" s="119"/>
      <c r="N1743" s="119"/>
    </row>
    <row r="1744" spans="1:30" x14ac:dyDescent="0.2">
      <c r="A1744" s="89" t="s">
        <v>614</v>
      </c>
      <c r="B1744" s="90">
        <f>IF($P$1744&lt;&gt;"",ROUND(AA1744*(($AB$1744/(1-$P$1744))-25.9)/56.1093,2),IF('Resumen 2.0TD'!$D$3="OPTIMIZAR",AA1744,AA1744))</f>
        <v>73.135000000000005</v>
      </c>
      <c r="C1744" s="103"/>
      <c r="D1744" s="92">
        <v>0.11117100000000001</v>
      </c>
      <c r="E1744" s="93">
        <v>0.13788</v>
      </c>
      <c r="F1744" s="94">
        <f t="shared" si="304"/>
        <v>10.08</v>
      </c>
      <c r="H1744" s="95">
        <v>100.986</v>
      </c>
      <c r="I1744" s="96">
        <v>0.11899999999999999</v>
      </c>
      <c r="J1744" s="97">
        <f t="shared" si="305"/>
        <v>12.02</v>
      </c>
      <c r="L1744" s="119"/>
      <c r="M1744" s="119"/>
      <c r="N1744" s="119"/>
      <c r="O1744" s="104" t="s">
        <v>615</v>
      </c>
      <c r="P1744" s="67"/>
      <c r="AA1744">
        <v>73.135000000000005</v>
      </c>
      <c r="AB1744">
        <f>B1742*D1742+B1743*D1743+AA1744*D1744+AA1745*D1745+AA1746*D1746</f>
        <v>70.282610253000001</v>
      </c>
    </row>
    <row r="1745" spans="1:30" x14ac:dyDescent="0.2">
      <c r="A1745" s="89" t="s">
        <v>617</v>
      </c>
      <c r="B1745" s="90">
        <f>IF($P$1744&lt;&gt;"",ROUND(AA1745*(($AB$1744/(1-$P$1744))-25.9)/56.1093,2),IF('Resumen 2.0TD'!$D$3="OPTIMIZAR",AA1745,AA1745))</f>
        <v>70.274000000000001</v>
      </c>
      <c r="C1745" s="103"/>
      <c r="D1745" s="92">
        <v>0.11117100000000001</v>
      </c>
      <c r="E1745" s="93">
        <v>0.13788</v>
      </c>
      <c r="F1745" s="94">
        <f t="shared" si="304"/>
        <v>9.69</v>
      </c>
      <c r="H1745" s="95">
        <v>84.974000000000004</v>
      </c>
      <c r="I1745" s="96">
        <v>0.11899999999999999</v>
      </c>
      <c r="J1745" s="97">
        <f t="shared" si="305"/>
        <v>10.11</v>
      </c>
      <c r="L1745" s="119"/>
      <c r="M1745" s="119"/>
      <c r="N1745" s="119"/>
      <c r="O1745" s="105" t="s">
        <v>618</v>
      </c>
      <c r="R1745" s="102" t="s">
        <v>619</v>
      </c>
      <c r="AA1745">
        <v>70.274000000000001</v>
      </c>
    </row>
    <row r="1746" spans="1:30" x14ac:dyDescent="0.2">
      <c r="A1746" s="89" t="s">
        <v>620</v>
      </c>
      <c r="B1746" s="90">
        <f>IF($P$1744&lt;&gt;"",ROUND(AA1746*(($AB$1744/(1-$P$1744))-25.9)/56.1093,2),IF('Resumen 2.0TD'!$D$3="OPTIMIZAR",AA1746,AA1746))</f>
        <v>263.53399999999999</v>
      </c>
      <c r="C1746" s="103"/>
      <c r="D1746" s="92">
        <v>0.11117100000000001</v>
      </c>
      <c r="E1746" s="93">
        <v>0.13788</v>
      </c>
      <c r="F1746" s="94">
        <f t="shared" si="304"/>
        <v>36.340000000000003</v>
      </c>
      <c r="H1746" s="95">
        <v>502.99099999999999</v>
      </c>
      <c r="I1746" s="96">
        <v>0.11899999999999999</v>
      </c>
      <c r="J1746" s="97">
        <f t="shared" si="305"/>
        <v>59.86</v>
      </c>
      <c r="L1746" s="119"/>
      <c r="M1746" s="119"/>
      <c r="N1746" s="119"/>
      <c r="O1746" s="105" t="s">
        <v>621</v>
      </c>
      <c r="AA1746">
        <v>263.53399999999999</v>
      </c>
    </row>
    <row r="1747" spans="1:30" x14ac:dyDescent="0.2">
      <c r="A1747" s="89" t="s">
        <v>139</v>
      </c>
      <c r="B1747" s="90">
        <v>1</v>
      </c>
      <c r="C1747" s="91">
        <f>$N$1739-$L$1739+1</f>
        <v>30</v>
      </c>
      <c r="D1747" s="92">
        <v>0.79890000000000005</v>
      </c>
      <c r="E1747" s="93">
        <v>3</v>
      </c>
      <c r="F1747" s="94">
        <f t="shared" si="304"/>
        <v>3</v>
      </c>
      <c r="H1747" s="95">
        <v>1</v>
      </c>
      <c r="I1747" s="96">
        <v>3</v>
      </c>
      <c r="J1747" s="97">
        <f t="shared" si="305"/>
        <v>3</v>
      </c>
      <c r="L1747" s="119"/>
      <c r="M1747" s="119"/>
      <c r="N1747" s="119"/>
    </row>
    <row r="1748" spans="1:30" x14ac:dyDescent="0.2">
      <c r="A1748" s="89" t="s">
        <v>140</v>
      </c>
      <c r="B1748" s="90">
        <v>30</v>
      </c>
      <c r="C1748" s="91">
        <f>$N$1739-$L$1739+1</f>
        <v>30</v>
      </c>
      <c r="D1748" s="92">
        <v>0.5736</v>
      </c>
      <c r="E1748" s="93">
        <v>1.274E-2</v>
      </c>
      <c r="F1748" s="94">
        <f t="shared" si="304"/>
        <v>0.38</v>
      </c>
      <c r="H1748" s="95">
        <v>30</v>
      </c>
      <c r="I1748" s="96">
        <v>1.274E-2</v>
      </c>
      <c r="J1748" s="97">
        <f t="shared" si="305"/>
        <v>0.38</v>
      </c>
      <c r="L1748" s="119"/>
      <c r="M1748" s="119"/>
      <c r="N1748" s="119"/>
    </row>
    <row r="1749" spans="1:30" x14ac:dyDescent="0.2">
      <c r="A1749" s="89" t="s">
        <v>141</v>
      </c>
      <c r="B1749" s="90">
        <v>4.2</v>
      </c>
      <c r="C1749" s="103"/>
      <c r="D1749" s="92">
        <v>0.27311999999999997</v>
      </c>
      <c r="E1749" s="93">
        <v>1</v>
      </c>
      <c r="F1749" s="94">
        <f t="shared" si="304"/>
        <v>4.2</v>
      </c>
      <c r="H1749" s="95">
        <v>6</v>
      </c>
      <c r="I1749" s="96">
        <v>1</v>
      </c>
      <c r="J1749" s="97">
        <f t="shared" si="305"/>
        <v>6</v>
      </c>
      <c r="L1749" s="119"/>
      <c r="M1749" s="119"/>
      <c r="N1749" s="119"/>
    </row>
    <row r="1750" spans="1:30" x14ac:dyDescent="0.2">
      <c r="A1750" s="106" t="s">
        <v>142</v>
      </c>
      <c r="F1750" s="107">
        <f>ROUND((SUM(F1742:F1749)-F1749)*1.1+F1749,2)</f>
        <v>98.13</v>
      </c>
      <c r="J1750" s="108">
        <f>ROUND(SUM(J1742:J1749),2)</f>
        <v>117.27</v>
      </c>
      <c r="N1750" s="120"/>
    </row>
    <row r="1751" spans="1:30" x14ac:dyDescent="0.2">
      <c r="A1751" s="78" t="s">
        <v>143</v>
      </c>
      <c r="B1751" s="110">
        <f>IF((F1746+F1745+F1744+F1742+F1743)=0,"",((F1746+F1745+F1744+F1742+F1743)-$AB$1744)/(F1746+F1745+F1744+F1742+F1743))</f>
        <v>0.14299950916961349</v>
      </c>
      <c r="D1751" s="139" t="str">
        <f>IF(B1751="","SIN PC",IF(B1751&gt;=0.3,"APROBAR",IF(B1751&gt;=0.2,"REVISAR","RECHAZAR")))</f>
        <v>RECHAZAR</v>
      </c>
      <c r="E1751" s="139"/>
      <c r="F1751" s="139"/>
      <c r="AD1751">
        <f>SUM(F1744:F1746)-56.1093</f>
        <v>7.0000000000192131E-4</v>
      </c>
    </row>
    <row r="1753" spans="1:30" x14ac:dyDescent="0.2">
      <c r="A1753" s="137" t="s">
        <v>1407</v>
      </c>
      <c r="B1753" s="137"/>
      <c r="C1753" s="137"/>
      <c r="D1753" s="137"/>
      <c r="E1753" s="137"/>
      <c r="F1753" s="137"/>
      <c r="H1753" s="137" t="s">
        <v>1408</v>
      </c>
      <c r="I1753" s="137"/>
      <c r="J1753" s="137"/>
      <c r="K1753" s="137"/>
      <c r="L1753" s="76">
        <v>46113</v>
      </c>
      <c r="M1753" s="77" t="s">
        <v>607</v>
      </c>
      <c r="N1753" s="76">
        <v>46142</v>
      </c>
      <c r="R1753" s="138" t="s">
        <v>110</v>
      </c>
      <c r="S1753" s="138"/>
      <c r="T1753" s="138"/>
      <c r="U1753" s="138"/>
      <c r="V1753" s="138"/>
    </row>
    <row r="1754" spans="1:30" x14ac:dyDescent="0.2">
      <c r="A1754" s="78" t="s">
        <v>111</v>
      </c>
      <c r="B1754" s="79" t="s">
        <v>112</v>
      </c>
      <c r="C1754" s="80"/>
      <c r="D1754" s="80"/>
      <c r="E1754" s="80"/>
      <c r="F1754" s="80"/>
      <c r="H1754" s="81" t="s">
        <v>1409</v>
      </c>
      <c r="I1754" s="82"/>
      <c r="J1754" s="82"/>
      <c r="L1754" s="83" t="s">
        <v>796</v>
      </c>
      <c r="M1754" s="84"/>
      <c r="N1754" s="84"/>
      <c r="R1754" s="85" t="s">
        <v>797</v>
      </c>
    </row>
    <row r="1755" spans="1:30" x14ac:dyDescent="0.2">
      <c r="B1755" s="68" t="s">
        <v>116</v>
      </c>
      <c r="C1755" s="68" t="s">
        <v>117</v>
      </c>
      <c r="D1755" s="68" t="s">
        <v>118</v>
      </c>
      <c r="E1755" s="68" t="s">
        <v>119</v>
      </c>
      <c r="F1755" s="68" t="s">
        <v>120</v>
      </c>
      <c r="H1755" s="86" t="s">
        <v>116</v>
      </c>
      <c r="I1755" s="86" t="s">
        <v>119</v>
      </c>
      <c r="J1755" s="86" t="s">
        <v>120</v>
      </c>
      <c r="L1755" s="87" t="s">
        <v>116</v>
      </c>
      <c r="M1755" s="87" t="s">
        <v>119</v>
      </c>
      <c r="N1755" s="87" t="s">
        <v>120</v>
      </c>
      <c r="R1755" s="88" t="s">
        <v>764</v>
      </c>
    </row>
    <row r="1756" spans="1:30" x14ac:dyDescent="0.2">
      <c r="A1756" s="89" t="s">
        <v>122</v>
      </c>
      <c r="B1756" s="90">
        <v>9.1999999999999993</v>
      </c>
      <c r="C1756" s="91">
        <f>$N$1753-$L$1753+1</f>
        <v>30</v>
      </c>
      <c r="D1756" s="92">
        <v>3.68919</v>
      </c>
      <c r="E1756" s="93">
        <v>3.85</v>
      </c>
      <c r="F1756" s="94">
        <f t="shared" ref="F1756:F1763" si="306">ROUND(B1756*E1756,2)</f>
        <v>35.42</v>
      </c>
      <c r="H1756" s="95">
        <v>9.1999999999999993</v>
      </c>
      <c r="I1756" s="96">
        <v>3.85</v>
      </c>
      <c r="J1756" s="97">
        <f t="shared" ref="J1756:J1763" si="307">ROUND(H1756*I1756,2)</f>
        <v>35.42</v>
      </c>
      <c r="L1756" s="119"/>
      <c r="M1756" s="119"/>
      <c r="N1756" s="119"/>
      <c r="R1756" s="101" t="s">
        <v>798</v>
      </c>
    </row>
    <row r="1757" spans="1:30" x14ac:dyDescent="0.2">
      <c r="A1757" s="89" t="s">
        <v>124</v>
      </c>
      <c r="B1757" s="90">
        <v>9.1999999999999993</v>
      </c>
      <c r="C1757" s="91">
        <f>$N$1753-$L$1753+1</f>
        <v>30</v>
      </c>
      <c r="D1757" s="92">
        <v>1.31928</v>
      </c>
      <c r="E1757" s="93">
        <v>1.33</v>
      </c>
      <c r="F1757" s="94">
        <f t="shared" si="306"/>
        <v>12.24</v>
      </c>
      <c r="H1757" s="95">
        <v>9.1999999999999993</v>
      </c>
      <c r="I1757" s="96">
        <v>1.33</v>
      </c>
      <c r="J1757" s="97">
        <f t="shared" si="307"/>
        <v>12.24</v>
      </c>
      <c r="L1757" s="119"/>
      <c r="M1757" s="119"/>
      <c r="N1757" s="119"/>
    </row>
    <row r="1758" spans="1:30" x14ac:dyDescent="0.2">
      <c r="A1758" s="89" t="s">
        <v>614</v>
      </c>
      <c r="B1758" s="90">
        <f>IF($P$1758&lt;&gt;"",ROUND(AA1758*(($AB$1758/(1-$P$1758))-47.656)/84.3502,2),IF('Resumen 2.0TD'!$D$3="OPTIMIZAR",AA1758,AA1758))</f>
        <v>118.65300000000001</v>
      </c>
      <c r="C1758" s="103"/>
      <c r="D1758" s="92">
        <v>0.11117100000000001</v>
      </c>
      <c r="E1758" s="93">
        <v>0.13788</v>
      </c>
      <c r="F1758" s="94">
        <f t="shared" si="306"/>
        <v>16.36</v>
      </c>
      <c r="H1758" s="95">
        <v>204.06700000000001</v>
      </c>
      <c r="I1758" s="96">
        <v>0.13788</v>
      </c>
      <c r="J1758" s="97">
        <f t="shared" si="307"/>
        <v>28.14</v>
      </c>
      <c r="L1758" s="119"/>
      <c r="M1758" s="119"/>
      <c r="N1758" s="119"/>
      <c r="O1758" s="104" t="s">
        <v>615</v>
      </c>
      <c r="P1758" s="67"/>
      <c r="AA1758">
        <v>118.65300000000001</v>
      </c>
      <c r="AB1758">
        <f>B1756*D1756+B1757*D1757+AA1758*D1758+AA1759*D1759+AA1760*D1760</f>
        <v>114.088450815</v>
      </c>
    </row>
    <row r="1759" spans="1:30" x14ac:dyDescent="0.2">
      <c r="A1759" s="89" t="s">
        <v>617</v>
      </c>
      <c r="B1759" s="90">
        <f>IF($P$1758&lt;&gt;"",ROUND(AA1759*(($AB$1758/(1-$P$1758))-47.656)/84.3502,2),IF('Resumen 2.0TD'!$D$3="OPTIMIZAR",AA1759,AA1759))</f>
        <v>153.26900000000001</v>
      </c>
      <c r="C1759" s="103"/>
      <c r="D1759" s="92">
        <v>0.11117100000000001</v>
      </c>
      <c r="E1759" s="93">
        <v>0.13788</v>
      </c>
      <c r="F1759" s="94">
        <f t="shared" si="306"/>
        <v>21.13</v>
      </c>
      <c r="H1759" s="95">
        <v>233.59399999999999</v>
      </c>
      <c r="I1759" s="96">
        <v>0.13788</v>
      </c>
      <c r="J1759" s="97">
        <f t="shared" si="307"/>
        <v>32.21</v>
      </c>
      <c r="L1759" s="119"/>
      <c r="M1759" s="119"/>
      <c r="N1759" s="119"/>
      <c r="O1759" s="105" t="s">
        <v>618</v>
      </c>
      <c r="R1759" s="102" t="s">
        <v>619</v>
      </c>
      <c r="AA1759">
        <v>153.26900000000001</v>
      </c>
    </row>
    <row r="1760" spans="1:30" x14ac:dyDescent="0.2">
      <c r="A1760" s="89" t="s">
        <v>620</v>
      </c>
      <c r="B1760" s="90">
        <f>IF($P$1758&lt;&gt;"",ROUND(AA1760*(($AB$1758/(1-$P$1758))-47.656)/84.3502,2),IF('Resumen 2.0TD'!$D$3="OPTIMIZAR",AA1760,AA1760))</f>
        <v>339.84300000000002</v>
      </c>
      <c r="C1760" s="103"/>
      <c r="D1760" s="92">
        <v>0.11117100000000001</v>
      </c>
      <c r="E1760" s="93">
        <v>0.13788</v>
      </c>
      <c r="F1760" s="94">
        <f t="shared" si="306"/>
        <v>46.86</v>
      </c>
      <c r="H1760" s="95">
        <v>314.40499999999997</v>
      </c>
      <c r="I1760" s="96">
        <v>0.13788</v>
      </c>
      <c r="J1760" s="97">
        <f t="shared" si="307"/>
        <v>43.35</v>
      </c>
      <c r="L1760" s="119"/>
      <c r="M1760" s="119"/>
      <c r="N1760" s="119"/>
      <c r="O1760" s="105" t="s">
        <v>621</v>
      </c>
      <c r="AA1760">
        <v>339.84300000000002</v>
      </c>
    </row>
    <row r="1761" spans="1:30" x14ac:dyDescent="0.2">
      <c r="A1761" s="89" t="s">
        <v>139</v>
      </c>
      <c r="B1761" s="90">
        <v>1</v>
      </c>
      <c r="C1761" s="91">
        <f>$N$1753-$L$1753+1</f>
        <v>30</v>
      </c>
      <c r="D1761" s="92">
        <v>0.79890000000000005</v>
      </c>
      <c r="E1761" s="93">
        <v>3</v>
      </c>
      <c r="F1761" s="94">
        <f t="shared" si="306"/>
        <v>3</v>
      </c>
      <c r="H1761" s="95">
        <v>1</v>
      </c>
      <c r="I1761" s="96">
        <v>3</v>
      </c>
      <c r="J1761" s="97">
        <f t="shared" si="307"/>
        <v>3</v>
      </c>
      <c r="L1761" s="119"/>
      <c r="M1761" s="119"/>
      <c r="N1761" s="119"/>
    </row>
    <row r="1762" spans="1:30" x14ac:dyDescent="0.2">
      <c r="A1762" s="89" t="s">
        <v>140</v>
      </c>
      <c r="B1762" s="90">
        <v>30</v>
      </c>
      <c r="C1762" s="91">
        <f>$N$1753-$L$1753+1</f>
        <v>30</v>
      </c>
      <c r="D1762" s="92">
        <v>0.5736</v>
      </c>
      <c r="E1762" s="93">
        <v>1.274E-2</v>
      </c>
      <c r="F1762" s="94">
        <f t="shared" si="306"/>
        <v>0.38</v>
      </c>
      <c r="H1762" s="95">
        <v>30</v>
      </c>
      <c r="I1762" s="96">
        <v>1.274E-2</v>
      </c>
      <c r="J1762" s="97">
        <f t="shared" si="307"/>
        <v>0.38</v>
      </c>
      <c r="L1762" s="119"/>
      <c r="M1762" s="119"/>
      <c r="N1762" s="119"/>
    </row>
    <row r="1763" spans="1:30" x14ac:dyDescent="0.2">
      <c r="A1763" s="89" t="s">
        <v>141</v>
      </c>
      <c r="B1763" s="90">
        <v>6.76</v>
      </c>
      <c r="C1763" s="103"/>
      <c r="D1763" s="92">
        <v>0.27311999999999997</v>
      </c>
      <c r="E1763" s="93">
        <v>1</v>
      </c>
      <c r="F1763" s="94">
        <f t="shared" si="306"/>
        <v>6.76</v>
      </c>
      <c r="H1763" s="95">
        <v>7.74</v>
      </c>
      <c r="I1763" s="96">
        <v>1</v>
      </c>
      <c r="J1763" s="97">
        <f t="shared" si="307"/>
        <v>7.74</v>
      </c>
      <c r="L1763" s="119"/>
      <c r="M1763" s="119"/>
      <c r="N1763" s="119"/>
    </row>
    <row r="1764" spans="1:30" x14ac:dyDescent="0.2">
      <c r="A1764" s="106" t="s">
        <v>142</v>
      </c>
      <c r="F1764" s="107">
        <f>ROUND((SUM(F1756:F1763)-F1763)*1.1+F1763,2)</f>
        <v>155.69</v>
      </c>
      <c r="J1764" s="108">
        <f>ROUND(SUM(J1756:J1763),2)</f>
        <v>162.47999999999999</v>
      </c>
      <c r="N1764" s="120"/>
    </row>
    <row r="1765" spans="1:30" x14ac:dyDescent="0.2">
      <c r="A1765" s="78" t="s">
        <v>143</v>
      </c>
      <c r="B1765" s="110">
        <f>IF((F1760+F1759+F1758+F1756+F1757)=0,"",((F1760+F1759+F1758+F1756+F1757)-$AB$1758)/(F1760+F1759+F1758+F1756+F1757))</f>
        <v>0.13575902723278532</v>
      </c>
      <c r="D1765" s="139" t="str">
        <f>IF(B1765="","SIN PC",IF(B1765&gt;=0.3,"APROBAR",IF(B1765&gt;=0.2,"REVISAR","RECHAZAR")))</f>
        <v>RECHAZAR</v>
      </c>
      <c r="E1765" s="139"/>
      <c r="F1765" s="139"/>
      <c r="AD1765">
        <f>SUM(F1758:F1760)-84.3502</f>
        <v>-2.0000000000663931E-4</v>
      </c>
    </row>
    <row r="1767" spans="1:30" x14ac:dyDescent="0.2">
      <c r="A1767" s="137" t="s">
        <v>1410</v>
      </c>
      <c r="B1767" s="137"/>
      <c r="C1767" s="137"/>
      <c r="D1767" s="137"/>
      <c r="E1767" s="137"/>
      <c r="F1767" s="137"/>
      <c r="H1767" s="137" t="s">
        <v>1411</v>
      </c>
      <c r="I1767" s="137"/>
      <c r="J1767" s="137"/>
      <c r="K1767" s="137"/>
      <c r="L1767" s="76">
        <v>46113</v>
      </c>
      <c r="M1767" s="77" t="s">
        <v>607</v>
      </c>
      <c r="N1767" s="76">
        <v>46142</v>
      </c>
      <c r="R1767" s="138" t="s">
        <v>110</v>
      </c>
      <c r="S1767" s="138"/>
      <c r="T1767" s="138"/>
      <c r="U1767" s="138"/>
      <c r="V1767" s="138"/>
    </row>
    <row r="1768" spans="1:30" x14ac:dyDescent="0.2">
      <c r="A1768" s="78" t="s">
        <v>111</v>
      </c>
      <c r="B1768" s="79" t="s">
        <v>112</v>
      </c>
      <c r="C1768" s="80"/>
      <c r="D1768" s="80"/>
      <c r="E1768" s="80"/>
      <c r="F1768" s="80"/>
      <c r="H1768" s="81" t="s">
        <v>1412</v>
      </c>
      <c r="I1768" s="82"/>
      <c r="J1768" s="82"/>
      <c r="L1768" s="83" t="s">
        <v>796</v>
      </c>
      <c r="M1768" s="84"/>
      <c r="N1768" s="84"/>
      <c r="R1768" s="85" t="s">
        <v>1364</v>
      </c>
    </row>
    <row r="1769" spans="1:30" x14ac:dyDescent="0.2">
      <c r="B1769" s="68" t="s">
        <v>116</v>
      </c>
      <c r="C1769" s="68" t="s">
        <v>117</v>
      </c>
      <c r="D1769" s="68" t="s">
        <v>118</v>
      </c>
      <c r="E1769" s="68" t="s">
        <v>119</v>
      </c>
      <c r="F1769" s="68" t="s">
        <v>120</v>
      </c>
      <c r="H1769" s="86" t="s">
        <v>116</v>
      </c>
      <c r="I1769" s="86" t="s">
        <v>119</v>
      </c>
      <c r="J1769" s="86" t="s">
        <v>120</v>
      </c>
      <c r="L1769" s="87" t="s">
        <v>116</v>
      </c>
      <c r="M1769" s="87" t="s">
        <v>119</v>
      </c>
      <c r="N1769" s="87" t="s">
        <v>120</v>
      </c>
      <c r="R1769" s="88" t="s">
        <v>764</v>
      </c>
    </row>
    <row r="1770" spans="1:30" x14ac:dyDescent="0.2">
      <c r="A1770" s="89" t="s">
        <v>122</v>
      </c>
      <c r="B1770" s="90">
        <v>5.5</v>
      </c>
      <c r="C1770" s="91">
        <f>$N$1767-$L$1767+1</f>
        <v>30</v>
      </c>
      <c r="D1770" s="92">
        <v>3.68919</v>
      </c>
      <c r="E1770" s="93">
        <v>3.85</v>
      </c>
      <c r="F1770" s="94">
        <f t="shared" ref="F1770:F1777" si="308">ROUND(B1770*E1770,2)</f>
        <v>21.18</v>
      </c>
      <c r="H1770" s="95">
        <v>5.5</v>
      </c>
      <c r="I1770" s="96">
        <v>3.85</v>
      </c>
      <c r="J1770" s="97">
        <f t="shared" ref="J1770:J1777" si="309">ROUND(H1770*I1770,2)</f>
        <v>21.18</v>
      </c>
      <c r="L1770" s="119"/>
      <c r="M1770" s="119"/>
      <c r="N1770" s="119"/>
      <c r="R1770" s="101" t="s">
        <v>1365</v>
      </c>
    </row>
    <row r="1771" spans="1:30" x14ac:dyDescent="0.2">
      <c r="A1771" s="89" t="s">
        <v>124</v>
      </c>
      <c r="B1771" s="90">
        <v>5.5</v>
      </c>
      <c r="C1771" s="91">
        <f>$N$1767-$L$1767+1</f>
        <v>30</v>
      </c>
      <c r="D1771" s="92">
        <v>1.31928</v>
      </c>
      <c r="E1771" s="93">
        <v>1.33</v>
      </c>
      <c r="F1771" s="94">
        <f t="shared" si="308"/>
        <v>7.32</v>
      </c>
      <c r="H1771" s="95">
        <v>5.5</v>
      </c>
      <c r="I1771" s="96">
        <v>1.33</v>
      </c>
      <c r="J1771" s="97">
        <f t="shared" si="309"/>
        <v>7.32</v>
      </c>
      <c r="L1771" s="119"/>
      <c r="M1771" s="119"/>
      <c r="N1771" s="119"/>
    </row>
    <row r="1772" spans="1:30" x14ac:dyDescent="0.2">
      <c r="A1772" s="89" t="s">
        <v>614</v>
      </c>
      <c r="B1772" s="90">
        <f>IF($P$1772&lt;&gt;"",ROUND(AA1772*(($AB$1772/(1-$P$1772))-28.49)/34.0521,2),IF('Resumen 2.0TD'!$D$3="OPTIMIZAR",AA1772,AA1772))</f>
        <v>76.518000000000001</v>
      </c>
      <c r="C1772" s="103"/>
      <c r="D1772" s="92">
        <v>0.11117100000000001</v>
      </c>
      <c r="E1772" s="93">
        <v>0.13788</v>
      </c>
      <c r="F1772" s="94">
        <f t="shared" si="308"/>
        <v>10.55</v>
      </c>
      <c r="H1772" s="95">
        <v>104.922</v>
      </c>
      <c r="I1772" s="96">
        <v>0.13788</v>
      </c>
      <c r="J1772" s="97">
        <f t="shared" si="309"/>
        <v>14.47</v>
      </c>
      <c r="L1772" s="119"/>
      <c r="M1772" s="119"/>
      <c r="N1772" s="119"/>
      <c r="O1772" s="104" t="s">
        <v>615</v>
      </c>
      <c r="P1772" s="67"/>
      <c r="AA1772">
        <v>76.518000000000001</v>
      </c>
      <c r="AB1772">
        <f>B1770*D1770+B1771*D1771+AA1772*D1772+AA1773*D1773+AA1774*D1774</f>
        <v>55.002375698999998</v>
      </c>
    </row>
    <row r="1773" spans="1:30" x14ac:dyDescent="0.2">
      <c r="A1773" s="89" t="s">
        <v>617</v>
      </c>
      <c r="B1773" s="90">
        <f>IF($P$1772&lt;&gt;"",ROUND(AA1773*(($AB$1772/(1-$P$1772))-28.49)/34.0521,2),IF('Resumen 2.0TD'!$D$3="OPTIMIZAR",AA1773,AA1773))</f>
        <v>71.62</v>
      </c>
      <c r="C1773" s="103"/>
      <c r="D1773" s="92">
        <v>0.11117100000000001</v>
      </c>
      <c r="E1773" s="93">
        <v>0.13788</v>
      </c>
      <c r="F1773" s="94">
        <f t="shared" si="308"/>
        <v>9.8699999999999992</v>
      </c>
      <c r="H1773" s="95">
        <v>82.977999999999994</v>
      </c>
      <c r="I1773" s="96">
        <v>0.13788</v>
      </c>
      <c r="J1773" s="97">
        <f t="shared" si="309"/>
        <v>11.44</v>
      </c>
      <c r="L1773" s="119"/>
      <c r="M1773" s="119"/>
      <c r="N1773" s="119"/>
      <c r="O1773" s="105" t="s">
        <v>618</v>
      </c>
      <c r="R1773" s="102" t="s">
        <v>619</v>
      </c>
      <c r="AA1773">
        <v>71.62</v>
      </c>
    </row>
    <row r="1774" spans="1:30" x14ac:dyDescent="0.2">
      <c r="A1774" s="89" t="s">
        <v>620</v>
      </c>
      <c r="B1774" s="90">
        <f>IF($P$1772&lt;&gt;"",ROUND(AA1774*(($AB$1772/(1-$P$1772))-28.49)/34.0521,2),IF('Resumen 2.0TD'!$D$3="OPTIMIZAR",AA1774,AA1774))</f>
        <v>98.831000000000003</v>
      </c>
      <c r="C1774" s="103"/>
      <c r="D1774" s="92">
        <v>0.11117100000000001</v>
      </c>
      <c r="E1774" s="93">
        <v>0.13788</v>
      </c>
      <c r="F1774" s="94">
        <f t="shared" si="308"/>
        <v>13.63</v>
      </c>
      <c r="H1774" s="95">
        <v>120.42400000000001</v>
      </c>
      <c r="I1774" s="96">
        <v>0.13788</v>
      </c>
      <c r="J1774" s="97">
        <f t="shared" si="309"/>
        <v>16.600000000000001</v>
      </c>
      <c r="L1774" s="119"/>
      <c r="M1774" s="119"/>
      <c r="N1774" s="119"/>
      <c r="O1774" s="105" t="s">
        <v>621</v>
      </c>
      <c r="AA1774">
        <v>98.831000000000003</v>
      </c>
    </row>
    <row r="1775" spans="1:30" x14ac:dyDescent="0.2">
      <c r="A1775" s="89" t="s">
        <v>139</v>
      </c>
      <c r="B1775" s="90">
        <v>1</v>
      </c>
      <c r="C1775" s="91">
        <f>$N$1767-$L$1767+1</f>
        <v>30</v>
      </c>
      <c r="D1775" s="92">
        <v>0.79890000000000005</v>
      </c>
      <c r="E1775" s="93">
        <v>3</v>
      </c>
      <c r="F1775" s="94">
        <f t="shared" si="308"/>
        <v>3</v>
      </c>
      <c r="H1775" s="95">
        <v>1</v>
      </c>
      <c r="I1775" s="96">
        <v>3</v>
      </c>
      <c r="J1775" s="97">
        <f t="shared" si="309"/>
        <v>3</v>
      </c>
      <c r="L1775" s="119"/>
      <c r="M1775" s="119"/>
      <c r="N1775" s="119"/>
    </row>
    <row r="1776" spans="1:30" x14ac:dyDescent="0.2">
      <c r="A1776" s="89" t="s">
        <v>140</v>
      </c>
      <c r="B1776" s="90">
        <v>30</v>
      </c>
      <c r="C1776" s="91">
        <f>$N$1767-$L$1767+1</f>
        <v>30</v>
      </c>
      <c r="D1776" s="92">
        <v>0.5736</v>
      </c>
      <c r="E1776" s="93">
        <v>1.274E-2</v>
      </c>
      <c r="F1776" s="94">
        <f t="shared" si="308"/>
        <v>0.38</v>
      </c>
      <c r="H1776" s="95">
        <v>30</v>
      </c>
      <c r="I1776" s="96">
        <v>1.274E-2</v>
      </c>
      <c r="J1776" s="97">
        <f t="shared" si="309"/>
        <v>0.38</v>
      </c>
      <c r="L1776" s="119"/>
      <c r="M1776" s="119"/>
      <c r="N1776" s="119"/>
    </row>
    <row r="1777" spans="1:30" x14ac:dyDescent="0.2">
      <c r="A1777" s="89" t="s">
        <v>141</v>
      </c>
      <c r="B1777" s="90">
        <v>3.21</v>
      </c>
      <c r="C1777" s="103"/>
      <c r="D1777" s="92">
        <v>2.6710000000000001E-2</v>
      </c>
      <c r="E1777" s="93">
        <v>1</v>
      </c>
      <c r="F1777" s="94">
        <f t="shared" si="308"/>
        <v>3.21</v>
      </c>
      <c r="H1777" s="95">
        <v>3.64</v>
      </c>
      <c r="I1777" s="96">
        <v>1</v>
      </c>
      <c r="J1777" s="97">
        <f t="shared" si="309"/>
        <v>3.64</v>
      </c>
      <c r="L1777" s="119"/>
      <c r="M1777" s="119"/>
      <c r="N1777" s="119"/>
    </row>
    <row r="1778" spans="1:30" x14ac:dyDescent="0.2">
      <c r="A1778" s="106" t="s">
        <v>142</v>
      </c>
      <c r="F1778" s="107">
        <f>ROUND((SUM(F1770:F1777)-F1777)*1.1+F1777,2)</f>
        <v>75.73</v>
      </c>
      <c r="J1778" s="108">
        <f>ROUND(SUM(J1770:J1777),2)</f>
        <v>78.03</v>
      </c>
      <c r="N1778" s="120"/>
    </row>
    <row r="1779" spans="1:30" x14ac:dyDescent="0.2">
      <c r="A1779" s="78" t="s">
        <v>143</v>
      </c>
      <c r="B1779" s="110">
        <f>IF((F1774+F1773+F1772+F1770+F1771)=0,"",((F1774+F1773+F1772+F1770+F1771)-$AB$1772)/(F1774+F1773+F1772+F1770+F1771))</f>
        <v>0.12066545645083931</v>
      </c>
      <c r="D1779" s="139" t="str">
        <f>IF(B1779="","SIN PC",IF(B1779&gt;=0.3,"APROBAR",IF(B1779&gt;=0.2,"REVISAR","RECHAZAR")))</f>
        <v>RECHAZAR</v>
      </c>
      <c r="E1779" s="139"/>
      <c r="F1779" s="139"/>
      <c r="AD1779">
        <f>SUM(F1772:F1774)-34.0521</f>
        <v>-2.0999999999986585E-3</v>
      </c>
    </row>
    <row r="1781" spans="1:30" x14ac:dyDescent="0.2">
      <c r="A1781" s="137" t="s">
        <v>1413</v>
      </c>
      <c r="B1781" s="137"/>
      <c r="C1781" s="137"/>
      <c r="D1781" s="137"/>
      <c r="E1781" s="137"/>
      <c r="F1781" s="137"/>
      <c r="H1781" s="137" t="s">
        <v>1414</v>
      </c>
      <c r="I1781" s="137"/>
      <c r="J1781" s="137"/>
      <c r="K1781" s="137"/>
      <c r="L1781" s="76">
        <v>46113</v>
      </c>
      <c r="M1781" s="77" t="s">
        <v>607</v>
      </c>
      <c r="N1781" s="76">
        <v>46142</v>
      </c>
      <c r="R1781" s="138" t="s">
        <v>110</v>
      </c>
      <c r="S1781" s="138"/>
      <c r="T1781" s="138"/>
      <c r="U1781" s="138"/>
      <c r="V1781" s="138"/>
    </row>
    <row r="1782" spans="1:30" x14ac:dyDescent="0.2">
      <c r="A1782" s="78" t="s">
        <v>111</v>
      </c>
      <c r="B1782" s="79" t="s">
        <v>112</v>
      </c>
      <c r="C1782" s="80"/>
      <c r="D1782" s="80"/>
      <c r="E1782" s="80"/>
      <c r="F1782" s="80"/>
      <c r="H1782" s="81" t="s">
        <v>1415</v>
      </c>
      <c r="I1782" s="82"/>
      <c r="J1782" s="82"/>
      <c r="L1782" s="83" t="s">
        <v>796</v>
      </c>
      <c r="M1782" s="84"/>
      <c r="N1782" s="84"/>
      <c r="R1782" s="85" t="s">
        <v>797</v>
      </c>
    </row>
    <row r="1783" spans="1:30" x14ac:dyDescent="0.2">
      <c r="B1783" s="68" t="s">
        <v>116</v>
      </c>
      <c r="C1783" s="68" t="s">
        <v>117</v>
      </c>
      <c r="D1783" s="68" t="s">
        <v>118</v>
      </c>
      <c r="E1783" s="68" t="s">
        <v>119</v>
      </c>
      <c r="F1783" s="68" t="s">
        <v>120</v>
      </c>
      <c r="H1783" s="86" t="s">
        <v>116</v>
      </c>
      <c r="I1783" s="86" t="s">
        <v>119</v>
      </c>
      <c r="J1783" s="86" t="s">
        <v>120</v>
      </c>
      <c r="L1783" s="87" t="s">
        <v>116</v>
      </c>
      <c r="M1783" s="87" t="s">
        <v>119</v>
      </c>
      <c r="N1783" s="87" t="s">
        <v>120</v>
      </c>
      <c r="R1783" s="88" t="s">
        <v>764</v>
      </c>
    </row>
    <row r="1784" spans="1:30" x14ac:dyDescent="0.2">
      <c r="A1784" s="89" t="s">
        <v>122</v>
      </c>
      <c r="B1784" s="90">
        <v>9.1999999999999993</v>
      </c>
      <c r="C1784" s="91">
        <f>$N$1781-$L$1781+1</f>
        <v>30</v>
      </c>
      <c r="D1784" s="92">
        <v>3.68919</v>
      </c>
      <c r="E1784" s="93">
        <v>3.85</v>
      </c>
      <c r="F1784" s="94">
        <f t="shared" ref="F1784:F1791" si="310">ROUND(B1784*E1784,2)</f>
        <v>35.42</v>
      </c>
      <c r="H1784" s="95">
        <v>9.1999999999999993</v>
      </c>
      <c r="I1784" s="96">
        <v>3.85</v>
      </c>
      <c r="J1784" s="97">
        <f t="shared" ref="J1784:J1791" si="311">ROUND(H1784*I1784,2)</f>
        <v>35.42</v>
      </c>
      <c r="L1784" s="119"/>
      <c r="M1784" s="119"/>
      <c r="N1784" s="119"/>
      <c r="R1784" s="101" t="s">
        <v>798</v>
      </c>
    </row>
    <row r="1785" spans="1:30" x14ac:dyDescent="0.2">
      <c r="A1785" s="89" t="s">
        <v>124</v>
      </c>
      <c r="B1785" s="90">
        <v>9.1999999999999993</v>
      </c>
      <c r="C1785" s="91">
        <f>$N$1781-$L$1781+1</f>
        <v>30</v>
      </c>
      <c r="D1785" s="92">
        <v>1.31928</v>
      </c>
      <c r="E1785" s="93">
        <v>1.33</v>
      </c>
      <c r="F1785" s="94">
        <f t="shared" si="310"/>
        <v>12.24</v>
      </c>
      <c r="H1785" s="95">
        <v>9.1999999999999993</v>
      </c>
      <c r="I1785" s="96">
        <v>1.33</v>
      </c>
      <c r="J1785" s="97">
        <f t="shared" si="311"/>
        <v>12.24</v>
      </c>
      <c r="L1785" s="119"/>
      <c r="M1785" s="119"/>
      <c r="N1785" s="119"/>
    </row>
    <row r="1786" spans="1:30" x14ac:dyDescent="0.2">
      <c r="A1786" s="89" t="s">
        <v>614</v>
      </c>
      <c r="B1786" s="90">
        <f>IF($P$1786&lt;&gt;"",ROUND(AA1786*(($AB$1786/(1-$P$1786))-47.656)/2.5115,2),IF('Resumen 2.0TD'!$D$3="OPTIMIZAR",AA1786,AA1786))</f>
        <v>2.3660000000000001</v>
      </c>
      <c r="C1786" s="103"/>
      <c r="D1786" s="92">
        <v>0.11117100000000001</v>
      </c>
      <c r="E1786" s="93">
        <v>0.13788</v>
      </c>
      <c r="F1786" s="94">
        <f t="shared" si="310"/>
        <v>0.33</v>
      </c>
      <c r="H1786" s="95">
        <v>6.9429999999999996</v>
      </c>
      <c r="I1786" s="96">
        <v>0.13788</v>
      </c>
      <c r="J1786" s="97">
        <f t="shared" si="311"/>
        <v>0.96</v>
      </c>
      <c r="L1786" s="119"/>
      <c r="M1786" s="119"/>
      <c r="N1786" s="119"/>
      <c r="O1786" s="104" t="s">
        <v>615</v>
      </c>
      <c r="P1786" s="67"/>
      <c r="AA1786">
        <v>2.3660000000000001</v>
      </c>
      <c r="AB1786">
        <f>B1784*D1784+B1785*D1785+AA1786*D1786+AA1787*D1787+AA1788*D1788</f>
        <v>48.102903764999994</v>
      </c>
    </row>
    <row r="1787" spans="1:30" x14ac:dyDescent="0.2">
      <c r="A1787" s="89" t="s">
        <v>617</v>
      </c>
      <c r="B1787" s="90">
        <f>IF($P$1786&lt;&gt;"",ROUND(AA1787*(($AB$1786/(1-$P$1786))-47.656)/2.5115,2),IF('Resumen 2.0TD'!$D$3="OPTIMIZAR",AA1787,AA1787))</f>
        <v>2.34</v>
      </c>
      <c r="C1787" s="103"/>
      <c r="D1787" s="92">
        <v>0.11117100000000001</v>
      </c>
      <c r="E1787" s="93">
        <v>0.13788</v>
      </c>
      <c r="F1787" s="94">
        <f t="shared" si="310"/>
        <v>0.32</v>
      </c>
      <c r="H1787" s="95">
        <v>2.3170000000000002</v>
      </c>
      <c r="I1787" s="96">
        <v>0.13788</v>
      </c>
      <c r="J1787" s="97">
        <f t="shared" si="311"/>
        <v>0.32</v>
      </c>
      <c r="L1787" s="119"/>
      <c r="M1787" s="119"/>
      <c r="N1787" s="119"/>
      <c r="O1787" s="105" t="s">
        <v>618</v>
      </c>
      <c r="R1787" s="102" t="s">
        <v>619</v>
      </c>
      <c r="AA1787">
        <v>2.34</v>
      </c>
    </row>
    <row r="1788" spans="1:30" x14ac:dyDescent="0.2">
      <c r="A1788" s="89" t="s">
        <v>620</v>
      </c>
      <c r="B1788" s="90">
        <f>IF($P$1786&lt;&gt;"",ROUND(AA1788*(($AB$1786/(1-$P$1786))-47.656)/2.5115,2),IF('Resumen 2.0TD'!$D$3="OPTIMIZAR",AA1788,AA1788))</f>
        <v>13.509</v>
      </c>
      <c r="C1788" s="103"/>
      <c r="D1788" s="92">
        <v>0.11117100000000001</v>
      </c>
      <c r="E1788" s="93">
        <v>0.13788</v>
      </c>
      <c r="F1788" s="94">
        <f t="shared" si="310"/>
        <v>1.86</v>
      </c>
      <c r="H1788" s="95">
        <v>16.696000000000002</v>
      </c>
      <c r="I1788" s="96">
        <v>0.13788</v>
      </c>
      <c r="J1788" s="97">
        <f t="shared" si="311"/>
        <v>2.2999999999999998</v>
      </c>
      <c r="L1788" s="119"/>
      <c r="M1788" s="119"/>
      <c r="N1788" s="119"/>
      <c r="O1788" s="105" t="s">
        <v>621</v>
      </c>
      <c r="AA1788">
        <v>13.509</v>
      </c>
    </row>
    <row r="1789" spans="1:30" x14ac:dyDescent="0.2">
      <c r="A1789" s="89" t="s">
        <v>139</v>
      </c>
      <c r="B1789" s="90">
        <v>1</v>
      </c>
      <c r="C1789" s="91">
        <f>$N$1781-$L$1781+1</f>
        <v>30</v>
      </c>
      <c r="D1789" s="92">
        <v>0.79890000000000005</v>
      </c>
      <c r="E1789" s="93">
        <v>3</v>
      </c>
      <c r="F1789" s="94">
        <f t="shared" si="310"/>
        <v>3</v>
      </c>
      <c r="H1789" s="95">
        <v>1</v>
      </c>
      <c r="I1789" s="96">
        <v>3</v>
      </c>
      <c r="J1789" s="97">
        <f t="shared" si="311"/>
        <v>3</v>
      </c>
      <c r="L1789" s="119"/>
      <c r="M1789" s="119"/>
      <c r="N1789" s="119"/>
    </row>
    <row r="1790" spans="1:30" x14ac:dyDescent="0.2">
      <c r="A1790" s="89" t="s">
        <v>140</v>
      </c>
      <c r="B1790" s="90">
        <v>30</v>
      </c>
      <c r="C1790" s="91">
        <f>$N$1781-$L$1781+1</f>
        <v>30</v>
      </c>
      <c r="D1790" s="92">
        <v>0.5736</v>
      </c>
      <c r="E1790" s="93">
        <v>1.274E-2</v>
      </c>
      <c r="F1790" s="94">
        <f t="shared" si="310"/>
        <v>0.38</v>
      </c>
      <c r="H1790" s="95">
        <v>30</v>
      </c>
      <c r="I1790" s="96">
        <v>1.274E-2</v>
      </c>
      <c r="J1790" s="97">
        <f t="shared" si="311"/>
        <v>0.38</v>
      </c>
      <c r="L1790" s="119"/>
      <c r="M1790" s="119"/>
      <c r="N1790" s="119"/>
    </row>
    <row r="1791" spans="1:30" x14ac:dyDescent="0.2">
      <c r="A1791" s="89" t="s">
        <v>141</v>
      </c>
      <c r="B1791" s="90">
        <v>2.57</v>
      </c>
      <c r="C1791" s="103"/>
      <c r="D1791" s="92">
        <v>0.27311999999999997</v>
      </c>
      <c r="E1791" s="93">
        <v>1</v>
      </c>
      <c r="F1791" s="94">
        <f t="shared" si="310"/>
        <v>2.57</v>
      </c>
      <c r="H1791" s="95">
        <v>2.63</v>
      </c>
      <c r="I1791" s="96">
        <v>1</v>
      </c>
      <c r="J1791" s="97">
        <f t="shared" si="311"/>
        <v>2.63</v>
      </c>
      <c r="L1791" s="119"/>
      <c r="M1791" s="119"/>
      <c r="N1791" s="119"/>
    </row>
    <row r="1792" spans="1:30" x14ac:dyDescent="0.2">
      <c r="A1792" s="106" t="s">
        <v>142</v>
      </c>
      <c r="F1792" s="107">
        <f>ROUND((SUM(F1784:F1791)-F1791)*1.1+F1791,2)</f>
        <v>61.48</v>
      </c>
      <c r="J1792" s="108">
        <f>ROUND(SUM(J1784:J1791),2)</f>
        <v>57.25</v>
      </c>
      <c r="N1792" s="120"/>
    </row>
    <row r="1793" spans="1:30" x14ac:dyDescent="0.2">
      <c r="A1793" s="78" t="s">
        <v>143</v>
      </c>
      <c r="B1793" s="110">
        <f>IF((F1788+F1787+F1786+F1784+F1785)=0,"",((F1788+F1787+F1786+F1784+F1785)-$AB$1786)/(F1788+F1787+F1786+F1784+F1785))</f>
        <v>4.1201838449272637E-2</v>
      </c>
      <c r="D1793" s="139" t="str">
        <f>IF(B1793="","SIN PC",IF(B1793&gt;=0.3,"APROBAR",IF(B1793&gt;=0.2,"REVISAR","RECHAZAR")))</f>
        <v>RECHAZAR</v>
      </c>
      <c r="E1793" s="139"/>
      <c r="F1793" s="139"/>
      <c r="AD1793">
        <f>SUM(F1786:F1788)-2.5115</f>
        <v>-1.4999999999996128E-3</v>
      </c>
    </row>
    <row r="1795" spans="1:30" x14ac:dyDescent="0.2">
      <c r="A1795" s="137" t="s">
        <v>1416</v>
      </c>
      <c r="B1795" s="137"/>
      <c r="C1795" s="137"/>
      <c r="D1795" s="137"/>
      <c r="E1795" s="137"/>
      <c r="F1795" s="137"/>
      <c r="H1795" s="137" t="s">
        <v>1417</v>
      </c>
      <c r="I1795" s="137"/>
      <c r="J1795" s="137"/>
      <c r="K1795" s="137"/>
      <c r="L1795" s="76">
        <v>46113</v>
      </c>
      <c r="M1795" s="77" t="s">
        <v>607</v>
      </c>
      <c r="N1795" s="76">
        <v>46142</v>
      </c>
      <c r="R1795" s="138" t="s">
        <v>110</v>
      </c>
      <c r="S1795" s="138"/>
      <c r="T1795" s="138"/>
      <c r="U1795" s="138"/>
      <c r="V1795" s="138"/>
    </row>
    <row r="1796" spans="1:30" x14ac:dyDescent="0.2">
      <c r="A1796" s="78" t="s">
        <v>111</v>
      </c>
      <c r="B1796" s="79" t="s">
        <v>112</v>
      </c>
      <c r="C1796" s="80"/>
      <c r="D1796" s="80"/>
      <c r="E1796" s="80"/>
      <c r="F1796" s="80"/>
      <c r="H1796" s="81" t="s">
        <v>1418</v>
      </c>
      <c r="I1796" s="82"/>
      <c r="J1796" s="82"/>
      <c r="L1796" s="83" t="s">
        <v>796</v>
      </c>
      <c r="M1796" s="84"/>
      <c r="N1796" s="84"/>
      <c r="R1796" s="85" t="s">
        <v>797</v>
      </c>
    </row>
    <row r="1797" spans="1:30" x14ac:dyDescent="0.2">
      <c r="B1797" s="68" t="s">
        <v>116</v>
      </c>
      <c r="C1797" s="68" t="s">
        <v>117</v>
      </c>
      <c r="D1797" s="68" t="s">
        <v>118</v>
      </c>
      <c r="E1797" s="68" t="s">
        <v>119</v>
      </c>
      <c r="F1797" s="68" t="s">
        <v>120</v>
      </c>
      <c r="H1797" s="86" t="s">
        <v>116</v>
      </c>
      <c r="I1797" s="86" t="s">
        <v>119</v>
      </c>
      <c r="J1797" s="86" t="s">
        <v>120</v>
      </c>
      <c r="L1797" s="87" t="s">
        <v>116</v>
      </c>
      <c r="M1797" s="87" t="s">
        <v>119</v>
      </c>
      <c r="N1797" s="87" t="s">
        <v>120</v>
      </c>
      <c r="R1797" s="88" t="s">
        <v>764</v>
      </c>
    </row>
    <row r="1798" spans="1:30" x14ac:dyDescent="0.2">
      <c r="A1798" s="89" t="s">
        <v>122</v>
      </c>
      <c r="B1798" s="90">
        <v>3.45</v>
      </c>
      <c r="C1798" s="91">
        <f>$N$1795-$L$1795+1</f>
        <v>30</v>
      </c>
      <c r="D1798" s="92">
        <v>3.68919</v>
      </c>
      <c r="E1798" s="93">
        <v>3.85</v>
      </c>
      <c r="F1798" s="94">
        <f t="shared" ref="F1798:F1805" si="312">ROUND(B1798*E1798,2)</f>
        <v>13.28</v>
      </c>
      <c r="H1798" s="95">
        <v>3.45</v>
      </c>
      <c r="I1798" s="96">
        <v>3.85</v>
      </c>
      <c r="J1798" s="97">
        <f t="shared" ref="J1798:J1805" si="313">ROUND(H1798*I1798,2)</f>
        <v>13.28</v>
      </c>
      <c r="L1798" s="119"/>
      <c r="M1798" s="119"/>
      <c r="N1798" s="119"/>
      <c r="R1798" s="101" t="s">
        <v>798</v>
      </c>
    </row>
    <row r="1799" spans="1:30" x14ac:dyDescent="0.2">
      <c r="A1799" s="89" t="s">
        <v>124</v>
      </c>
      <c r="B1799" s="90">
        <v>3.45</v>
      </c>
      <c r="C1799" s="91">
        <f>$N$1795-$L$1795+1</f>
        <v>30</v>
      </c>
      <c r="D1799" s="92">
        <v>1.31928</v>
      </c>
      <c r="E1799" s="93">
        <v>1.33</v>
      </c>
      <c r="F1799" s="94">
        <f t="shared" si="312"/>
        <v>4.59</v>
      </c>
      <c r="H1799" s="95">
        <v>3.45</v>
      </c>
      <c r="I1799" s="96">
        <v>1.33</v>
      </c>
      <c r="J1799" s="97">
        <f t="shared" si="313"/>
        <v>4.59</v>
      </c>
      <c r="L1799" s="119"/>
      <c r="M1799" s="119"/>
      <c r="N1799" s="119"/>
    </row>
    <row r="1800" spans="1:30" x14ac:dyDescent="0.2">
      <c r="A1800" s="89" t="s">
        <v>614</v>
      </c>
      <c r="B1800" s="90">
        <f>IF($P$1800&lt;&gt;"",ROUND(AA1800*(($AB$1800/(1-$P$1800))-17.871)/17.802,2),IF('Resumen 2.0TD'!$D$3="OPTIMIZAR",AA1800,AA1800))</f>
        <v>49.947000000000003</v>
      </c>
      <c r="C1800" s="103"/>
      <c r="D1800" s="92">
        <v>0.11117100000000001</v>
      </c>
      <c r="E1800" s="93">
        <v>0.13788</v>
      </c>
      <c r="F1800" s="94">
        <f t="shared" si="312"/>
        <v>6.89</v>
      </c>
      <c r="H1800" s="95">
        <v>81.08</v>
      </c>
      <c r="I1800" s="96">
        <v>0.13788</v>
      </c>
      <c r="J1800" s="97">
        <f t="shared" si="313"/>
        <v>11.18</v>
      </c>
      <c r="L1800" s="119"/>
      <c r="M1800" s="119"/>
      <c r="N1800" s="119"/>
      <c r="O1800" s="104" t="s">
        <v>615</v>
      </c>
      <c r="P1800" s="67"/>
      <c r="AA1800">
        <v>49.947000000000003</v>
      </c>
      <c r="AB1800">
        <f>B1798*D1798+B1799*D1799+AA1800*D1800+AA1801*D1801+AA1802*D1802</f>
        <v>31.632731652000004</v>
      </c>
    </row>
    <row r="1801" spans="1:30" x14ac:dyDescent="0.2">
      <c r="A1801" s="89" t="s">
        <v>617</v>
      </c>
      <c r="B1801" s="90">
        <f>IF($P$1800&lt;&gt;"",ROUND(AA1801*(($AB$1800/(1-$P$1800))-17.871)/17.802,2),IF('Resumen 2.0TD'!$D$3="OPTIMIZAR",AA1801,AA1801))</f>
        <v>34.960999999999999</v>
      </c>
      <c r="C1801" s="103"/>
      <c r="D1801" s="92">
        <v>0.11117100000000001</v>
      </c>
      <c r="E1801" s="93">
        <v>0.13788</v>
      </c>
      <c r="F1801" s="94">
        <f t="shared" si="312"/>
        <v>4.82</v>
      </c>
      <c r="H1801" s="95">
        <v>46.491</v>
      </c>
      <c r="I1801" s="96">
        <v>0.13788</v>
      </c>
      <c r="J1801" s="97">
        <f t="shared" si="313"/>
        <v>6.41</v>
      </c>
      <c r="L1801" s="119"/>
      <c r="M1801" s="119"/>
      <c r="N1801" s="119"/>
      <c r="O1801" s="105" t="s">
        <v>618</v>
      </c>
      <c r="R1801" s="102" t="s">
        <v>619</v>
      </c>
      <c r="AA1801">
        <v>34.960999999999999</v>
      </c>
    </row>
    <row r="1802" spans="1:30" x14ac:dyDescent="0.2">
      <c r="A1802" s="89" t="s">
        <v>620</v>
      </c>
      <c r="B1802" s="90">
        <f>IF($P$1800&lt;&gt;"",ROUND(AA1802*(($AB$1800/(1-$P$1800))-17.871)/17.802,2),IF('Resumen 2.0TD'!$D$3="OPTIMIZAR",AA1802,AA1802))</f>
        <v>44.204000000000001</v>
      </c>
      <c r="C1802" s="103"/>
      <c r="D1802" s="92">
        <v>0.11117100000000001</v>
      </c>
      <c r="E1802" s="93">
        <v>0.13788</v>
      </c>
      <c r="F1802" s="94">
        <f t="shared" si="312"/>
        <v>6.09</v>
      </c>
      <c r="H1802" s="95">
        <v>61.625999999999998</v>
      </c>
      <c r="I1802" s="96">
        <v>0.13788</v>
      </c>
      <c r="J1802" s="97">
        <f t="shared" si="313"/>
        <v>8.5</v>
      </c>
      <c r="L1802" s="119"/>
      <c r="M1802" s="119"/>
      <c r="N1802" s="119"/>
      <c r="O1802" s="105" t="s">
        <v>621</v>
      </c>
      <c r="AA1802">
        <v>44.204000000000001</v>
      </c>
    </row>
    <row r="1803" spans="1:30" x14ac:dyDescent="0.2">
      <c r="A1803" s="89" t="s">
        <v>139</v>
      </c>
      <c r="B1803" s="90">
        <v>1</v>
      </c>
      <c r="C1803" s="91">
        <f>$N$1795-$L$1795+1</f>
        <v>30</v>
      </c>
      <c r="D1803" s="92">
        <v>0.79890000000000005</v>
      </c>
      <c r="E1803" s="93">
        <v>3</v>
      </c>
      <c r="F1803" s="94">
        <f t="shared" si="312"/>
        <v>3</v>
      </c>
      <c r="H1803" s="95">
        <v>1</v>
      </c>
      <c r="I1803" s="96">
        <v>3</v>
      </c>
      <c r="J1803" s="97">
        <f t="shared" si="313"/>
        <v>3</v>
      </c>
      <c r="L1803" s="119"/>
      <c r="M1803" s="119"/>
      <c r="N1803" s="119"/>
    </row>
    <row r="1804" spans="1:30" x14ac:dyDescent="0.2">
      <c r="A1804" s="89" t="s">
        <v>140</v>
      </c>
      <c r="B1804" s="90">
        <v>30</v>
      </c>
      <c r="C1804" s="91">
        <f>$N$1795-$L$1795+1</f>
        <v>30</v>
      </c>
      <c r="D1804" s="92">
        <v>0.5736</v>
      </c>
      <c r="E1804" s="93">
        <v>1.274E-2</v>
      </c>
      <c r="F1804" s="94">
        <f t="shared" si="312"/>
        <v>0.38</v>
      </c>
      <c r="H1804" s="95">
        <v>30</v>
      </c>
      <c r="I1804" s="96">
        <v>1.274E-2</v>
      </c>
      <c r="J1804" s="97">
        <f t="shared" si="313"/>
        <v>0.38</v>
      </c>
      <c r="L1804" s="119"/>
      <c r="M1804" s="119"/>
      <c r="N1804" s="119"/>
    </row>
    <row r="1805" spans="1:30" x14ac:dyDescent="0.2">
      <c r="A1805" s="89" t="s">
        <v>141</v>
      </c>
      <c r="B1805" s="90">
        <v>1.83</v>
      </c>
      <c r="C1805" s="103"/>
      <c r="D1805" s="92">
        <v>2.6710000000000001E-2</v>
      </c>
      <c r="E1805" s="93">
        <v>1</v>
      </c>
      <c r="F1805" s="94">
        <f t="shared" si="312"/>
        <v>1.83</v>
      </c>
      <c r="H1805" s="95">
        <v>2.2599999999999998</v>
      </c>
      <c r="I1805" s="96">
        <v>1</v>
      </c>
      <c r="J1805" s="97">
        <f t="shared" si="313"/>
        <v>2.2599999999999998</v>
      </c>
      <c r="L1805" s="119"/>
      <c r="M1805" s="119"/>
      <c r="N1805" s="119"/>
    </row>
    <row r="1806" spans="1:30" x14ac:dyDescent="0.2">
      <c r="A1806" s="106" t="s">
        <v>142</v>
      </c>
      <c r="F1806" s="107">
        <f>ROUND((SUM(F1798:F1805)-F1805)*1.1+F1805,2)</f>
        <v>44.79</v>
      </c>
      <c r="J1806" s="108">
        <f>ROUND(SUM(J1798:J1805),2)</f>
        <v>49.6</v>
      </c>
      <c r="N1806" s="120"/>
    </row>
    <row r="1807" spans="1:30" x14ac:dyDescent="0.2">
      <c r="A1807" s="78" t="s">
        <v>143</v>
      </c>
      <c r="B1807" s="110">
        <f>IF((F1802+F1801+F1800+F1798+F1799)=0,"",((F1802+F1801+F1800+F1798+F1799)-$AB$1800)/(F1802+F1801+F1800+F1798+F1799))</f>
        <v>0.1131838617325483</v>
      </c>
      <c r="D1807" s="139" t="str">
        <f>IF(B1807="","SIN PC",IF(B1807&gt;=0.3,"APROBAR",IF(B1807&gt;=0.2,"REVISAR","RECHAZAR")))</f>
        <v>RECHAZAR</v>
      </c>
      <c r="E1807" s="139"/>
      <c r="F1807" s="139"/>
      <c r="AD1807">
        <f>SUM(F1800:F1802)-17.802</f>
        <v>-1.9999999999988916E-3</v>
      </c>
    </row>
    <row r="1809" spans="1:30" x14ac:dyDescent="0.2">
      <c r="A1809" s="137" t="s">
        <v>1419</v>
      </c>
      <c r="B1809" s="137"/>
      <c r="C1809" s="137"/>
      <c r="D1809" s="137"/>
      <c r="E1809" s="137"/>
      <c r="F1809" s="137"/>
      <c r="H1809" s="137" t="s">
        <v>1420</v>
      </c>
      <c r="I1809" s="137"/>
      <c r="J1809" s="137"/>
      <c r="K1809" s="137"/>
      <c r="L1809" s="76">
        <v>46113</v>
      </c>
      <c r="M1809" s="77" t="s">
        <v>607</v>
      </c>
      <c r="N1809" s="76">
        <v>46142</v>
      </c>
      <c r="R1809" s="138" t="s">
        <v>110</v>
      </c>
      <c r="S1809" s="138"/>
      <c r="T1809" s="138"/>
      <c r="U1809" s="138"/>
      <c r="V1809" s="138"/>
    </row>
    <row r="1810" spans="1:30" x14ac:dyDescent="0.2">
      <c r="A1810" s="78" t="s">
        <v>111</v>
      </c>
      <c r="B1810" s="79" t="s">
        <v>112</v>
      </c>
      <c r="C1810" s="80"/>
      <c r="D1810" s="80"/>
      <c r="E1810" s="80"/>
      <c r="F1810" s="80"/>
      <c r="H1810" s="81" t="s">
        <v>1421</v>
      </c>
      <c r="I1810" s="82"/>
      <c r="J1810" s="82"/>
      <c r="L1810" s="83" t="s">
        <v>796</v>
      </c>
      <c r="M1810" s="84"/>
      <c r="N1810" s="84"/>
      <c r="R1810" s="85" t="s">
        <v>797</v>
      </c>
    </row>
    <row r="1811" spans="1:30" x14ac:dyDescent="0.2">
      <c r="B1811" s="68" t="s">
        <v>116</v>
      </c>
      <c r="C1811" s="68" t="s">
        <v>117</v>
      </c>
      <c r="D1811" s="68" t="s">
        <v>118</v>
      </c>
      <c r="E1811" s="68" t="s">
        <v>119</v>
      </c>
      <c r="F1811" s="68" t="s">
        <v>120</v>
      </c>
      <c r="H1811" s="86" t="s">
        <v>116</v>
      </c>
      <c r="I1811" s="86" t="s">
        <v>119</v>
      </c>
      <c r="J1811" s="86" t="s">
        <v>120</v>
      </c>
      <c r="L1811" s="87" t="s">
        <v>116</v>
      </c>
      <c r="M1811" s="87" t="s">
        <v>119</v>
      </c>
      <c r="N1811" s="87" t="s">
        <v>120</v>
      </c>
      <c r="R1811" s="88" t="s">
        <v>764</v>
      </c>
    </row>
    <row r="1812" spans="1:30" x14ac:dyDescent="0.2">
      <c r="A1812" s="89" t="s">
        <v>122</v>
      </c>
      <c r="B1812" s="90">
        <v>9.9</v>
      </c>
      <c r="C1812" s="91">
        <f>$N$1809-$L$1809+1</f>
        <v>30</v>
      </c>
      <c r="D1812" s="92">
        <v>3.68919</v>
      </c>
      <c r="E1812" s="93">
        <v>2.2000000000000002</v>
      </c>
      <c r="F1812" s="94">
        <f t="shared" ref="F1812:F1819" si="314">ROUND(B1812*E1812,2)</f>
        <v>21.78</v>
      </c>
      <c r="H1812" s="95">
        <v>9.9</v>
      </c>
      <c r="I1812" s="96">
        <v>3.85</v>
      </c>
      <c r="J1812" s="97">
        <f t="shared" ref="J1812:J1819" si="315">ROUND(H1812*I1812,2)</f>
        <v>38.119999999999997</v>
      </c>
      <c r="L1812" s="119"/>
      <c r="M1812" s="119"/>
      <c r="N1812" s="119"/>
      <c r="R1812" s="101" t="s">
        <v>798</v>
      </c>
    </row>
    <row r="1813" spans="1:30" x14ac:dyDescent="0.2">
      <c r="A1813" s="89" t="s">
        <v>124</v>
      </c>
      <c r="B1813" s="90">
        <v>9.9</v>
      </c>
      <c r="C1813" s="91">
        <f>$N$1809-$L$1809+1</f>
        <v>30</v>
      </c>
      <c r="D1813" s="92">
        <v>1.31928</v>
      </c>
      <c r="E1813" s="93">
        <v>1.33</v>
      </c>
      <c r="F1813" s="94">
        <f t="shared" si="314"/>
        <v>13.17</v>
      </c>
      <c r="H1813" s="95">
        <v>9.9</v>
      </c>
      <c r="I1813" s="96">
        <v>1.33</v>
      </c>
      <c r="J1813" s="97">
        <f t="shared" si="315"/>
        <v>13.17</v>
      </c>
      <c r="L1813" s="119"/>
      <c r="M1813" s="119"/>
      <c r="N1813" s="119"/>
    </row>
    <row r="1814" spans="1:30" x14ac:dyDescent="0.2">
      <c r="A1814" s="89" t="s">
        <v>614</v>
      </c>
      <c r="B1814" s="90">
        <f>IF($P$1814&lt;&gt;"",ROUND(AA1814*(($AB$1814/(1-$P$1814))-34.947)/51.1987,2),IF('Resumen 2.0TD'!$D$3="OPTIMIZAR",AA1814,AA1814))</f>
        <v>183.83</v>
      </c>
      <c r="C1814" s="103"/>
      <c r="D1814" s="92">
        <v>0.11117100000000001</v>
      </c>
      <c r="E1814" s="93">
        <v>0.129</v>
      </c>
      <c r="F1814" s="94">
        <f t="shared" si="314"/>
        <v>23.71</v>
      </c>
      <c r="H1814" s="95">
        <v>87.786000000000001</v>
      </c>
      <c r="I1814" s="96">
        <v>0.13788</v>
      </c>
      <c r="J1814" s="97">
        <f t="shared" si="315"/>
        <v>12.1</v>
      </c>
      <c r="L1814" s="119"/>
      <c r="M1814" s="119"/>
      <c r="N1814" s="119"/>
      <c r="O1814" s="104" t="s">
        <v>615</v>
      </c>
      <c r="P1814" s="67">
        <v>0.1</v>
      </c>
      <c r="AA1814">
        <v>136.065</v>
      </c>
      <c r="AB1814">
        <f>B1812*D1812+B1813*D1813+AA1814*D1814+AA1815*D1815+AA1816*D1816</f>
        <v>93.706400019</v>
      </c>
    </row>
    <row r="1815" spans="1:30" x14ac:dyDescent="0.2">
      <c r="A1815" s="89" t="s">
        <v>617</v>
      </c>
      <c r="B1815" s="90">
        <f>IF($P$1814&lt;&gt;"",ROUND(AA1815*(($AB$1814/(1-$P$1814))-34.947)/51.1987,2),IF('Resumen 2.0TD'!$D$3="OPTIMIZAR",AA1815,AA1815))</f>
        <v>180.33</v>
      </c>
      <c r="C1815" s="103"/>
      <c r="D1815" s="92">
        <v>0.11117100000000001</v>
      </c>
      <c r="E1815" s="93">
        <v>0.129</v>
      </c>
      <c r="F1815" s="94">
        <f t="shared" si="314"/>
        <v>23.26</v>
      </c>
      <c r="H1815" s="95">
        <v>69.370999999999995</v>
      </c>
      <c r="I1815" s="96">
        <v>0.13788</v>
      </c>
      <c r="J1815" s="97">
        <f t="shared" si="315"/>
        <v>9.56</v>
      </c>
      <c r="L1815" s="119"/>
      <c r="M1815" s="119"/>
      <c r="N1815" s="119"/>
      <c r="O1815" s="105" t="s">
        <v>618</v>
      </c>
      <c r="R1815" s="102" t="s">
        <v>619</v>
      </c>
      <c r="AA1815">
        <v>133.47499999999999</v>
      </c>
    </row>
    <row r="1816" spans="1:30" x14ac:dyDescent="0.2">
      <c r="A1816" s="89" t="s">
        <v>620</v>
      </c>
      <c r="B1816" s="90">
        <f>IF($P$1814&lt;&gt;"",ROUND(AA1816*(($AB$1814/(1-$P$1814))-34.947)/51.1987,2),IF('Resumen 2.0TD'!$D$3="OPTIMIZAR",AA1816,AA1816))</f>
        <v>172.05</v>
      </c>
      <c r="C1816" s="103"/>
      <c r="D1816" s="92">
        <v>0.11117100000000001</v>
      </c>
      <c r="E1816" s="93">
        <v>0.129</v>
      </c>
      <c r="F1816" s="94">
        <f t="shared" si="314"/>
        <v>22.19</v>
      </c>
      <c r="H1816" s="95">
        <v>112.245</v>
      </c>
      <c r="I1816" s="96">
        <v>0.13788</v>
      </c>
      <c r="J1816" s="97">
        <f t="shared" si="315"/>
        <v>15.48</v>
      </c>
      <c r="L1816" s="119"/>
      <c r="M1816" s="119"/>
      <c r="N1816" s="119"/>
      <c r="O1816" s="105" t="s">
        <v>621</v>
      </c>
      <c r="AA1816">
        <v>127.349</v>
      </c>
    </row>
    <row r="1817" spans="1:30" x14ac:dyDescent="0.2">
      <c r="A1817" s="89" t="s">
        <v>139</v>
      </c>
      <c r="B1817" s="90">
        <v>1</v>
      </c>
      <c r="C1817" s="91">
        <f>$N$1809-$L$1809+1</f>
        <v>30</v>
      </c>
      <c r="D1817" s="92">
        <v>1.3413999999999999</v>
      </c>
      <c r="E1817" s="93">
        <v>3</v>
      </c>
      <c r="F1817" s="94">
        <f t="shared" si="314"/>
        <v>3</v>
      </c>
      <c r="H1817" s="95">
        <v>1</v>
      </c>
      <c r="I1817" s="96">
        <v>3</v>
      </c>
      <c r="J1817" s="97">
        <f t="shared" si="315"/>
        <v>3</v>
      </c>
      <c r="L1817" s="119"/>
      <c r="M1817" s="119"/>
      <c r="N1817" s="119"/>
    </row>
    <row r="1818" spans="1:30" x14ac:dyDescent="0.2">
      <c r="A1818" s="89" t="s">
        <v>140</v>
      </c>
      <c r="B1818" s="90">
        <v>30</v>
      </c>
      <c r="C1818" s="91">
        <f>$N$1809-$L$1809+1</f>
        <v>30</v>
      </c>
      <c r="D1818" s="92">
        <v>0.5736</v>
      </c>
      <c r="E1818" s="93">
        <v>1.274E-2</v>
      </c>
      <c r="F1818" s="94">
        <f t="shared" si="314"/>
        <v>0.38</v>
      </c>
      <c r="H1818" s="95">
        <v>30</v>
      </c>
      <c r="I1818" s="96">
        <v>1.274E-2</v>
      </c>
      <c r="J1818" s="97">
        <f t="shared" si="315"/>
        <v>0.38</v>
      </c>
      <c r="L1818" s="119"/>
      <c r="M1818" s="119"/>
      <c r="N1818" s="119"/>
    </row>
    <row r="1819" spans="1:30" x14ac:dyDescent="0.2">
      <c r="A1819" s="89" t="s">
        <v>141</v>
      </c>
      <c r="B1819" s="90">
        <v>5.43</v>
      </c>
      <c r="C1819" s="103"/>
      <c r="D1819" s="92">
        <v>0.27311999999999997</v>
      </c>
      <c r="E1819" s="93">
        <v>1</v>
      </c>
      <c r="F1819" s="94">
        <f t="shared" si="314"/>
        <v>5.43</v>
      </c>
      <c r="H1819" s="95">
        <v>4.53</v>
      </c>
      <c r="I1819" s="96">
        <v>1</v>
      </c>
      <c r="J1819" s="97">
        <f t="shared" si="315"/>
        <v>4.53</v>
      </c>
      <c r="L1819" s="119"/>
      <c r="M1819" s="119"/>
      <c r="N1819" s="119"/>
    </row>
    <row r="1820" spans="1:30" x14ac:dyDescent="0.2">
      <c r="A1820" s="106" t="s">
        <v>142</v>
      </c>
      <c r="F1820" s="107">
        <f>ROUND((SUM(F1812:F1819)-F1819)*1.1+F1819,2)</f>
        <v>123.67</v>
      </c>
      <c r="J1820" s="108">
        <f>ROUND(SUM(J1812:J1819),2)</f>
        <v>96.34</v>
      </c>
      <c r="N1820" s="120"/>
    </row>
    <row r="1821" spans="1:30" x14ac:dyDescent="0.2">
      <c r="A1821" s="78" t="s">
        <v>143</v>
      </c>
      <c r="B1821" s="110">
        <f>IF((F1816+F1815+F1814+F1812+F1813)=0,"",((F1816+F1815+F1814+F1812+F1813)-$AB$1814)/(F1816+F1815+F1814+F1812+F1813))</f>
        <v>9.9928921150705979E-2</v>
      </c>
      <c r="D1821" s="139" t="str">
        <f>IF(B1821="","SIN PC",IF(B1821&gt;=0.3,"APROBAR",IF(B1821&gt;=0.2,"REVISAR","RECHAZAR")))</f>
        <v>RECHAZAR</v>
      </c>
      <c r="E1821" s="139"/>
      <c r="F1821" s="139"/>
      <c r="AD1821">
        <f>SUM(F1814:F1816)-51.1987</f>
        <v>17.961299999999994</v>
      </c>
    </row>
    <row r="1823" spans="1:30" x14ac:dyDescent="0.2">
      <c r="A1823" s="137" t="s">
        <v>1422</v>
      </c>
      <c r="B1823" s="137"/>
      <c r="C1823" s="137"/>
      <c r="D1823" s="137"/>
      <c r="E1823" s="137"/>
      <c r="F1823" s="137"/>
      <c r="H1823" s="137" t="s">
        <v>1423</v>
      </c>
      <c r="I1823" s="137"/>
      <c r="J1823" s="137"/>
      <c r="K1823" s="137"/>
      <c r="L1823" s="76">
        <v>46113</v>
      </c>
      <c r="M1823" s="77" t="s">
        <v>607</v>
      </c>
      <c r="N1823" s="76">
        <v>46142</v>
      </c>
      <c r="R1823" s="138" t="s">
        <v>110</v>
      </c>
      <c r="S1823" s="138"/>
      <c r="T1823" s="138"/>
      <c r="U1823" s="138"/>
      <c r="V1823" s="138"/>
    </row>
    <row r="1824" spans="1:30" x14ac:dyDescent="0.2">
      <c r="A1824" s="78" t="s">
        <v>111</v>
      </c>
      <c r="B1824" s="79" t="s">
        <v>112</v>
      </c>
      <c r="C1824" s="80"/>
      <c r="D1824" s="80"/>
      <c r="E1824" s="80"/>
      <c r="F1824" s="80"/>
      <c r="H1824" s="81" t="s">
        <v>1424</v>
      </c>
      <c r="I1824" s="82"/>
      <c r="J1824" s="82"/>
      <c r="L1824" s="83" t="s">
        <v>796</v>
      </c>
      <c r="M1824" s="84"/>
      <c r="N1824" s="84"/>
      <c r="R1824" s="85" t="s">
        <v>797</v>
      </c>
    </row>
    <row r="1825" spans="1:30" x14ac:dyDescent="0.2">
      <c r="B1825" s="68" t="s">
        <v>116</v>
      </c>
      <c r="C1825" s="68" t="s">
        <v>117</v>
      </c>
      <c r="D1825" s="68" t="s">
        <v>118</v>
      </c>
      <c r="E1825" s="68" t="s">
        <v>119</v>
      </c>
      <c r="F1825" s="68" t="s">
        <v>120</v>
      </c>
      <c r="H1825" s="86" t="s">
        <v>116</v>
      </c>
      <c r="I1825" s="86" t="s">
        <v>119</v>
      </c>
      <c r="J1825" s="86" t="s">
        <v>120</v>
      </c>
      <c r="L1825" s="87" t="s">
        <v>116</v>
      </c>
      <c r="M1825" s="87" t="s">
        <v>119</v>
      </c>
      <c r="N1825" s="87" t="s">
        <v>120</v>
      </c>
      <c r="R1825" s="88" t="s">
        <v>764</v>
      </c>
    </row>
    <row r="1826" spans="1:30" x14ac:dyDescent="0.2">
      <c r="A1826" s="89" t="s">
        <v>122</v>
      </c>
      <c r="B1826" s="90">
        <v>5.75</v>
      </c>
      <c r="C1826" s="91">
        <f>$N$1823-$L$1823+1</f>
        <v>30</v>
      </c>
      <c r="D1826" s="92">
        <v>3.68919</v>
      </c>
      <c r="E1826" s="93">
        <v>3.85</v>
      </c>
      <c r="F1826" s="94">
        <f t="shared" ref="F1826:F1833" si="316">ROUND(B1826*E1826,2)</f>
        <v>22.14</v>
      </c>
      <c r="H1826" s="95">
        <v>5.75</v>
      </c>
      <c r="I1826" s="96">
        <v>3.85</v>
      </c>
      <c r="J1826" s="97">
        <f t="shared" ref="J1826:J1833" si="317">ROUND(H1826*I1826,2)</f>
        <v>22.14</v>
      </c>
      <c r="L1826" s="119"/>
      <c r="M1826" s="119"/>
      <c r="N1826" s="119"/>
      <c r="R1826" s="101" t="s">
        <v>798</v>
      </c>
    </row>
    <row r="1827" spans="1:30" x14ac:dyDescent="0.2">
      <c r="A1827" s="89" t="s">
        <v>124</v>
      </c>
      <c r="B1827" s="90">
        <v>5.75</v>
      </c>
      <c r="C1827" s="91">
        <f>$N$1823-$L$1823+1</f>
        <v>30</v>
      </c>
      <c r="D1827" s="92">
        <v>1.31928</v>
      </c>
      <c r="E1827" s="93">
        <v>1.33</v>
      </c>
      <c r="F1827" s="94">
        <f t="shared" si="316"/>
        <v>7.65</v>
      </c>
      <c r="H1827" s="95">
        <v>5.75</v>
      </c>
      <c r="I1827" s="96">
        <v>1.33</v>
      </c>
      <c r="J1827" s="97">
        <f t="shared" si="317"/>
        <v>7.65</v>
      </c>
      <c r="L1827" s="119"/>
      <c r="M1827" s="119"/>
      <c r="N1827" s="119"/>
    </row>
    <row r="1828" spans="1:30" x14ac:dyDescent="0.2">
      <c r="A1828" s="89" t="s">
        <v>614</v>
      </c>
      <c r="B1828" s="90">
        <f>IF($P$1828&lt;&gt;"",ROUND(AA1828*(($AB$1828/(1-$P$1828))-29.785)/78.3584,2),IF('Resumen 2.0TD'!$D$3="OPTIMIZAR",AA1828,AA1828))</f>
        <v>117.05</v>
      </c>
      <c r="C1828" s="103"/>
      <c r="D1828" s="92">
        <v>0.11117100000000001</v>
      </c>
      <c r="E1828" s="93">
        <v>0.13788</v>
      </c>
      <c r="F1828" s="94">
        <f t="shared" si="316"/>
        <v>16.14</v>
      </c>
      <c r="H1828" s="95">
        <v>151.43299999999999</v>
      </c>
      <c r="I1828" s="96">
        <v>0.13788</v>
      </c>
      <c r="J1828" s="97">
        <f t="shared" si="317"/>
        <v>20.88</v>
      </c>
      <c r="L1828" s="119"/>
      <c r="M1828" s="119"/>
      <c r="N1828" s="119"/>
      <c r="O1828" s="104" t="s">
        <v>615</v>
      </c>
      <c r="P1828" s="67"/>
      <c r="AA1828">
        <v>117.05</v>
      </c>
      <c r="AB1828">
        <f>B1826*D1826+B1827*D1827+AA1828*D1828+AA1829*D1829+AA1830*D1830</f>
        <v>91.978182339</v>
      </c>
    </row>
    <row r="1829" spans="1:30" x14ac:dyDescent="0.2">
      <c r="A1829" s="89" t="s">
        <v>617</v>
      </c>
      <c r="B1829" s="90">
        <f>IF($P$1828&lt;&gt;"",ROUND(AA1829*(($AB$1828/(1-$P$1828))-29.785)/78.3584,2),IF('Resumen 2.0TD'!$D$3="OPTIMIZAR",AA1829,AA1829))</f>
        <v>120.126</v>
      </c>
      <c r="C1829" s="103"/>
      <c r="D1829" s="92">
        <v>0.11117100000000001</v>
      </c>
      <c r="E1829" s="93">
        <v>0.13788</v>
      </c>
      <c r="F1829" s="94">
        <f t="shared" si="316"/>
        <v>16.559999999999999</v>
      </c>
      <c r="H1829" s="95">
        <v>128.899</v>
      </c>
      <c r="I1829" s="96">
        <v>0.13788</v>
      </c>
      <c r="J1829" s="97">
        <f t="shared" si="317"/>
        <v>17.77</v>
      </c>
      <c r="L1829" s="119"/>
      <c r="M1829" s="119"/>
      <c r="N1829" s="119"/>
      <c r="O1829" s="105" t="s">
        <v>618</v>
      </c>
      <c r="R1829" s="102" t="s">
        <v>619</v>
      </c>
      <c r="AA1829">
        <v>120.126</v>
      </c>
    </row>
    <row r="1830" spans="1:30" x14ac:dyDescent="0.2">
      <c r="A1830" s="89" t="s">
        <v>620</v>
      </c>
      <c r="B1830" s="90">
        <f>IF($P$1828&lt;&gt;"",ROUND(AA1830*(($AB$1828/(1-$P$1828))-29.785)/78.3584,2),IF('Resumen 2.0TD'!$D$3="OPTIMIZAR",AA1830,AA1830))</f>
        <v>331.13299999999998</v>
      </c>
      <c r="C1830" s="103"/>
      <c r="D1830" s="92">
        <v>0.11117100000000001</v>
      </c>
      <c r="E1830" s="93">
        <v>0.13788</v>
      </c>
      <c r="F1830" s="94">
        <f t="shared" si="316"/>
        <v>45.66</v>
      </c>
      <c r="H1830" s="95">
        <v>252.33099999999999</v>
      </c>
      <c r="I1830" s="96">
        <v>0.13788</v>
      </c>
      <c r="J1830" s="97">
        <f t="shared" si="317"/>
        <v>34.79</v>
      </c>
      <c r="L1830" s="119"/>
      <c r="M1830" s="119"/>
      <c r="N1830" s="119"/>
      <c r="O1830" s="105" t="s">
        <v>621</v>
      </c>
      <c r="AA1830">
        <v>331.13299999999998</v>
      </c>
    </row>
    <row r="1831" spans="1:30" x14ac:dyDescent="0.2">
      <c r="A1831" s="89" t="s">
        <v>139</v>
      </c>
      <c r="B1831" s="90">
        <v>1</v>
      </c>
      <c r="C1831" s="91">
        <f>$N$1823-$L$1823+1</f>
        <v>30</v>
      </c>
      <c r="D1831" s="92">
        <v>0.79890000000000005</v>
      </c>
      <c r="E1831" s="93">
        <v>3</v>
      </c>
      <c r="F1831" s="94">
        <f t="shared" si="316"/>
        <v>3</v>
      </c>
      <c r="H1831" s="95">
        <v>1</v>
      </c>
      <c r="I1831" s="96">
        <v>3</v>
      </c>
      <c r="J1831" s="97">
        <f t="shared" si="317"/>
        <v>3</v>
      </c>
      <c r="L1831" s="119"/>
      <c r="M1831" s="119"/>
      <c r="N1831" s="119"/>
    </row>
    <row r="1832" spans="1:30" x14ac:dyDescent="0.2">
      <c r="A1832" s="89" t="s">
        <v>140</v>
      </c>
      <c r="B1832" s="90">
        <v>30</v>
      </c>
      <c r="C1832" s="91">
        <f>$N$1823-$L$1823+1</f>
        <v>30</v>
      </c>
      <c r="D1832" s="92">
        <v>0.5736</v>
      </c>
      <c r="E1832" s="93">
        <v>1.274E-2</v>
      </c>
      <c r="F1832" s="94">
        <f t="shared" si="316"/>
        <v>0.38</v>
      </c>
      <c r="H1832" s="95">
        <v>30</v>
      </c>
      <c r="I1832" s="96">
        <v>1.274E-2</v>
      </c>
      <c r="J1832" s="97">
        <f t="shared" si="317"/>
        <v>0.38</v>
      </c>
      <c r="L1832" s="119"/>
      <c r="M1832" s="119"/>
      <c r="N1832" s="119"/>
    </row>
    <row r="1833" spans="1:30" x14ac:dyDescent="0.2">
      <c r="A1833" s="89" t="s">
        <v>141</v>
      </c>
      <c r="B1833" s="90">
        <v>5.54</v>
      </c>
      <c r="C1833" s="103"/>
      <c r="D1833" s="92">
        <v>0.27311999999999997</v>
      </c>
      <c r="E1833" s="93">
        <v>1</v>
      </c>
      <c r="F1833" s="94">
        <f t="shared" si="316"/>
        <v>5.54</v>
      </c>
      <c r="H1833" s="95">
        <v>5.28</v>
      </c>
      <c r="I1833" s="96">
        <v>1</v>
      </c>
      <c r="J1833" s="97">
        <f t="shared" si="317"/>
        <v>5.28</v>
      </c>
      <c r="L1833" s="119"/>
      <c r="M1833" s="119"/>
      <c r="N1833" s="119"/>
    </row>
    <row r="1834" spans="1:30" x14ac:dyDescent="0.2">
      <c r="A1834" s="106" t="s">
        <v>142</v>
      </c>
      <c r="F1834" s="107">
        <f>ROUND((SUM(F1826:F1833)-F1833)*1.1+F1833,2)</f>
        <v>128.22</v>
      </c>
      <c r="J1834" s="108">
        <f>ROUND(SUM(J1826:J1833),2)</f>
        <v>111.89</v>
      </c>
      <c r="N1834" s="120"/>
    </row>
    <row r="1835" spans="1:30" x14ac:dyDescent="0.2">
      <c r="A1835" s="78" t="s">
        <v>143</v>
      </c>
      <c r="B1835" s="110">
        <f>IF((F1830+F1829+F1828+F1826+F1827)=0,"",((F1830+F1829+F1828+F1826+F1827)-$AB$1828)/(F1830+F1829+F1828+F1826+F1827))</f>
        <v>0.14953136995839117</v>
      </c>
      <c r="D1835" s="139" t="str">
        <f>IF(B1835="","SIN PC",IF(B1835&gt;=0.3,"APROBAR",IF(B1835&gt;=0.2,"REVISAR","RECHAZAR")))</f>
        <v>RECHAZAR</v>
      </c>
      <c r="E1835" s="139"/>
      <c r="F1835" s="139"/>
      <c r="AD1835">
        <f>SUM(F1828:F1830)-78.3584</f>
        <v>1.5999999999962711E-3</v>
      </c>
    </row>
    <row r="1837" spans="1:30" x14ac:dyDescent="0.2">
      <c r="A1837" s="137" t="s">
        <v>1425</v>
      </c>
      <c r="B1837" s="137"/>
      <c r="C1837" s="137"/>
      <c r="D1837" s="137"/>
      <c r="E1837" s="137"/>
      <c r="F1837" s="137"/>
      <c r="H1837" s="137" t="s">
        <v>1426</v>
      </c>
      <c r="I1837" s="137"/>
      <c r="J1837" s="137"/>
      <c r="K1837" s="137"/>
      <c r="L1837" s="76">
        <v>46113</v>
      </c>
      <c r="M1837" s="77" t="s">
        <v>607</v>
      </c>
      <c r="N1837" s="76">
        <v>46142</v>
      </c>
      <c r="R1837" s="138" t="s">
        <v>110</v>
      </c>
      <c r="S1837" s="138"/>
      <c r="T1837" s="138"/>
      <c r="U1837" s="138"/>
      <c r="V1837" s="138"/>
    </row>
    <row r="1838" spans="1:30" x14ac:dyDescent="0.2">
      <c r="A1838" s="78" t="s">
        <v>111</v>
      </c>
      <c r="B1838" s="79" t="s">
        <v>112</v>
      </c>
      <c r="C1838" s="80"/>
      <c r="D1838" s="80"/>
      <c r="E1838" s="80"/>
      <c r="F1838" s="80"/>
      <c r="H1838" s="81" t="s">
        <v>1427</v>
      </c>
      <c r="I1838" s="82"/>
      <c r="J1838" s="82"/>
      <c r="L1838" s="83" t="s">
        <v>796</v>
      </c>
      <c r="M1838" s="84"/>
      <c r="N1838" s="84"/>
      <c r="R1838" s="85" t="s">
        <v>797</v>
      </c>
    </row>
    <row r="1839" spans="1:30" x14ac:dyDescent="0.2">
      <c r="B1839" s="68" t="s">
        <v>116</v>
      </c>
      <c r="C1839" s="68" t="s">
        <v>117</v>
      </c>
      <c r="D1839" s="68" t="s">
        <v>118</v>
      </c>
      <c r="E1839" s="68" t="s">
        <v>119</v>
      </c>
      <c r="F1839" s="68" t="s">
        <v>120</v>
      </c>
      <c r="H1839" s="86" t="s">
        <v>116</v>
      </c>
      <c r="I1839" s="86" t="s">
        <v>119</v>
      </c>
      <c r="J1839" s="86" t="s">
        <v>120</v>
      </c>
      <c r="L1839" s="87" t="s">
        <v>116</v>
      </c>
      <c r="M1839" s="87" t="s">
        <v>119</v>
      </c>
      <c r="N1839" s="87" t="s">
        <v>120</v>
      </c>
      <c r="R1839" s="88" t="s">
        <v>764</v>
      </c>
    </row>
    <row r="1840" spans="1:30" x14ac:dyDescent="0.2">
      <c r="A1840" s="89" t="s">
        <v>122</v>
      </c>
      <c r="B1840" s="90">
        <v>5.75</v>
      </c>
      <c r="C1840" s="91">
        <f>$N$1837-$L$1837+1</f>
        <v>30</v>
      </c>
      <c r="D1840" s="92">
        <v>3.68919</v>
      </c>
      <c r="E1840" s="93">
        <v>3.85</v>
      </c>
      <c r="F1840" s="94">
        <f t="shared" ref="F1840:F1847" si="318">ROUND(B1840*E1840,2)</f>
        <v>22.14</v>
      </c>
      <c r="H1840" s="95">
        <v>5.75</v>
      </c>
      <c r="I1840" s="96">
        <v>3.85</v>
      </c>
      <c r="J1840" s="97">
        <f t="shared" ref="J1840:J1847" si="319">ROUND(H1840*I1840,2)</f>
        <v>22.14</v>
      </c>
      <c r="L1840" s="119"/>
      <c r="M1840" s="119"/>
      <c r="N1840" s="119"/>
      <c r="R1840" s="101" t="s">
        <v>798</v>
      </c>
    </row>
    <row r="1841" spans="1:30" x14ac:dyDescent="0.2">
      <c r="A1841" s="89" t="s">
        <v>124</v>
      </c>
      <c r="B1841" s="90">
        <v>5.75</v>
      </c>
      <c r="C1841" s="91">
        <f>$N$1837-$L$1837+1</f>
        <v>30</v>
      </c>
      <c r="D1841" s="92">
        <v>1.31928</v>
      </c>
      <c r="E1841" s="93">
        <v>1.33</v>
      </c>
      <c r="F1841" s="94">
        <f t="shared" si="318"/>
        <v>7.65</v>
      </c>
      <c r="H1841" s="95">
        <v>5.75</v>
      </c>
      <c r="I1841" s="96">
        <v>1.33</v>
      </c>
      <c r="J1841" s="97">
        <f t="shared" si="319"/>
        <v>7.65</v>
      </c>
      <c r="L1841" s="119"/>
      <c r="M1841" s="119"/>
      <c r="N1841" s="119"/>
    </row>
    <row r="1842" spans="1:30" x14ac:dyDescent="0.2">
      <c r="A1842" s="89" t="s">
        <v>614</v>
      </c>
      <c r="B1842" s="90">
        <f>IF($P$1842&lt;&gt;"",ROUND(AA1842*(($AB$1842/(1-$P$1842))-29.785)/28.652,2),IF('Resumen 2.0TD'!$D$3="OPTIMIZAR",AA1842,AA1842))</f>
        <v>57.892000000000003</v>
      </c>
      <c r="C1842" s="103"/>
      <c r="D1842" s="92">
        <v>0.11117100000000001</v>
      </c>
      <c r="E1842" s="93">
        <v>0.13788</v>
      </c>
      <c r="F1842" s="94">
        <f t="shared" si="318"/>
        <v>7.98</v>
      </c>
      <c r="H1842" s="95">
        <v>101.952</v>
      </c>
      <c r="I1842" s="96">
        <v>0.13788</v>
      </c>
      <c r="J1842" s="97">
        <f t="shared" si="319"/>
        <v>14.06</v>
      </c>
      <c r="L1842" s="119"/>
      <c r="M1842" s="119"/>
      <c r="N1842" s="119"/>
      <c r="O1842" s="104" t="s">
        <v>615</v>
      </c>
      <c r="P1842" s="67"/>
      <c r="AA1842">
        <v>57.892000000000003</v>
      </c>
      <c r="AB1842">
        <f>B1840*D1840+B1841*D1841+AA1842*D1842+AA1843*D1843+AA1844*D1844</f>
        <v>51.900480984000005</v>
      </c>
    </row>
    <row r="1843" spans="1:30" x14ac:dyDescent="0.2">
      <c r="A1843" s="89" t="s">
        <v>617</v>
      </c>
      <c r="B1843" s="90">
        <f>IF($P$1842&lt;&gt;"",ROUND(AA1843*(($AB$1842/(1-$P$1842))-29.785)/28.652,2),IF('Resumen 2.0TD'!$D$3="OPTIMIZAR",AA1843,AA1843))</f>
        <v>44.093000000000004</v>
      </c>
      <c r="C1843" s="103"/>
      <c r="D1843" s="92">
        <v>0.11117100000000001</v>
      </c>
      <c r="E1843" s="93">
        <v>0.13788</v>
      </c>
      <c r="F1843" s="94">
        <f t="shared" si="318"/>
        <v>6.08</v>
      </c>
      <c r="H1843" s="95">
        <v>87.668000000000006</v>
      </c>
      <c r="I1843" s="96">
        <v>0.13788</v>
      </c>
      <c r="J1843" s="97">
        <f t="shared" si="319"/>
        <v>12.09</v>
      </c>
      <c r="L1843" s="119"/>
      <c r="M1843" s="119"/>
      <c r="N1843" s="119"/>
      <c r="O1843" s="105" t="s">
        <v>618</v>
      </c>
      <c r="R1843" s="102" t="s">
        <v>619</v>
      </c>
      <c r="AA1843">
        <v>44.093000000000004</v>
      </c>
    </row>
    <row r="1844" spans="1:30" x14ac:dyDescent="0.2">
      <c r="A1844" s="89" t="s">
        <v>620</v>
      </c>
      <c r="B1844" s="90">
        <f>IF($P$1842&lt;&gt;"",ROUND(AA1844*(($AB$1842/(1-$P$1842))-29.785)/28.652,2),IF('Resumen 2.0TD'!$D$3="OPTIMIZAR",AA1844,AA1844))</f>
        <v>105.819</v>
      </c>
      <c r="C1844" s="103"/>
      <c r="D1844" s="92">
        <v>0.11117100000000001</v>
      </c>
      <c r="E1844" s="93">
        <v>0.13788</v>
      </c>
      <c r="F1844" s="94">
        <f t="shared" si="318"/>
        <v>14.59</v>
      </c>
      <c r="H1844" s="95">
        <v>140.434</v>
      </c>
      <c r="I1844" s="96">
        <v>0.13788</v>
      </c>
      <c r="J1844" s="97">
        <f t="shared" si="319"/>
        <v>19.36</v>
      </c>
      <c r="L1844" s="119"/>
      <c r="M1844" s="119"/>
      <c r="N1844" s="119"/>
      <c r="O1844" s="105" t="s">
        <v>621</v>
      </c>
      <c r="AA1844">
        <v>105.819</v>
      </c>
    </row>
    <row r="1845" spans="1:30" x14ac:dyDescent="0.2">
      <c r="A1845" s="89" t="s">
        <v>139</v>
      </c>
      <c r="B1845" s="90">
        <v>1</v>
      </c>
      <c r="C1845" s="91">
        <f>$N$1837-$L$1837+1</f>
        <v>30</v>
      </c>
      <c r="D1845" s="92">
        <v>0.79890000000000005</v>
      </c>
      <c r="E1845" s="93">
        <v>3</v>
      </c>
      <c r="F1845" s="94">
        <f t="shared" si="318"/>
        <v>3</v>
      </c>
      <c r="H1845" s="95">
        <v>1</v>
      </c>
      <c r="I1845" s="96">
        <v>3</v>
      </c>
      <c r="J1845" s="97">
        <f t="shared" si="319"/>
        <v>3</v>
      </c>
      <c r="L1845" s="119"/>
      <c r="M1845" s="119"/>
      <c r="N1845" s="119"/>
    </row>
    <row r="1846" spans="1:30" x14ac:dyDescent="0.2">
      <c r="A1846" s="89" t="s">
        <v>140</v>
      </c>
      <c r="B1846" s="90">
        <v>30</v>
      </c>
      <c r="C1846" s="91">
        <f>$N$1837-$L$1837+1</f>
        <v>30</v>
      </c>
      <c r="D1846" s="92">
        <v>0.5736</v>
      </c>
      <c r="E1846" s="93">
        <v>1.274E-2</v>
      </c>
      <c r="F1846" s="94">
        <f t="shared" si="318"/>
        <v>0.38</v>
      </c>
      <c r="H1846" s="95">
        <v>30</v>
      </c>
      <c r="I1846" s="96">
        <v>1.274E-2</v>
      </c>
      <c r="J1846" s="97">
        <f t="shared" si="319"/>
        <v>0.38</v>
      </c>
      <c r="L1846" s="119"/>
      <c r="M1846" s="119"/>
      <c r="N1846" s="119"/>
    </row>
    <row r="1847" spans="1:30" x14ac:dyDescent="0.2">
      <c r="A1847" s="89" t="s">
        <v>141</v>
      </c>
      <c r="B1847" s="90">
        <v>3</v>
      </c>
      <c r="C1847" s="103"/>
      <c r="D1847" s="92">
        <v>0.27311999999999997</v>
      </c>
      <c r="E1847" s="93">
        <v>1</v>
      </c>
      <c r="F1847" s="94">
        <f t="shared" si="318"/>
        <v>3</v>
      </c>
      <c r="H1847" s="95">
        <v>3.86</v>
      </c>
      <c r="I1847" s="96">
        <v>1</v>
      </c>
      <c r="J1847" s="97">
        <f t="shared" si="319"/>
        <v>3.86</v>
      </c>
      <c r="L1847" s="119"/>
      <c r="M1847" s="119"/>
      <c r="N1847" s="119"/>
    </row>
    <row r="1848" spans="1:30" x14ac:dyDescent="0.2">
      <c r="A1848" s="106" t="s">
        <v>142</v>
      </c>
      <c r="F1848" s="107">
        <f>ROUND((SUM(F1840:F1847)-F1847)*1.1+F1847,2)</f>
        <v>71</v>
      </c>
      <c r="J1848" s="108">
        <f>ROUND(SUM(J1840:J1847),2)</f>
        <v>82.54</v>
      </c>
      <c r="N1848" s="120"/>
    </row>
    <row r="1849" spans="1:30" x14ac:dyDescent="0.2">
      <c r="A1849" s="78" t="s">
        <v>143</v>
      </c>
      <c r="B1849" s="110">
        <f>IF((F1844+F1843+F1842+F1840+F1841)=0,"",((F1844+F1843+F1842+F1840+F1841)-$AB$1842)/(F1844+F1843+F1842+F1840+F1841))</f>
        <v>0.11190142053388089</v>
      </c>
      <c r="D1849" s="139" t="str">
        <f>IF(B1849="","SIN PC",IF(B1849&gt;=0.3,"APROBAR",IF(B1849&gt;=0.2,"REVISAR","RECHAZAR")))</f>
        <v>RECHAZAR</v>
      </c>
      <c r="E1849" s="139"/>
      <c r="F1849" s="139"/>
      <c r="AD1849">
        <f>SUM(F1842:F1844)-28.652</f>
        <v>-2.0000000000024443E-3</v>
      </c>
    </row>
    <row r="1851" spans="1:30" x14ac:dyDescent="0.2">
      <c r="A1851" s="137" t="s">
        <v>1428</v>
      </c>
      <c r="B1851" s="137"/>
      <c r="C1851" s="137"/>
      <c r="D1851" s="137"/>
      <c r="E1851" s="137"/>
      <c r="F1851" s="137"/>
      <c r="H1851" s="137" t="s">
        <v>794</v>
      </c>
      <c r="I1851" s="137"/>
      <c r="J1851" s="137"/>
      <c r="K1851" s="137"/>
      <c r="L1851" s="76">
        <v>46113</v>
      </c>
      <c r="M1851" s="77" t="s">
        <v>607</v>
      </c>
      <c r="N1851" s="76">
        <v>46142</v>
      </c>
      <c r="R1851" s="138" t="s">
        <v>110</v>
      </c>
      <c r="S1851" s="138"/>
      <c r="T1851" s="138"/>
      <c r="U1851" s="138"/>
      <c r="V1851" s="138"/>
    </row>
    <row r="1852" spans="1:30" x14ac:dyDescent="0.2">
      <c r="A1852" s="78" t="s">
        <v>111</v>
      </c>
      <c r="B1852" s="79" t="s">
        <v>112</v>
      </c>
      <c r="C1852" s="80"/>
      <c r="D1852" s="80"/>
      <c r="E1852" s="80"/>
      <c r="F1852" s="80"/>
      <c r="H1852" s="81" t="s">
        <v>795</v>
      </c>
      <c r="I1852" s="82"/>
      <c r="J1852" s="82"/>
      <c r="L1852" s="83" t="s">
        <v>796</v>
      </c>
      <c r="M1852" s="84"/>
      <c r="N1852" s="84"/>
      <c r="R1852" s="85" t="s">
        <v>797</v>
      </c>
    </row>
    <row r="1853" spans="1:30" x14ac:dyDescent="0.2">
      <c r="B1853" s="68" t="s">
        <v>116</v>
      </c>
      <c r="C1853" s="68" t="s">
        <v>117</v>
      </c>
      <c r="D1853" s="68" t="s">
        <v>118</v>
      </c>
      <c r="E1853" s="68" t="s">
        <v>119</v>
      </c>
      <c r="F1853" s="68" t="s">
        <v>120</v>
      </c>
      <c r="H1853" s="86" t="s">
        <v>116</v>
      </c>
      <c r="I1853" s="86" t="s">
        <v>119</v>
      </c>
      <c r="J1853" s="86" t="s">
        <v>120</v>
      </c>
      <c r="L1853" s="87" t="s">
        <v>116</v>
      </c>
      <c r="M1853" s="87" t="s">
        <v>119</v>
      </c>
      <c r="N1853" s="87" t="s">
        <v>120</v>
      </c>
      <c r="R1853" s="88" t="s">
        <v>764</v>
      </c>
    </row>
    <row r="1854" spans="1:30" x14ac:dyDescent="0.2">
      <c r="A1854" s="89" t="s">
        <v>122</v>
      </c>
      <c r="B1854" s="90">
        <v>5.5</v>
      </c>
      <c r="C1854" s="91">
        <f>$N$1851-$L$1851+1</f>
        <v>30</v>
      </c>
      <c r="D1854" s="92">
        <v>3.68919</v>
      </c>
      <c r="E1854" s="93">
        <v>3.85</v>
      </c>
      <c r="F1854" s="94">
        <f t="shared" ref="F1854:F1861" si="320">ROUND(B1854*E1854,2)</f>
        <v>21.18</v>
      </c>
      <c r="H1854" s="95">
        <v>5.5</v>
      </c>
      <c r="I1854" s="96">
        <v>3.85</v>
      </c>
      <c r="J1854" s="97">
        <f t="shared" ref="J1854:J1861" si="321">ROUND(H1854*I1854,2)</f>
        <v>21.18</v>
      </c>
      <c r="L1854" s="119"/>
      <c r="M1854" s="119"/>
      <c r="N1854" s="119"/>
      <c r="R1854" s="101" t="s">
        <v>798</v>
      </c>
    </row>
    <row r="1855" spans="1:30" x14ac:dyDescent="0.2">
      <c r="A1855" s="89" t="s">
        <v>124</v>
      </c>
      <c r="B1855" s="90">
        <v>5.5</v>
      </c>
      <c r="C1855" s="91">
        <f>$N$1851-$L$1851+1</f>
        <v>30</v>
      </c>
      <c r="D1855" s="92">
        <v>1.31928</v>
      </c>
      <c r="E1855" s="93">
        <v>1.33</v>
      </c>
      <c r="F1855" s="94">
        <f t="shared" si="320"/>
        <v>7.32</v>
      </c>
      <c r="H1855" s="95">
        <v>5.5</v>
      </c>
      <c r="I1855" s="96">
        <v>1.33</v>
      </c>
      <c r="J1855" s="97">
        <f t="shared" si="321"/>
        <v>7.32</v>
      </c>
      <c r="L1855" s="119"/>
      <c r="M1855" s="119"/>
      <c r="N1855" s="119"/>
    </row>
    <row r="1856" spans="1:30" x14ac:dyDescent="0.2">
      <c r="A1856" s="89" t="s">
        <v>614</v>
      </c>
      <c r="B1856" s="90">
        <f>IF($P$1856&lt;&gt;"",ROUND(AA1856*(($AB$1856/(1-$P$1856))-28.49)/19.4386,2),IF('Resumen 2.0TD'!$D$3="OPTIMIZAR",AA1856,AA1856))</f>
        <v>20.388999999999999</v>
      </c>
      <c r="C1856" s="103"/>
      <c r="D1856" s="92">
        <v>0.11117100000000001</v>
      </c>
      <c r="E1856" s="93">
        <v>0.13788</v>
      </c>
      <c r="F1856" s="94">
        <f t="shared" si="320"/>
        <v>2.81</v>
      </c>
      <c r="H1856" s="95">
        <v>28.824000000000002</v>
      </c>
      <c r="I1856" s="96">
        <v>0.13788</v>
      </c>
      <c r="J1856" s="97">
        <f t="shared" si="321"/>
        <v>3.97</v>
      </c>
      <c r="L1856" s="119"/>
      <c r="M1856" s="119"/>
      <c r="N1856" s="119"/>
      <c r="O1856" s="104" t="s">
        <v>615</v>
      </c>
      <c r="P1856" s="67"/>
      <c r="AA1856">
        <v>20.388999999999999</v>
      </c>
      <c r="AB1856">
        <f>B1854*D1854+B1855*D1855+AA1856*D1856+AA1857*D1857+AA1858*D1858</f>
        <v>43.219694922000002</v>
      </c>
    </row>
    <row r="1857" spans="1:30" x14ac:dyDescent="0.2">
      <c r="A1857" s="89" t="s">
        <v>617</v>
      </c>
      <c r="B1857" s="90">
        <f>IF($P$1856&lt;&gt;"",ROUND(AA1857*(($AB$1856/(1-$P$1856))-28.49)/19.4386,2),IF('Resumen 2.0TD'!$D$3="OPTIMIZAR",AA1857,AA1857))</f>
        <v>20.815999999999999</v>
      </c>
      <c r="C1857" s="103"/>
      <c r="D1857" s="92">
        <v>0.11117100000000001</v>
      </c>
      <c r="E1857" s="93">
        <v>0.13788</v>
      </c>
      <c r="F1857" s="94">
        <f t="shared" si="320"/>
        <v>2.87</v>
      </c>
      <c r="H1857" s="95">
        <v>27.849</v>
      </c>
      <c r="I1857" s="96">
        <v>0.13788</v>
      </c>
      <c r="J1857" s="97">
        <f t="shared" si="321"/>
        <v>3.84</v>
      </c>
      <c r="L1857" s="119"/>
      <c r="M1857" s="119"/>
      <c r="N1857" s="119"/>
      <c r="O1857" s="105" t="s">
        <v>618</v>
      </c>
      <c r="R1857" s="102" t="s">
        <v>619</v>
      </c>
      <c r="AA1857">
        <v>20.815999999999999</v>
      </c>
    </row>
    <row r="1858" spans="1:30" x14ac:dyDescent="0.2">
      <c r="A1858" s="89" t="s">
        <v>620</v>
      </c>
      <c r="B1858" s="90">
        <f>IF($P$1856&lt;&gt;"",ROUND(AA1858*(($AB$1856/(1-$P$1856))-28.49)/19.4386,2),IF('Resumen 2.0TD'!$D$3="OPTIMIZAR",AA1858,AA1858))</f>
        <v>99.777000000000001</v>
      </c>
      <c r="C1858" s="103"/>
      <c r="D1858" s="92">
        <v>0.11117100000000001</v>
      </c>
      <c r="E1858" s="93">
        <v>0.13788</v>
      </c>
      <c r="F1858" s="94">
        <f t="shared" si="320"/>
        <v>13.76</v>
      </c>
      <c r="H1858" s="95">
        <v>76.409000000000006</v>
      </c>
      <c r="I1858" s="96">
        <v>0.13788</v>
      </c>
      <c r="J1858" s="97">
        <f t="shared" si="321"/>
        <v>10.54</v>
      </c>
      <c r="L1858" s="119"/>
      <c r="M1858" s="119"/>
      <c r="N1858" s="119"/>
      <c r="O1858" s="105" t="s">
        <v>621</v>
      </c>
      <c r="AA1858">
        <v>99.777000000000001</v>
      </c>
    </row>
    <row r="1859" spans="1:30" x14ac:dyDescent="0.2">
      <c r="A1859" s="89" t="s">
        <v>139</v>
      </c>
      <c r="B1859" s="90">
        <v>1</v>
      </c>
      <c r="C1859" s="91">
        <f>$N$1851-$L$1851+1</f>
        <v>30</v>
      </c>
      <c r="D1859" s="92">
        <v>0.79890000000000005</v>
      </c>
      <c r="E1859" s="93">
        <v>3</v>
      </c>
      <c r="F1859" s="94">
        <f t="shared" si="320"/>
        <v>3</v>
      </c>
      <c r="H1859" s="95">
        <v>1</v>
      </c>
      <c r="I1859" s="96">
        <v>3</v>
      </c>
      <c r="J1859" s="97">
        <f t="shared" si="321"/>
        <v>3</v>
      </c>
      <c r="L1859" s="119"/>
      <c r="M1859" s="119"/>
      <c r="N1859" s="119"/>
    </row>
    <row r="1860" spans="1:30" x14ac:dyDescent="0.2">
      <c r="A1860" s="89" t="s">
        <v>140</v>
      </c>
      <c r="B1860" s="90">
        <v>30</v>
      </c>
      <c r="C1860" s="91">
        <f>$N$1851-$L$1851+1</f>
        <v>30</v>
      </c>
      <c r="D1860" s="92">
        <v>0.5736</v>
      </c>
      <c r="E1860" s="93">
        <v>1.274E-2</v>
      </c>
      <c r="F1860" s="94">
        <f t="shared" si="320"/>
        <v>0.38</v>
      </c>
      <c r="H1860" s="95">
        <v>30</v>
      </c>
      <c r="I1860" s="96">
        <v>1.274E-2</v>
      </c>
      <c r="J1860" s="97">
        <f t="shared" si="321"/>
        <v>0.38</v>
      </c>
      <c r="L1860" s="119"/>
      <c r="M1860" s="119"/>
      <c r="N1860" s="119"/>
    </row>
    <row r="1861" spans="1:30" x14ac:dyDescent="0.2">
      <c r="A1861" s="89" t="s">
        <v>141</v>
      </c>
      <c r="B1861" s="90">
        <v>2.46</v>
      </c>
      <c r="C1861" s="103"/>
      <c r="D1861" s="92">
        <v>2.6710000000000001E-2</v>
      </c>
      <c r="E1861" s="93">
        <v>1</v>
      </c>
      <c r="F1861" s="94">
        <f t="shared" si="320"/>
        <v>2.46</v>
      </c>
      <c r="H1861" s="95">
        <v>2.4</v>
      </c>
      <c r="I1861" s="96">
        <v>1</v>
      </c>
      <c r="J1861" s="97">
        <f t="shared" si="321"/>
        <v>2.4</v>
      </c>
      <c r="L1861" s="119"/>
      <c r="M1861" s="119"/>
      <c r="N1861" s="119"/>
    </row>
    <row r="1862" spans="1:30" x14ac:dyDescent="0.2">
      <c r="A1862" s="106" t="s">
        <v>142</v>
      </c>
      <c r="F1862" s="107">
        <f>ROUND((SUM(F1854:F1861)-F1861)*1.1+F1861,2)</f>
        <v>58.91</v>
      </c>
      <c r="J1862" s="108">
        <f>ROUND(SUM(J1854:J1861),2)</f>
        <v>52.63</v>
      </c>
      <c r="N1862" s="120"/>
    </row>
    <row r="1863" spans="1:30" x14ac:dyDescent="0.2">
      <c r="A1863" s="78" t="s">
        <v>143</v>
      </c>
      <c r="B1863" s="110">
        <f>IF((F1858+F1857+F1856+F1854+F1855)=0,"",((F1858+F1857+F1856+F1854+F1855)-$AB$1856)/(F1858+F1857+F1856+F1854+F1855))</f>
        <v>9.8462767584480512E-2</v>
      </c>
      <c r="D1863" s="139" t="str">
        <f>IF(B1863="","SIN PC",IF(B1863&gt;=0.3,"APROBAR",IF(B1863&gt;=0.2,"REVISAR","RECHAZAR")))</f>
        <v>RECHAZAR</v>
      </c>
      <c r="E1863" s="139"/>
      <c r="F1863" s="139"/>
      <c r="AD1863">
        <f>SUM(F1856:F1858)-19.4386</f>
        <v>1.3999999999967372E-3</v>
      </c>
    </row>
    <row r="1865" spans="1:30" x14ac:dyDescent="0.2">
      <c r="A1865" s="137" t="s">
        <v>1429</v>
      </c>
      <c r="B1865" s="137"/>
      <c r="C1865" s="137"/>
      <c r="D1865" s="137"/>
      <c r="E1865" s="137"/>
      <c r="F1865" s="137"/>
      <c r="H1865" s="137" t="s">
        <v>1430</v>
      </c>
      <c r="I1865" s="137"/>
      <c r="J1865" s="137"/>
      <c r="K1865" s="137"/>
      <c r="L1865" s="76">
        <v>46113</v>
      </c>
      <c r="M1865" s="77" t="s">
        <v>607</v>
      </c>
      <c r="N1865" s="76">
        <v>46142</v>
      </c>
      <c r="R1865" s="138" t="s">
        <v>110</v>
      </c>
      <c r="S1865" s="138"/>
      <c r="T1865" s="138"/>
      <c r="U1865" s="138"/>
      <c r="V1865" s="138"/>
    </row>
    <row r="1866" spans="1:30" x14ac:dyDescent="0.2">
      <c r="A1866" s="78" t="s">
        <v>111</v>
      </c>
      <c r="B1866" s="79" t="s">
        <v>112</v>
      </c>
      <c r="C1866" s="80"/>
      <c r="D1866" s="80"/>
      <c r="E1866" s="80"/>
      <c r="F1866" s="80"/>
      <c r="H1866" s="81" t="s">
        <v>1431</v>
      </c>
      <c r="I1866" s="82"/>
      <c r="J1866" s="82"/>
      <c r="L1866" s="83" t="s">
        <v>796</v>
      </c>
      <c r="M1866" s="84"/>
      <c r="N1866" s="84"/>
      <c r="R1866" s="85" t="s">
        <v>797</v>
      </c>
    </row>
    <row r="1867" spans="1:30" x14ac:dyDescent="0.2">
      <c r="B1867" s="68" t="s">
        <v>116</v>
      </c>
      <c r="C1867" s="68" t="s">
        <v>117</v>
      </c>
      <c r="D1867" s="68" t="s">
        <v>118</v>
      </c>
      <c r="E1867" s="68" t="s">
        <v>119</v>
      </c>
      <c r="F1867" s="68" t="s">
        <v>120</v>
      </c>
      <c r="H1867" s="86" t="s">
        <v>116</v>
      </c>
      <c r="I1867" s="86" t="s">
        <v>119</v>
      </c>
      <c r="J1867" s="86" t="s">
        <v>120</v>
      </c>
      <c r="L1867" s="87" t="s">
        <v>116</v>
      </c>
      <c r="M1867" s="87" t="s">
        <v>119</v>
      </c>
      <c r="N1867" s="87" t="s">
        <v>120</v>
      </c>
      <c r="R1867" s="88" t="s">
        <v>764</v>
      </c>
    </row>
    <row r="1868" spans="1:30" x14ac:dyDescent="0.2">
      <c r="A1868" s="89" t="s">
        <v>122</v>
      </c>
      <c r="B1868" s="90">
        <v>5.75</v>
      </c>
      <c r="C1868" s="91">
        <f>$N$1865-$L$1865+1</f>
        <v>30</v>
      </c>
      <c r="D1868" s="92">
        <v>3.68919</v>
      </c>
      <c r="E1868" s="93">
        <v>3.85</v>
      </c>
      <c r="F1868" s="94">
        <f t="shared" ref="F1868:F1875" si="322">ROUND(B1868*E1868,2)</f>
        <v>22.14</v>
      </c>
      <c r="H1868" s="95">
        <v>5.75</v>
      </c>
      <c r="I1868" s="96">
        <v>3.85</v>
      </c>
      <c r="J1868" s="97">
        <f t="shared" ref="J1868:J1875" si="323">ROUND(H1868*I1868,2)</f>
        <v>22.14</v>
      </c>
      <c r="L1868" s="119"/>
      <c r="M1868" s="119"/>
      <c r="N1868" s="119"/>
      <c r="R1868" s="101" t="s">
        <v>798</v>
      </c>
    </row>
    <row r="1869" spans="1:30" x14ac:dyDescent="0.2">
      <c r="A1869" s="89" t="s">
        <v>124</v>
      </c>
      <c r="B1869" s="90">
        <v>5.75</v>
      </c>
      <c r="C1869" s="91">
        <f>$N$1865-$L$1865+1</f>
        <v>30</v>
      </c>
      <c r="D1869" s="92">
        <v>1.31928</v>
      </c>
      <c r="E1869" s="93">
        <v>1.33</v>
      </c>
      <c r="F1869" s="94">
        <f t="shared" si="322"/>
        <v>7.65</v>
      </c>
      <c r="H1869" s="95">
        <v>5.75</v>
      </c>
      <c r="I1869" s="96">
        <v>1.33</v>
      </c>
      <c r="J1869" s="97">
        <f t="shared" si="323"/>
        <v>7.65</v>
      </c>
      <c r="L1869" s="119"/>
      <c r="M1869" s="119"/>
      <c r="N1869" s="119"/>
    </row>
    <row r="1870" spans="1:30" x14ac:dyDescent="0.2">
      <c r="A1870" s="89" t="s">
        <v>614</v>
      </c>
      <c r="B1870" s="90">
        <f>IF($P$1870&lt;&gt;"",ROUND(AA1870*(($AB$1870/(1-$P$1870))-29.785)/44.2039,2),IF('Resumen 2.0TD'!$D$3="OPTIMIZAR",AA1870,AA1870))</f>
        <v>107.851</v>
      </c>
      <c r="C1870" s="103"/>
      <c r="D1870" s="92">
        <v>0.11117100000000001</v>
      </c>
      <c r="E1870" s="93">
        <v>0.13788</v>
      </c>
      <c r="F1870" s="94">
        <f t="shared" si="322"/>
        <v>14.87</v>
      </c>
      <c r="H1870" s="95">
        <v>125.295</v>
      </c>
      <c r="I1870" s="96">
        <v>0.13788</v>
      </c>
      <c r="J1870" s="97">
        <f t="shared" si="323"/>
        <v>17.28</v>
      </c>
      <c r="L1870" s="119"/>
      <c r="M1870" s="119"/>
      <c r="N1870" s="119"/>
      <c r="O1870" s="104" t="s">
        <v>615</v>
      </c>
      <c r="P1870" s="67"/>
      <c r="AA1870">
        <v>107.851</v>
      </c>
      <c r="AB1870">
        <f>B1868*D1868+B1869*D1869+AA1870*D1870+AA1871*D1871+AA1872*D1872</f>
        <v>64.439791587000002</v>
      </c>
    </row>
    <row r="1871" spans="1:30" x14ac:dyDescent="0.2">
      <c r="A1871" s="89" t="s">
        <v>617</v>
      </c>
      <c r="B1871" s="90">
        <f>IF($P$1870&lt;&gt;"",ROUND(AA1871*(($AB$1870/(1-$P$1870))-29.785)/44.2039,2),IF('Resumen 2.0TD'!$D$3="OPTIMIZAR",AA1871,AA1871))</f>
        <v>93.012</v>
      </c>
      <c r="C1871" s="103"/>
      <c r="D1871" s="92">
        <v>0.11117100000000001</v>
      </c>
      <c r="E1871" s="93">
        <v>0.13788</v>
      </c>
      <c r="F1871" s="94">
        <f t="shared" si="322"/>
        <v>12.82</v>
      </c>
      <c r="H1871" s="95">
        <v>101.29600000000001</v>
      </c>
      <c r="I1871" s="96">
        <v>0.13788</v>
      </c>
      <c r="J1871" s="97">
        <f t="shared" si="323"/>
        <v>13.97</v>
      </c>
      <c r="L1871" s="119"/>
      <c r="M1871" s="119"/>
      <c r="N1871" s="119"/>
      <c r="O1871" s="105" t="s">
        <v>618</v>
      </c>
      <c r="R1871" s="102" t="s">
        <v>619</v>
      </c>
      <c r="AA1871">
        <v>93.012</v>
      </c>
    </row>
    <row r="1872" spans="1:30" x14ac:dyDescent="0.2">
      <c r="A1872" s="89" t="s">
        <v>620</v>
      </c>
      <c r="B1872" s="90">
        <f>IF($P$1870&lt;&gt;"",ROUND(AA1872*(($AB$1870/(1-$P$1870))-29.785)/44.2039,2),IF('Resumen 2.0TD'!$D$3="OPTIMIZAR",AA1872,AA1872))</f>
        <v>119.73399999999999</v>
      </c>
      <c r="C1872" s="103"/>
      <c r="D1872" s="92">
        <v>0.11117100000000001</v>
      </c>
      <c r="E1872" s="93">
        <v>0.13788</v>
      </c>
      <c r="F1872" s="94">
        <f t="shared" si="322"/>
        <v>16.510000000000002</v>
      </c>
      <c r="H1872" s="95">
        <v>134.46100000000001</v>
      </c>
      <c r="I1872" s="96">
        <v>0.13788</v>
      </c>
      <c r="J1872" s="97">
        <f t="shared" si="323"/>
        <v>18.54</v>
      </c>
      <c r="L1872" s="119"/>
      <c r="M1872" s="119"/>
      <c r="N1872" s="119"/>
      <c r="O1872" s="105" t="s">
        <v>621</v>
      </c>
      <c r="AA1872">
        <v>119.73399999999999</v>
      </c>
    </row>
    <row r="1873" spans="1:30" x14ac:dyDescent="0.2">
      <c r="A1873" s="89" t="s">
        <v>139</v>
      </c>
      <c r="B1873" s="90">
        <v>1</v>
      </c>
      <c r="C1873" s="91">
        <f>$N$1865-$L$1865+1</f>
        <v>30</v>
      </c>
      <c r="D1873" s="92">
        <v>0.79890000000000005</v>
      </c>
      <c r="E1873" s="93">
        <v>3</v>
      </c>
      <c r="F1873" s="94">
        <f t="shared" si="322"/>
        <v>3</v>
      </c>
      <c r="H1873" s="95">
        <v>1</v>
      </c>
      <c r="I1873" s="96">
        <v>3</v>
      </c>
      <c r="J1873" s="97">
        <f t="shared" si="323"/>
        <v>3</v>
      </c>
      <c r="L1873" s="119"/>
      <c r="M1873" s="119"/>
      <c r="N1873" s="119"/>
    </row>
    <row r="1874" spans="1:30" x14ac:dyDescent="0.2">
      <c r="A1874" s="89" t="s">
        <v>140</v>
      </c>
      <c r="B1874" s="90">
        <v>30</v>
      </c>
      <c r="C1874" s="91">
        <f>$N$1865-$L$1865+1</f>
        <v>30</v>
      </c>
      <c r="D1874" s="92">
        <v>0.5736</v>
      </c>
      <c r="E1874" s="93">
        <v>1.274E-2</v>
      </c>
      <c r="F1874" s="94">
        <f t="shared" si="322"/>
        <v>0.38</v>
      </c>
      <c r="H1874" s="95">
        <v>30</v>
      </c>
      <c r="I1874" s="96">
        <v>1.274E-2</v>
      </c>
      <c r="J1874" s="97">
        <f t="shared" si="323"/>
        <v>0.38</v>
      </c>
      <c r="L1874" s="119"/>
      <c r="M1874" s="119"/>
      <c r="N1874" s="119"/>
    </row>
    <row r="1875" spans="1:30" x14ac:dyDescent="0.2">
      <c r="A1875" s="89" t="s">
        <v>141</v>
      </c>
      <c r="B1875" s="90">
        <v>3.79</v>
      </c>
      <c r="C1875" s="103"/>
      <c r="D1875" s="92">
        <v>2.6710000000000001E-2</v>
      </c>
      <c r="E1875" s="93">
        <v>1</v>
      </c>
      <c r="F1875" s="94">
        <f t="shared" si="322"/>
        <v>3.79</v>
      </c>
      <c r="H1875" s="95">
        <v>4.08</v>
      </c>
      <c r="I1875" s="96">
        <v>1</v>
      </c>
      <c r="J1875" s="97">
        <f t="shared" si="323"/>
        <v>4.08</v>
      </c>
      <c r="L1875" s="119"/>
      <c r="M1875" s="119"/>
      <c r="N1875" s="119"/>
    </row>
    <row r="1876" spans="1:30" x14ac:dyDescent="0.2">
      <c r="A1876" s="106" t="s">
        <v>142</v>
      </c>
      <c r="F1876" s="107">
        <f>ROUND((SUM(F1868:F1875)-F1875)*1.1+F1875,2)</f>
        <v>88.9</v>
      </c>
      <c r="J1876" s="108">
        <f>ROUND(SUM(J1868:J1875),2)</f>
        <v>87.04</v>
      </c>
      <c r="N1876" s="120"/>
    </row>
    <row r="1877" spans="1:30" x14ac:dyDescent="0.2">
      <c r="A1877" s="78" t="s">
        <v>143</v>
      </c>
      <c r="B1877" s="110">
        <f>IF((F1872+F1871+F1870+F1868+F1869)=0,"",((F1872+F1871+F1870+F1868+F1869)-$AB$1870)/(F1872+F1871+F1870+F1868+F1869))</f>
        <v>0.12907431292066504</v>
      </c>
      <c r="D1877" s="139" t="str">
        <f>IF(B1877="","SIN PC",IF(B1877&gt;=0.3,"APROBAR",IF(B1877&gt;=0.2,"REVISAR","RECHAZAR")))</f>
        <v>RECHAZAR</v>
      </c>
      <c r="E1877" s="139"/>
      <c r="F1877" s="139"/>
      <c r="AD1877">
        <f>SUM(F1870:F1872)-44.2039</f>
        <v>-3.8999999999944635E-3</v>
      </c>
    </row>
    <row r="1879" spans="1:30" x14ac:dyDescent="0.2">
      <c r="A1879" s="137" t="s">
        <v>1432</v>
      </c>
      <c r="B1879" s="137"/>
      <c r="C1879" s="137"/>
      <c r="D1879" s="137"/>
      <c r="E1879" s="137"/>
      <c r="F1879" s="137"/>
      <c r="H1879" s="137" t="s">
        <v>1433</v>
      </c>
      <c r="I1879" s="137"/>
      <c r="J1879" s="137"/>
      <c r="K1879" s="137"/>
      <c r="L1879" s="76">
        <v>46113</v>
      </c>
      <c r="M1879" s="77" t="s">
        <v>607</v>
      </c>
      <c r="N1879" s="76">
        <v>46142</v>
      </c>
      <c r="R1879" s="138" t="s">
        <v>110</v>
      </c>
      <c r="S1879" s="138"/>
      <c r="T1879" s="138"/>
      <c r="U1879" s="138"/>
      <c r="V1879" s="138"/>
    </row>
    <row r="1880" spans="1:30" x14ac:dyDescent="0.2">
      <c r="A1880" s="78" t="s">
        <v>111</v>
      </c>
      <c r="B1880" s="79" t="s">
        <v>112</v>
      </c>
      <c r="C1880" s="80"/>
      <c r="D1880" s="80"/>
      <c r="E1880" s="80"/>
      <c r="F1880" s="80"/>
      <c r="H1880" s="81" t="s">
        <v>1434</v>
      </c>
      <c r="I1880" s="82"/>
      <c r="J1880" s="82"/>
      <c r="L1880" s="83" t="s">
        <v>796</v>
      </c>
      <c r="M1880" s="84"/>
      <c r="N1880" s="84"/>
      <c r="R1880" s="85" t="s">
        <v>797</v>
      </c>
    </row>
    <row r="1881" spans="1:30" x14ac:dyDescent="0.2">
      <c r="B1881" s="68" t="s">
        <v>116</v>
      </c>
      <c r="C1881" s="68" t="s">
        <v>117</v>
      </c>
      <c r="D1881" s="68" t="s">
        <v>118</v>
      </c>
      <c r="E1881" s="68" t="s">
        <v>119</v>
      </c>
      <c r="F1881" s="68" t="s">
        <v>120</v>
      </c>
      <c r="H1881" s="86" t="s">
        <v>116</v>
      </c>
      <c r="I1881" s="86" t="s">
        <v>119</v>
      </c>
      <c r="J1881" s="86" t="s">
        <v>120</v>
      </c>
      <c r="L1881" s="87" t="s">
        <v>116</v>
      </c>
      <c r="M1881" s="87" t="s">
        <v>119</v>
      </c>
      <c r="N1881" s="87" t="s">
        <v>120</v>
      </c>
      <c r="R1881" s="88" t="s">
        <v>764</v>
      </c>
    </row>
    <row r="1882" spans="1:30" x14ac:dyDescent="0.2">
      <c r="A1882" s="89" t="s">
        <v>122</v>
      </c>
      <c r="B1882" s="90">
        <v>5.75</v>
      </c>
      <c r="C1882" s="91">
        <f>$N$1879-$L$1879+1</f>
        <v>30</v>
      </c>
      <c r="D1882" s="92">
        <v>3.68919</v>
      </c>
      <c r="E1882" s="93">
        <v>3.85</v>
      </c>
      <c r="F1882" s="94">
        <f t="shared" ref="F1882:F1889" si="324">ROUND(B1882*E1882,2)</f>
        <v>22.14</v>
      </c>
      <c r="H1882" s="95">
        <v>5.75</v>
      </c>
      <c r="I1882" s="96">
        <v>3.85</v>
      </c>
      <c r="J1882" s="97">
        <f t="shared" ref="J1882:J1889" si="325">ROUND(H1882*I1882,2)</f>
        <v>22.14</v>
      </c>
      <c r="L1882" s="119"/>
      <c r="M1882" s="119"/>
      <c r="N1882" s="119"/>
      <c r="R1882" s="101" t="s">
        <v>798</v>
      </c>
    </row>
    <row r="1883" spans="1:30" x14ac:dyDescent="0.2">
      <c r="A1883" s="89" t="s">
        <v>124</v>
      </c>
      <c r="B1883" s="90">
        <v>5.75</v>
      </c>
      <c r="C1883" s="91">
        <f>$N$1879-$L$1879+1</f>
        <v>30</v>
      </c>
      <c r="D1883" s="92">
        <v>1.31928</v>
      </c>
      <c r="E1883" s="93">
        <v>1.33</v>
      </c>
      <c r="F1883" s="94">
        <f t="shared" si="324"/>
        <v>7.65</v>
      </c>
      <c r="H1883" s="95">
        <v>5.75</v>
      </c>
      <c r="I1883" s="96">
        <v>1.33</v>
      </c>
      <c r="J1883" s="97">
        <f t="shared" si="325"/>
        <v>7.65</v>
      </c>
      <c r="L1883" s="119"/>
      <c r="M1883" s="119"/>
      <c r="N1883" s="119"/>
    </row>
    <row r="1884" spans="1:30" x14ac:dyDescent="0.2">
      <c r="A1884" s="89" t="s">
        <v>614</v>
      </c>
      <c r="B1884" s="90">
        <f>IF($P$1884&lt;&gt;"",ROUND(AA1884*(($AB$1884/(1-$P$1884))-29.785)/32.1718,2),IF('Resumen 2.0TD'!$D$3="OPTIMIZAR",AA1884,AA1884))</f>
        <v>45.499000000000002</v>
      </c>
      <c r="C1884" s="103"/>
      <c r="D1884" s="92">
        <v>0.11117100000000001</v>
      </c>
      <c r="E1884" s="93">
        <v>0.13788</v>
      </c>
      <c r="F1884" s="94">
        <f t="shared" si="324"/>
        <v>6.27</v>
      </c>
      <c r="H1884" s="95">
        <v>73.501000000000005</v>
      </c>
      <c r="I1884" s="96">
        <v>0.13788</v>
      </c>
      <c r="J1884" s="97">
        <f t="shared" si="325"/>
        <v>10.130000000000001</v>
      </c>
      <c r="L1884" s="119"/>
      <c r="M1884" s="119"/>
      <c r="N1884" s="119"/>
      <c r="O1884" s="104" t="s">
        <v>615</v>
      </c>
      <c r="P1884" s="67"/>
      <c r="AA1884">
        <v>45.499000000000002</v>
      </c>
      <c r="AB1884">
        <f>B1882*D1882+B1883*D1883+AA1884*D1884+AA1885*D1885+AA1886*D1886</f>
        <v>54.738454271999998</v>
      </c>
    </row>
    <row r="1885" spans="1:30" x14ac:dyDescent="0.2">
      <c r="A1885" s="89" t="s">
        <v>617</v>
      </c>
      <c r="B1885" s="90">
        <f>IF($P$1884&lt;&gt;"",ROUND(AA1885*(($AB$1884/(1-$P$1884))-29.785)/32.1718,2),IF('Resumen 2.0TD'!$D$3="OPTIMIZAR",AA1885,AA1885))</f>
        <v>46.534999999999997</v>
      </c>
      <c r="C1885" s="103"/>
      <c r="D1885" s="92">
        <v>0.11117100000000001</v>
      </c>
      <c r="E1885" s="93">
        <v>0.13788</v>
      </c>
      <c r="F1885" s="94">
        <f t="shared" si="324"/>
        <v>6.42</v>
      </c>
      <c r="H1885" s="95">
        <v>71.27</v>
      </c>
      <c r="I1885" s="96">
        <v>0.13788</v>
      </c>
      <c r="J1885" s="97">
        <f t="shared" si="325"/>
        <v>9.83</v>
      </c>
      <c r="L1885" s="119"/>
      <c r="M1885" s="119"/>
      <c r="N1885" s="119"/>
      <c r="O1885" s="105" t="s">
        <v>618</v>
      </c>
      <c r="R1885" s="102" t="s">
        <v>619</v>
      </c>
      <c r="AA1885">
        <v>46.534999999999997</v>
      </c>
    </row>
    <row r="1886" spans="1:30" x14ac:dyDescent="0.2">
      <c r="A1886" s="89" t="s">
        <v>620</v>
      </c>
      <c r="B1886" s="90">
        <f>IF($P$1884&lt;&gt;"",ROUND(AA1886*(($AB$1884/(1-$P$1884))-29.785)/32.1718,2),IF('Resumen 2.0TD'!$D$3="OPTIMIZAR",AA1886,AA1886))</f>
        <v>141.298</v>
      </c>
      <c r="C1886" s="103"/>
      <c r="D1886" s="92">
        <v>0.11117100000000001</v>
      </c>
      <c r="E1886" s="93">
        <v>0.13788</v>
      </c>
      <c r="F1886" s="94">
        <f t="shared" si="324"/>
        <v>19.48</v>
      </c>
      <c r="H1886" s="95">
        <v>107.316</v>
      </c>
      <c r="I1886" s="96">
        <v>0.13788</v>
      </c>
      <c r="J1886" s="97">
        <f t="shared" si="325"/>
        <v>14.8</v>
      </c>
      <c r="L1886" s="119"/>
      <c r="M1886" s="119"/>
      <c r="N1886" s="119"/>
      <c r="O1886" s="105" t="s">
        <v>621</v>
      </c>
      <c r="AA1886">
        <v>141.298</v>
      </c>
    </row>
    <row r="1887" spans="1:30" x14ac:dyDescent="0.2">
      <c r="A1887" s="89" t="s">
        <v>139</v>
      </c>
      <c r="B1887" s="90">
        <v>1</v>
      </c>
      <c r="C1887" s="91">
        <f>$N$1879-$L$1879+1</f>
        <v>30</v>
      </c>
      <c r="D1887" s="92">
        <v>0.79890000000000005</v>
      </c>
      <c r="E1887" s="93">
        <v>3</v>
      </c>
      <c r="F1887" s="94">
        <f t="shared" si="324"/>
        <v>3</v>
      </c>
      <c r="H1887" s="95">
        <v>1</v>
      </c>
      <c r="I1887" s="96">
        <v>3</v>
      </c>
      <c r="J1887" s="97">
        <f t="shared" si="325"/>
        <v>3</v>
      </c>
      <c r="L1887" s="119"/>
      <c r="M1887" s="119"/>
      <c r="N1887" s="119"/>
    </row>
    <row r="1888" spans="1:30" x14ac:dyDescent="0.2">
      <c r="A1888" s="89" t="s">
        <v>140</v>
      </c>
      <c r="B1888" s="90">
        <v>30</v>
      </c>
      <c r="C1888" s="91">
        <f>$N$1879-$L$1879+1</f>
        <v>30</v>
      </c>
      <c r="D1888" s="92">
        <v>0.5736</v>
      </c>
      <c r="E1888" s="93">
        <v>1.274E-2</v>
      </c>
      <c r="F1888" s="94">
        <f t="shared" si="324"/>
        <v>0.38</v>
      </c>
      <c r="H1888" s="95">
        <v>30</v>
      </c>
      <c r="I1888" s="96">
        <v>1.274E-2</v>
      </c>
      <c r="J1888" s="97">
        <f t="shared" si="325"/>
        <v>0.38</v>
      </c>
      <c r="L1888" s="119"/>
      <c r="M1888" s="119"/>
      <c r="N1888" s="119"/>
    </row>
    <row r="1889" spans="1:30" x14ac:dyDescent="0.2">
      <c r="A1889" s="89" t="s">
        <v>141</v>
      </c>
      <c r="B1889" s="90">
        <v>3.18</v>
      </c>
      <c r="C1889" s="103"/>
      <c r="D1889" s="92">
        <v>2.6710000000000001E-2</v>
      </c>
      <c r="E1889" s="93">
        <v>1</v>
      </c>
      <c r="F1889" s="94">
        <f t="shared" si="324"/>
        <v>3.18</v>
      </c>
      <c r="H1889" s="95">
        <v>3.31</v>
      </c>
      <c r="I1889" s="96">
        <v>1</v>
      </c>
      <c r="J1889" s="97">
        <f t="shared" si="325"/>
        <v>3.31</v>
      </c>
      <c r="L1889" s="119"/>
      <c r="M1889" s="119"/>
      <c r="N1889" s="119"/>
    </row>
    <row r="1890" spans="1:30" x14ac:dyDescent="0.2">
      <c r="A1890" s="106" t="s">
        <v>142</v>
      </c>
      <c r="F1890" s="107">
        <f>ROUND((SUM(F1882:F1889)-F1889)*1.1+F1889,2)</f>
        <v>75.05</v>
      </c>
      <c r="J1890" s="108">
        <f>ROUND(SUM(J1882:J1889),2)</f>
        <v>71.239999999999995</v>
      </c>
      <c r="N1890" s="120"/>
    </row>
    <row r="1891" spans="1:30" x14ac:dyDescent="0.2">
      <c r="A1891" s="78" t="s">
        <v>143</v>
      </c>
      <c r="B1891" s="110">
        <f>IF((F1886+F1885+F1884+F1882+F1883)=0,"",((F1886+F1885+F1884+F1882+F1883)-$AB$1884)/(F1886+F1885+F1884+F1882+F1883))</f>
        <v>0.11655173867010979</v>
      </c>
      <c r="D1891" s="139" t="str">
        <f>IF(B1891="","SIN PC",IF(B1891&gt;=0.3,"APROBAR",IF(B1891&gt;=0.2,"REVISAR","RECHAZAR")))</f>
        <v>RECHAZAR</v>
      </c>
      <c r="E1891" s="139"/>
      <c r="F1891" s="139"/>
      <c r="AD1891">
        <f>SUM(F1884:F1886)-32.1718</f>
        <v>-1.799999999995805E-3</v>
      </c>
    </row>
    <row r="1893" spans="1:30" x14ac:dyDescent="0.2">
      <c r="A1893" s="137" t="s">
        <v>1435</v>
      </c>
      <c r="B1893" s="137"/>
      <c r="C1893" s="137"/>
      <c r="D1893" s="137"/>
      <c r="E1893" s="137"/>
      <c r="F1893" s="137"/>
      <c r="H1893" s="137" t="s">
        <v>1436</v>
      </c>
      <c r="I1893" s="137"/>
      <c r="J1893" s="137"/>
      <c r="K1893" s="137"/>
      <c r="L1893" s="76">
        <v>46113</v>
      </c>
      <c r="M1893" s="77" t="s">
        <v>607</v>
      </c>
      <c r="N1893" s="76">
        <v>46142</v>
      </c>
      <c r="R1893" s="138" t="s">
        <v>110</v>
      </c>
      <c r="S1893" s="138"/>
      <c r="T1893" s="138"/>
      <c r="U1893" s="138"/>
      <c r="V1893" s="138"/>
    </row>
    <row r="1894" spans="1:30" x14ac:dyDescent="0.2">
      <c r="A1894" s="78" t="s">
        <v>111</v>
      </c>
      <c r="B1894" s="79" t="s">
        <v>112</v>
      </c>
      <c r="C1894" s="80"/>
      <c r="D1894" s="80"/>
      <c r="E1894" s="80"/>
      <c r="F1894" s="80"/>
      <c r="H1894" s="81" t="s">
        <v>1437</v>
      </c>
      <c r="I1894" s="82"/>
      <c r="J1894" s="82"/>
      <c r="L1894" s="83" t="s">
        <v>796</v>
      </c>
      <c r="M1894" s="84"/>
      <c r="N1894" s="84"/>
      <c r="R1894" s="85" t="s">
        <v>797</v>
      </c>
    </row>
    <row r="1895" spans="1:30" x14ac:dyDescent="0.2">
      <c r="B1895" s="68" t="s">
        <v>116</v>
      </c>
      <c r="C1895" s="68" t="s">
        <v>117</v>
      </c>
      <c r="D1895" s="68" t="s">
        <v>118</v>
      </c>
      <c r="E1895" s="68" t="s">
        <v>119</v>
      </c>
      <c r="F1895" s="68" t="s">
        <v>120</v>
      </c>
      <c r="H1895" s="86" t="s">
        <v>116</v>
      </c>
      <c r="I1895" s="86" t="s">
        <v>119</v>
      </c>
      <c r="J1895" s="86" t="s">
        <v>120</v>
      </c>
      <c r="L1895" s="87" t="s">
        <v>116</v>
      </c>
      <c r="M1895" s="87" t="s">
        <v>119</v>
      </c>
      <c r="N1895" s="87" t="s">
        <v>120</v>
      </c>
      <c r="R1895" s="88" t="s">
        <v>764</v>
      </c>
    </row>
    <row r="1896" spans="1:30" x14ac:dyDescent="0.2">
      <c r="A1896" s="89" t="s">
        <v>122</v>
      </c>
      <c r="B1896" s="90">
        <v>5.5</v>
      </c>
      <c r="C1896" s="91">
        <f>$N$1893-$L$1893+1</f>
        <v>30</v>
      </c>
      <c r="D1896" s="92">
        <v>3.68919</v>
      </c>
      <c r="E1896" s="93">
        <v>3.85</v>
      </c>
      <c r="F1896" s="94">
        <f t="shared" ref="F1896:F1903" si="326">ROUND(B1896*E1896,2)</f>
        <v>21.18</v>
      </c>
      <c r="H1896" s="95">
        <v>5.5</v>
      </c>
      <c r="I1896" s="96">
        <v>3.85</v>
      </c>
      <c r="J1896" s="97">
        <f t="shared" ref="J1896:J1903" si="327">ROUND(H1896*I1896,2)</f>
        <v>21.18</v>
      </c>
      <c r="L1896" s="119"/>
      <c r="M1896" s="119"/>
      <c r="N1896" s="119"/>
      <c r="R1896" s="101" t="s">
        <v>798</v>
      </c>
    </row>
    <row r="1897" spans="1:30" x14ac:dyDescent="0.2">
      <c r="A1897" s="89" t="s">
        <v>124</v>
      </c>
      <c r="B1897" s="90">
        <v>5.5</v>
      </c>
      <c r="C1897" s="91">
        <f>$N$1893-$L$1893+1</f>
        <v>30</v>
      </c>
      <c r="D1897" s="92">
        <v>1.31928</v>
      </c>
      <c r="E1897" s="93">
        <v>1.33</v>
      </c>
      <c r="F1897" s="94">
        <f t="shared" si="326"/>
        <v>7.32</v>
      </c>
      <c r="H1897" s="95">
        <v>5.5</v>
      </c>
      <c r="I1897" s="96">
        <v>1.33</v>
      </c>
      <c r="J1897" s="97">
        <f t="shared" si="327"/>
        <v>7.32</v>
      </c>
      <c r="L1897" s="119"/>
      <c r="M1897" s="119"/>
      <c r="N1897" s="119"/>
    </row>
    <row r="1898" spans="1:30" x14ac:dyDescent="0.2">
      <c r="A1898" s="89" t="s">
        <v>614</v>
      </c>
      <c r="B1898" s="90">
        <f>IF($P$1898&lt;&gt;"",ROUND(AA1898*(($AB$1898/(1-$P$1898))-28.49)/13.6063,2),IF('Resumen 2.0TD'!$D$3="OPTIMIZAR",AA1898,AA1898))</f>
        <v>24.916</v>
      </c>
      <c r="C1898" s="103"/>
      <c r="D1898" s="92">
        <v>0.11117100000000001</v>
      </c>
      <c r="E1898" s="93">
        <v>0.13788</v>
      </c>
      <c r="F1898" s="94">
        <f t="shared" si="326"/>
        <v>3.44</v>
      </c>
      <c r="H1898" s="95">
        <v>51.170999999999999</v>
      </c>
      <c r="I1898" s="96">
        <v>0.13788</v>
      </c>
      <c r="J1898" s="97">
        <f t="shared" si="327"/>
        <v>7.06</v>
      </c>
      <c r="L1898" s="119"/>
      <c r="M1898" s="119"/>
      <c r="N1898" s="119"/>
      <c r="O1898" s="104" t="s">
        <v>615</v>
      </c>
      <c r="P1898" s="67"/>
      <c r="AA1898">
        <v>24.916</v>
      </c>
      <c r="AB1898">
        <f>B1896*D1896+B1897*D1897+AA1898*D1898+AA1899*D1899+AA1900*D1900</f>
        <v>38.517161621999996</v>
      </c>
    </row>
    <row r="1899" spans="1:30" x14ac:dyDescent="0.2">
      <c r="A1899" s="89" t="s">
        <v>617</v>
      </c>
      <c r="B1899" s="90">
        <f>IF($P$1898&lt;&gt;"",ROUND(AA1899*(($AB$1898/(1-$P$1898))-28.49)/13.6063,2),IF('Resumen 2.0TD'!$D$3="OPTIMIZAR",AA1899,AA1899))</f>
        <v>18.143000000000001</v>
      </c>
      <c r="C1899" s="103"/>
      <c r="D1899" s="92">
        <v>0.11117100000000001</v>
      </c>
      <c r="E1899" s="93">
        <v>0.13788</v>
      </c>
      <c r="F1899" s="94">
        <f t="shared" si="326"/>
        <v>2.5</v>
      </c>
      <c r="H1899" s="95">
        <v>36.703000000000003</v>
      </c>
      <c r="I1899" s="96">
        <v>0.13788</v>
      </c>
      <c r="J1899" s="97">
        <f t="shared" si="327"/>
        <v>5.0599999999999996</v>
      </c>
      <c r="L1899" s="119"/>
      <c r="M1899" s="119"/>
      <c r="N1899" s="119"/>
      <c r="O1899" s="105" t="s">
        <v>618</v>
      </c>
      <c r="R1899" s="102" t="s">
        <v>619</v>
      </c>
      <c r="AA1899">
        <v>18.143000000000001</v>
      </c>
    </row>
    <row r="1900" spans="1:30" x14ac:dyDescent="0.2">
      <c r="A1900" s="89" t="s">
        <v>620</v>
      </c>
      <c r="B1900" s="90">
        <f>IF($P$1898&lt;&gt;"",ROUND(AA1900*(($AB$1898/(1-$P$1898))-28.49)/13.6063,2),IF('Resumen 2.0TD'!$D$3="OPTIMIZAR",AA1900,AA1900))</f>
        <v>55.622999999999998</v>
      </c>
      <c r="C1900" s="103"/>
      <c r="D1900" s="92">
        <v>0.11117100000000001</v>
      </c>
      <c r="E1900" s="93">
        <v>0.13788</v>
      </c>
      <c r="F1900" s="94">
        <f t="shared" si="326"/>
        <v>7.67</v>
      </c>
      <c r="H1900" s="95">
        <v>76.274000000000001</v>
      </c>
      <c r="I1900" s="96">
        <v>0.13788</v>
      </c>
      <c r="J1900" s="97">
        <f t="shared" si="327"/>
        <v>10.52</v>
      </c>
      <c r="L1900" s="119"/>
      <c r="M1900" s="119"/>
      <c r="N1900" s="119"/>
      <c r="O1900" s="105" t="s">
        <v>621</v>
      </c>
      <c r="AA1900">
        <v>55.622999999999998</v>
      </c>
    </row>
    <row r="1901" spans="1:30" x14ac:dyDescent="0.2">
      <c r="A1901" s="89" t="s">
        <v>139</v>
      </c>
      <c r="B1901" s="90">
        <v>1</v>
      </c>
      <c r="C1901" s="91">
        <f>$N$1893-$L$1893+1</f>
        <v>30</v>
      </c>
      <c r="D1901" s="92">
        <v>0.79890000000000005</v>
      </c>
      <c r="E1901" s="93">
        <v>3</v>
      </c>
      <c r="F1901" s="94">
        <f t="shared" si="326"/>
        <v>3</v>
      </c>
      <c r="H1901" s="95">
        <v>1</v>
      </c>
      <c r="I1901" s="96">
        <v>3</v>
      </c>
      <c r="J1901" s="97">
        <f t="shared" si="327"/>
        <v>3</v>
      </c>
      <c r="L1901" s="119"/>
      <c r="M1901" s="119"/>
      <c r="N1901" s="119"/>
    </row>
    <row r="1902" spans="1:30" x14ac:dyDescent="0.2">
      <c r="A1902" s="89" t="s">
        <v>140</v>
      </c>
      <c r="B1902" s="90">
        <v>30</v>
      </c>
      <c r="C1902" s="91">
        <f>$N$1893-$L$1893+1</f>
        <v>30</v>
      </c>
      <c r="D1902" s="92">
        <v>0.5736</v>
      </c>
      <c r="E1902" s="93">
        <v>1.274E-2</v>
      </c>
      <c r="F1902" s="94">
        <f t="shared" si="326"/>
        <v>0.38</v>
      </c>
      <c r="H1902" s="95">
        <v>30</v>
      </c>
      <c r="I1902" s="96">
        <v>1.274E-2</v>
      </c>
      <c r="J1902" s="97">
        <f t="shared" si="327"/>
        <v>0.38</v>
      </c>
      <c r="L1902" s="119"/>
      <c r="M1902" s="119"/>
      <c r="N1902" s="119"/>
    </row>
    <row r="1903" spans="1:30" x14ac:dyDescent="0.2">
      <c r="A1903" s="89" t="s">
        <v>141</v>
      </c>
      <c r="B1903" s="90">
        <v>2.16</v>
      </c>
      <c r="C1903" s="103"/>
      <c r="D1903" s="92">
        <v>0.27311999999999997</v>
      </c>
      <c r="E1903" s="93">
        <v>1</v>
      </c>
      <c r="F1903" s="94">
        <f t="shared" si="326"/>
        <v>2.16</v>
      </c>
      <c r="H1903" s="95">
        <v>2.62</v>
      </c>
      <c r="I1903" s="96">
        <v>1</v>
      </c>
      <c r="J1903" s="97">
        <f t="shared" si="327"/>
        <v>2.62</v>
      </c>
      <c r="L1903" s="119"/>
      <c r="M1903" s="119"/>
      <c r="N1903" s="119"/>
    </row>
    <row r="1904" spans="1:30" x14ac:dyDescent="0.2">
      <c r="A1904" s="106" t="s">
        <v>142</v>
      </c>
      <c r="F1904" s="107">
        <f>ROUND((SUM(F1896:F1903)-F1903)*1.1+F1903,2)</f>
        <v>52.2</v>
      </c>
      <c r="J1904" s="108">
        <f>ROUND(SUM(J1896:J1903),2)</f>
        <v>57.14</v>
      </c>
      <c r="N1904" s="120"/>
    </row>
    <row r="1905" spans="1:30" x14ac:dyDescent="0.2">
      <c r="A1905" s="78" t="s">
        <v>143</v>
      </c>
      <c r="B1905" s="110">
        <f>IF((F1900+F1899+F1898+F1896+F1897)=0,"",((F1900+F1899+F1898+F1896+F1897)-$AB$1898)/(F1900+F1899+F1898+F1896+F1897))</f>
        <v>8.5320312942294071E-2</v>
      </c>
      <c r="D1905" s="139" t="str">
        <f>IF(B1905="","SIN PC",IF(B1905&gt;=0.3,"APROBAR",IF(B1905&gt;=0.2,"REVISAR","RECHAZAR")))</f>
        <v>RECHAZAR</v>
      </c>
      <c r="E1905" s="139"/>
      <c r="F1905" s="139"/>
      <c r="AD1905">
        <f>SUM(F1898:F1900)-13.6063</f>
        <v>3.7000000000002586E-3</v>
      </c>
    </row>
    <row r="1907" spans="1:30" x14ac:dyDescent="0.2">
      <c r="A1907" s="137" t="s">
        <v>1438</v>
      </c>
      <c r="B1907" s="137"/>
      <c r="C1907" s="137"/>
      <c r="D1907" s="137"/>
      <c r="E1907" s="137"/>
      <c r="F1907" s="137"/>
      <c r="H1907" s="137" t="s">
        <v>1439</v>
      </c>
      <c r="I1907" s="137"/>
      <c r="J1907" s="137"/>
      <c r="K1907" s="137"/>
      <c r="L1907" s="76">
        <v>46113</v>
      </c>
      <c r="M1907" s="77" t="s">
        <v>607</v>
      </c>
      <c r="N1907" s="76">
        <v>46142</v>
      </c>
      <c r="R1907" s="138" t="s">
        <v>110</v>
      </c>
      <c r="S1907" s="138"/>
      <c r="T1907" s="138"/>
      <c r="U1907" s="138"/>
      <c r="V1907" s="138"/>
    </row>
    <row r="1908" spans="1:30" x14ac:dyDescent="0.2">
      <c r="A1908" s="78" t="s">
        <v>111</v>
      </c>
      <c r="B1908" s="79" t="s">
        <v>112</v>
      </c>
      <c r="C1908" s="80"/>
      <c r="D1908" s="80"/>
      <c r="E1908" s="80"/>
      <c r="F1908" s="80"/>
      <c r="H1908" s="81" t="s">
        <v>1440</v>
      </c>
      <c r="I1908" s="82"/>
      <c r="J1908" s="82"/>
      <c r="L1908" s="83" t="s">
        <v>796</v>
      </c>
      <c r="M1908" s="84"/>
      <c r="N1908" s="84"/>
      <c r="R1908" s="85" t="s">
        <v>797</v>
      </c>
    </row>
    <row r="1909" spans="1:30" x14ac:dyDescent="0.2">
      <c r="B1909" s="68" t="s">
        <v>116</v>
      </c>
      <c r="C1909" s="68" t="s">
        <v>117</v>
      </c>
      <c r="D1909" s="68" t="s">
        <v>118</v>
      </c>
      <c r="E1909" s="68" t="s">
        <v>119</v>
      </c>
      <c r="F1909" s="68" t="s">
        <v>120</v>
      </c>
      <c r="H1909" s="86" t="s">
        <v>116</v>
      </c>
      <c r="I1909" s="86" t="s">
        <v>119</v>
      </c>
      <c r="J1909" s="86" t="s">
        <v>120</v>
      </c>
      <c r="L1909" s="87" t="s">
        <v>116</v>
      </c>
      <c r="M1909" s="87" t="s">
        <v>119</v>
      </c>
      <c r="N1909" s="87" t="s">
        <v>120</v>
      </c>
      <c r="R1909" s="88" t="s">
        <v>764</v>
      </c>
    </row>
    <row r="1910" spans="1:30" x14ac:dyDescent="0.2">
      <c r="A1910" s="89" t="s">
        <v>122</v>
      </c>
      <c r="B1910" s="90">
        <v>4.5999999999999996</v>
      </c>
      <c r="C1910" s="91">
        <f>$N$1907-$L$1907+1</f>
        <v>30</v>
      </c>
      <c r="D1910" s="92">
        <v>3.68919</v>
      </c>
      <c r="E1910" s="93">
        <v>3.85</v>
      </c>
      <c r="F1910" s="94">
        <f t="shared" ref="F1910:F1917" si="328">ROUND(B1910*E1910,2)</f>
        <v>17.71</v>
      </c>
      <c r="H1910" s="95">
        <v>4.5999999999999996</v>
      </c>
      <c r="I1910" s="96">
        <v>3.85</v>
      </c>
      <c r="J1910" s="97">
        <f t="shared" ref="J1910:J1917" si="329">ROUND(H1910*I1910,2)</f>
        <v>17.71</v>
      </c>
      <c r="L1910" s="119"/>
      <c r="M1910" s="119"/>
      <c r="N1910" s="119"/>
      <c r="R1910" s="101" t="s">
        <v>798</v>
      </c>
    </row>
    <row r="1911" spans="1:30" x14ac:dyDescent="0.2">
      <c r="A1911" s="89" t="s">
        <v>124</v>
      </c>
      <c r="B1911" s="90">
        <v>4.5999999999999996</v>
      </c>
      <c r="C1911" s="91">
        <f>$N$1907-$L$1907+1</f>
        <v>30</v>
      </c>
      <c r="D1911" s="92">
        <v>1.31928</v>
      </c>
      <c r="E1911" s="93">
        <v>1.33</v>
      </c>
      <c r="F1911" s="94">
        <f t="shared" si="328"/>
        <v>6.12</v>
      </c>
      <c r="H1911" s="95">
        <v>4.5999999999999996</v>
      </c>
      <c r="I1911" s="96">
        <v>1.33</v>
      </c>
      <c r="J1911" s="97">
        <f t="shared" si="329"/>
        <v>6.12</v>
      </c>
      <c r="L1911" s="119"/>
      <c r="M1911" s="119"/>
      <c r="N1911" s="119"/>
    </row>
    <row r="1912" spans="1:30" x14ac:dyDescent="0.2">
      <c r="A1912" s="89" t="s">
        <v>614</v>
      </c>
      <c r="B1912" s="90">
        <f>IF($P$1912&lt;&gt;"",ROUND(AA1912*(($AB$1912/(1-$P$1912))-23.828)/42.8818,2),IF('Resumen 2.0TD'!$D$3="OPTIMIZAR",AA1912,AA1912))</f>
        <v>69.899000000000001</v>
      </c>
      <c r="C1912" s="103"/>
      <c r="D1912" s="92">
        <v>0.11117100000000001</v>
      </c>
      <c r="E1912" s="93">
        <v>0.13788</v>
      </c>
      <c r="F1912" s="94">
        <f t="shared" si="328"/>
        <v>9.64</v>
      </c>
      <c r="H1912" s="95">
        <v>90.861999999999995</v>
      </c>
      <c r="I1912" s="96">
        <v>0.13788</v>
      </c>
      <c r="J1912" s="97">
        <f t="shared" si="329"/>
        <v>12.53</v>
      </c>
      <c r="L1912" s="119"/>
      <c r="M1912" s="119"/>
      <c r="N1912" s="119"/>
      <c r="O1912" s="104" t="s">
        <v>615</v>
      </c>
      <c r="P1912" s="67"/>
      <c r="AA1912">
        <v>69.899000000000001</v>
      </c>
      <c r="AB1912">
        <f>B1910*D1910+B1911*D1911+AA1912*D1912+AA1913*D1913+AA1914*D1914</f>
        <v>57.614032368000004</v>
      </c>
    </row>
    <row r="1913" spans="1:30" x14ac:dyDescent="0.2">
      <c r="A1913" s="89" t="s">
        <v>617</v>
      </c>
      <c r="B1913" s="90">
        <f>IF($P$1912&lt;&gt;"",ROUND(AA1913*(($AB$1912/(1-$P$1912))-23.828)/42.8818,2),IF('Resumen 2.0TD'!$D$3="OPTIMIZAR",AA1913,AA1913))</f>
        <v>96.191000000000003</v>
      </c>
      <c r="C1913" s="103"/>
      <c r="D1913" s="92">
        <v>0.11117100000000001</v>
      </c>
      <c r="E1913" s="93">
        <v>0.13788</v>
      </c>
      <c r="F1913" s="94">
        <f t="shared" si="328"/>
        <v>13.26</v>
      </c>
      <c r="H1913" s="95">
        <v>125.749</v>
      </c>
      <c r="I1913" s="96">
        <v>0.13788</v>
      </c>
      <c r="J1913" s="97">
        <f t="shared" si="329"/>
        <v>17.34</v>
      </c>
      <c r="L1913" s="119"/>
      <c r="M1913" s="119"/>
      <c r="N1913" s="119"/>
      <c r="O1913" s="105" t="s">
        <v>618</v>
      </c>
      <c r="R1913" s="102" t="s">
        <v>619</v>
      </c>
      <c r="AA1913">
        <v>96.191000000000003</v>
      </c>
    </row>
    <row r="1914" spans="1:30" x14ac:dyDescent="0.2">
      <c r="A1914" s="89" t="s">
        <v>620</v>
      </c>
      <c r="B1914" s="90">
        <f>IF($P$1912&lt;&gt;"",ROUND(AA1914*(($AB$1912/(1-$P$1912))-23.828)/42.8818,2),IF('Resumen 2.0TD'!$D$3="OPTIMIZAR",AA1914,AA1914))</f>
        <v>144.91800000000001</v>
      </c>
      <c r="C1914" s="103"/>
      <c r="D1914" s="92">
        <v>0.11117100000000001</v>
      </c>
      <c r="E1914" s="93">
        <v>0.13788</v>
      </c>
      <c r="F1914" s="94">
        <f t="shared" si="328"/>
        <v>19.98</v>
      </c>
      <c r="H1914" s="95">
        <v>130.64599999999999</v>
      </c>
      <c r="I1914" s="96">
        <v>0.13788</v>
      </c>
      <c r="J1914" s="97">
        <f t="shared" si="329"/>
        <v>18.010000000000002</v>
      </c>
      <c r="L1914" s="119"/>
      <c r="M1914" s="119"/>
      <c r="N1914" s="119"/>
      <c r="O1914" s="105" t="s">
        <v>621</v>
      </c>
      <c r="AA1914">
        <v>144.91800000000001</v>
      </c>
    </row>
    <row r="1915" spans="1:30" x14ac:dyDescent="0.2">
      <c r="A1915" s="89" t="s">
        <v>139</v>
      </c>
      <c r="B1915" s="90">
        <v>1</v>
      </c>
      <c r="C1915" s="91">
        <f>$N$1907-$L$1907+1</f>
        <v>30</v>
      </c>
      <c r="D1915" s="92">
        <v>0.79890000000000005</v>
      </c>
      <c r="E1915" s="93">
        <v>3</v>
      </c>
      <c r="F1915" s="94">
        <f t="shared" si="328"/>
        <v>3</v>
      </c>
      <c r="H1915" s="95">
        <v>1</v>
      </c>
      <c r="I1915" s="96">
        <v>3</v>
      </c>
      <c r="J1915" s="97">
        <f t="shared" si="329"/>
        <v>3</v>
      </c>
      <c r="L1915" s="119"/>
      <c r="M1915" s="119"/>
      <c r="N1915" s="119"/>
    </row>
    <row r="1916" spans="1:30" x14ac:dyDescent="0.2">
      <c r="A1916" s="89" t="s">
        <v>140</v>
      </c>
      <c r="B1916" s="90">
        <v>30</v>
      </c>
      <c r="C1916" s="91">
        <f>$N$1907-$L$1907+1</f>
        <v>30</v>
      </c>
      <c r="D1916" s="92">
        <v>0.5736</v>
      </c>
      <c r="E1916" s="93">
        <v>1.274E-2</v>
      </c>
      <c r="F1916" s="94">
        <f t="shared" si="328"/>
        <v>0.38</v>
      </c>
      <c r="H1916" s="95">
        <v>30</v>
      </c>
      <c r="I1916" s="96">
        <v>1.274E-2</v>
      </c>
      <c r="J1916" s="97">
        <f t="shared" si="329"/>
        <v>0.38</v>
      </c>
      <c r="L1916" s="119"/>
      <c r="M1916" s="119"/>
      <c r="N1916" s="119"/>
    </row>
    <row r="1917" spans="1:30" x14ac:dyDescent="0.2">
      <c r="A1917" s="89" t="s">
        <v>141</v>
      </c>
      <c r="B1917" s="90">
        <v>3.42</v>
      </c>
      <c r="C1917" s="103"/>
      <c r="D1917" s="92">
        <v>0.27311999999999997</v>
      </c>
      <c r="E1917" s="93">
        <v>1</v>
      </c>
      <c r="F1917" s="94">
        <f t="shared" si="328"/>
        <v>3.42</v>
      </c>
      <c r="H1917" s="95">
        <v>3.67</v>
      </c>
      <c r="I1917" s="96">
        <v>1</v>
      </c>
      <c r="J1917" s="97">
        <f t="shared" si="329"/>
        <v>3.67</v>
      </c>
      <c r="L1917" s="119"/>
      <c r="M1917" s="119"/>
      <c r="N1917" s="119"/>
    </row>
    <row r="1918" spans="1:30" x14ac:dyDescent="0.2">
      <c r="A1918" s="106" t="s">
        <v>142</v>
      </c>
      <c r="F1918" s="107">
        <f>ROUND((SUM(F1910:F1917)-F1917)*1.1+F1917,2)</f>
        <v>80.52</v>
      </c>
      <c r="J1918" s="108">
        <f>ROUND(SUM(J1910:J1917),2)</f>
        <v>78.760000000000005</v>
      </c>
      <c r="N1918" s="120"/>
    </row>
    <row r="1919" spans="1:30" x14ac:dyDescent="0.2">
      <c r="A1919" s="78" t="s">
        <v>143</v>
      </c>
      <c r="B1919" s="110">
        <f>IF((F1914+F1913+F1912+F1910+F1911)=0,"",((F1914+F1913+F1912+F1910+F1911)-$AB$1912)/(F1914+F1913+F1912+F1910+F1911))</f>
        <v>0.13635088640383755</v>
      </c>
      <c r="D1919" s="139" t="str">
        <f>IF(B1919="","SIN PC",IF(B1919&gt;=0.3,"APROBAR",IF(B1919&gt;=0.2,"REVISAR","RECHAZAR")))</f>
        <v>RECHAZAR</v>
      </c>
      <c r="E1919" s="139"/>
      <c r="F1919" s="139"/>
      <c r="AD1919">
        <f>SUM(F1912:F1914)-42.8818</f>
        <v>-1.8000000000029104E-3</v>
      </c>
    </row>
    <row r="1921" spans="1:30" x14ac:dyDescent="0.2">
      <c r="A1921" s="137" t="s">
        <v>1441</v>
      </c>
      <c r="B1921" s="137"/>
      <c r="C1921" s="137"/>
      <c r="D1921" s="137"/>
      <c r="E1921" s="137"/>
      <c r="F1921" s="137"/>
      <c r="H1921" s="137" t="s">
        <v>1442</v>
      </c>
      <c r="I1921" s="137"/>
      <c r="J1921" s="137"/>
      <c r="K1921" s="137"/>
      <c r="L1921" s="76">
        <v>46113</v>
      </c>
      <c r="M1921" s="77" t="s">
        <v>607</v>
      </c>
      <c r="N1921" s="76">
        <v>46142</v>
      </c>
      <c r="R1921" s="138" t="s">
        <v>110</v>
      </c>
      <c r="S1921" s="138"/>
      <c r="T1921" s="138"/>
      <c r="U1921" s="138"/>
      <c r="V1921" s="138"/>
    </row>
    <row r="1922" spans="1:30" x14ac:dyDescent="0.2">
      <c r="A1922" s="78" t="s">
        <v>111</v>
      </c>
      <c r="B1922" s="79" t="s">
        <v>112</v>
      </c>
      <c r="C1922" s="80"/>
      <c r="D1922" s="80"/>
      <c r="E1922" s="80"/>
      <c r="F1922" s="80"/>
      <c r="H1922" s="81" t="s">
        <v>1443</v>
      </c>
      <c r="I1922" s="82"/>
      <c r="J1922" s="82"/>
      <c r="L1922" s="83" t="s">
        <v>796</v>
      </c>
      <c r="M1922" s="84"/>
      <c r="N1922" s="84"/>
      <c r="R1922" s="85" t="s">
        <v>1444</v>
      </c>
    </row>
    <row r="1923" spans="1:30" x14ac:dyDescent="0.2">
      <c r="B1923" s="68" t="s">
        <v>116</v>
      </c>
      <c r="C1923" s="68" t="s">
        <v>117</v>
      </c>
      <c r="D1923" s="68" t="s">
        <v>118</v>
      </c>
      <c r="E1923" s="68" t="s">
        <v>119</v>
      </c>
      <c r="F1923" s="68" t="s">
        <v>120</v>
      </c>
      <c r="H1923" s="86" t="s">
        <v>116</v>
      </c>
      <c r="I1923" s="86" t="s">
        <v>119</v>
      </c>
      <c r="J1923" s="86" t="s">
        <v>120</v>
      </c>
      <c r="L1923" s="87" t="s">
        <v>116</v>
      </c>
      <c r="M1923" s="87" t="s">
        <v>119</v>
      </c>
      <c r="N1923" s="87" t="s">
        <v>120</v>
      </c>
      <c r="R1923" s="88" t="s">
        <v>764</v>
      </c>
    </row>
    <row r="1924" spans="1:30" x14ac:dyDescent="0.2">
      <c r="A1924" s="89" t="s">
        <v>122</v>
      </c>
      <c r="B1924" s="90">
        <v>5.5</v>
      </c>
      <c r="C1924" s="91">
        <f>$N$1921-$L$1921+1</f>
        <v>30</v>
      </c>
      <c r="D1924" s="92">
        <v>3.68919</v>
      </c>
      <c r="E1924" s="93">
        <v>3.85</v>
      </c>
      <c r="F1924" s="94">
        <f t="shared" ref="F1924:F1931" si="330">ROUND(B1924*E1924,2)</f>
        <v>21.18</v>
      </c>
      <c r="H1924" s="95">
        <v>5.5</v>
      </c>
      <c r="I1924" s="96">
        <v>3.85</v>
      </c>
      <c r="J1924" s="97">
        <f>ROUND(H1924*I1924,2)</f>
        <v>21.18</v>
      </c>
      <c r="L1924" s="119"/>
      <c r="M1924" s="119"/>
      <c r="N1924" s="119"/>
      <c r="R1924" s="101" t="s">
        <v>1445</v>
      </c>
    </row>
    <row r="1925" spans="1:30" x14ac:dyDescent="0.2">
      <c r="A1925" s="89" t="s">
        <v>124</v>
      </c>
      <c r="B1925" s="90">
        <v>2</v>
      </c>
      <c r="C1925" s="91">
        <f>$N$1921-$L$1921+1</f>
        <v>30</v>
      </c>
      <c r="D1925" s="92">
        <v>1.31928</v>
      </c>
      <c r="E1925" s="93">
        <v>1.33</v>
      </c>
      <c r="F1925" s="94">
        <f t="shared" si="330"/>
        <v>2.66</v>
      </c>
      <c r="H1925" s="95">
        <v>2</v>
      </c>
      <c r="I1925" s="96">
        <v>1.33</v>
      </c>
      <c r="J1925" s="97">
        <f>ROUND(H1925*I1925,2)</f>
        <v>2.66</v>
      </c>
      <c r="L1925" s="119"/>
      <c r="M1925" s="119"/>
      <c r="N1925" s="119"/>
    </row>
    <row r="1926" spans="1:30" x14ac:dyDescent="0.2">
      <c r="A1926" s="89" t="s">
        <v>614</v>
      </c>
      <c r="B1926" s="90">
        <f>IF($P$1926&lt;&gt;"",ROUND(AA1926*(($AB$1926/(1-$P$1926))-23.835)/23.5279,2),IF('Resumen 2.0TD'!$D$3="OPTIMIZAR",AA1926,AA1926))</f>
        <v>182.387</v>
      </c>
      <c r="C1926" s="103"/>
      <c r="D1926" s="92">
        <v>0.11117100000000001</v>
      </c>
      <c r="E1926" s="93">
        <v>0.129</v>
      </c>
      <c r="F1926" s="94">
        <f t="shared" si="330"/>
        <v>23.53</v>
      </c>
      <c r="H1926" s="95">
        <v>354</v>
      </c>
      <c r="I1926" s="96">
        <v>0.129</v>
      </c>
      <c r="J1926" s="97">
        <f>ROUND(H1926*I1926,2)</f>
        <v>45.67</v>
      </c>
      <c r="L1926" s="119"/>
      <c r="M1926" s="119"/>
      <c r="N1926" s="119"/>
      <c r="O1926" s="104" t="s">
        <v>615</v>
      </c>
      <c r="P1926" s="67"/>
      <c r="AA1926">
        <v>182.387</v>
      </c>
      <c r="AB1926">
        <f>B1924*D1924+B1925*D1925+AA1926*D1926+AA1927*D1927+AA1928*D1928</f>
        <v>43.205250176999996</v>
      </c>
    </row>
    <row r="1927" spans="1:30" x14ac:dyDescent="0.2">
      <c r="A1927" s="89" t="s">
        <v>617</v>
      </c>
      <c r="B1927" s="90">
        <f>IF($P$1926&lt;&gt;"",ROUND(AA1927*(($AB$1926/(1-$P$1926))-23.835)/23.5279,2),IF('Resumen 2.0TD'!$D$3="OPTIMIZAR",AA1927,AA1927))</f>
        <v>0</v>
      </c>
      <c r="C1927" s="103"/>
      <c r="D1927" s="92">
        <v>0.11117100000000001</v>
      </c>
      <c r="E1927" s="93">
        <v>0</v>
      </c>
      <c r="F1927" s="94">
        <f t="shared" si="330"/>
        <v>0</v>
      </c>
      <c r="H1927" s="121"/>
      <c r="I1927" s="121"/>
      <c r="J1927" s="121"/>
      <c r="L1927" s="119"/>
      <c r="M1927" s="119"/>
      <c r="N1927" s="119"/>
      <c r="O1927" s="105" t="s">
        <v>618</v>
      </c>
      <c r="R1927" s="102" t="s">
        <v>619</v>
      </c>
      <c r="AA1927">
        <v>0</v>
      </c>
    </row>
    <row r="1928" spans="1:30" x14ac:dyDescent="0.2">
      <c r="A1928" s="89" t="s">
        <v>620</v>
      </c>
      <c r="B1928" s="90">
        <f>IF($P$1926&lt;&gt;"",ROUND(AA1928*(($AB$1926/(1-$P$1926))-23.835)/23.5279,2),IF('Resumen 2.0TD'!$D$3="OPTIMIZAR",AA1928,AA1928))</f>
        <v>0</v>
      </c>
      <c r="C1928" s="103"/>
      <c r="D1928" s="92">
        <v>0.11117100000000001</v>
      </c>
      <c r="E1928" s="93">
        <v>0</v>
      </c>
      <c r="F1928" s="94">
        <f t="shared" si="330"/>
        <v>0</v>
      </c>
      <c r="H1928" s="121"/>
      <c r="I1928" s="121"/>
      <c r="J1928" s="121"/>
      <c r="L1928" s="119"/>
      <c r="M1928" s="119"/>
      <c r="N1928" s="119"/>
      <c r="O1928" s="105" t="s">
        <v>621</v>
      </c>
      <c r="AA1928">
        <v>0</v>
      </c>
    </row>
    <row r="1929" spans="1:30" x14ac:dyDescent="0.2">
      <c r="A1929" s="89" t="s">
        <v>139</v>
      </c>
      <c r="B1929" s="90">
        <v>1</v>
      </c>
      <c r="C1929" s="91">
        <f>$N$1921-$L$1921+1</f>
        <v>30</v>
      </c>
      <c r="D1929" s="92">
        <v>0.79890000000000005</v>
      </c>
      <c r="E1929" s="93">
        <v>1</v>
      </c>
      <c r="F1929" s="94">
        <f t="shared" si="330"/>
        <v>1</v>
      </c>
      <c r="H1929" s="95">
        <v>1</v>
      </c>
      <c r="I1929" s="96">
        <v>1</v>
      </c>
      <c r="J1929" s="97">
        <f>ROUND(H1929*I1929,2)</f>
        <v>1</v>
      </c>
      <c r="L1929" s="119"/>
      <c r="M1929" s="119"/>
      <c r="N1929" s="119"/>
    </row>
    <row r="1930" spans="1:30" x14ac:dyDescent="0.2">
      <c r="A1930" s="89" t="s">
        <v>140</v>
      </c>
      <c r="B1930" s="90">
        <v>30</v>
      </c>
      <c r="C1930" s="91">
        <f>$N$1921-$L$1921+1</f>
        <v>30</v>
      </c>
      <c r="D1930" s="92">
        <v>0.5736</v>
      </c>
      <c r="E1930" s="93">
        <v>1.274E-2</v>
      </c>
      <c r="F1930" s="94">
        <f t="shared" si="330"/>
        <v>0.38</v>
      </c>
      <c r="H1930" s="95">
        <v>30</v>
      </c>
      <c r="I1930" s="96">
        <v>1.274E-2</v>
      </c>
      <c r="J1930" s="97">
        <f>ROUND(H1930*I1930,2)</f>
        <v>0.38</v>
      </c>
      <c r="L1930" s="119"/>
      <c r="M1930" s="119"/>
      <c r="N1930" s="119"/>
    </row>
    <row r="1931" spans="1:30" x14ac:dyDescent="0.2">
      <c r="A1931" s="89" t="s">
        <v>141</v>
      </c>
      <c r="B1931" s="90">
        <v>1.23</v>
      </c>
      <c r="C1931" s="103"/>
      <c r="D1931" s="92">
        <v>0.27311999999999997</v>
      </c>
      <c r="E1931" s="93">
        <v>1</v>
      </c>
      <c r="F1931" s="94">
        <f t="shared" si="330"/>
        <v>1.23</v>
      </c>
      <c r="H1931" s="95">
        <v>1.23</v>
      </c>
      <c r="I1931" s="96">
        <v>1</v>
      </c>
      <c r="J1931" s="97">
        <f>ROUND(H1931*I1931,2)</f>
        <v>1.23</v>
      </c>
      <c r="L1931" s="119"/>
      <c r="M1931" s="119"/>
      <c r="N1931" s="119"/>
    </row>
    <row r="1932" spans="1:30" x14ac:dyDescent="0.2">
      <c r="A1932" s="106" t="s">
        <v>142</v>
      </c>
      <c r="F1932" s="107">
        <f>ROUND((SUM(F1924:F1931)-F1931)*1.1+F1931,2)</f>
        <v>54.86</v>
      </c>
      <c r="J1932" s="108">
        <f>ROUND(SUM(J1924:J1931),2)</f>
        <v>72.12</v>
      </c>
      <c r="N1932" s="120"/>
    </row>
    <row r="1933" spans="1:30" x14ac:dyDescent="0.2">
      <c r="A1933" s="78" t="s">
        <v>143</v>
      </c>
      <c r="B1933" s="110">
        <f>IF((F1928+F1927+F1926+F1924+F1925)=0,"",((F1928+F1927+F1926+F1924+F1925)-$AB$1926)/(F1928+F1927+F1926+F1924+F1925))</f>
        <v>8.7919565611146458E-2</v>
      </c>
      <c r="D1933" s="139" t="str">
        <f>IF(B1933="","SIN PC",IF(B1933&gt;=0.3,"APROBAR",IF(B1933&gt;=0.2,"REVISAR","RECHAZAR")))</f>
        <v>RECHAZAR</v>
      </c>
      <c r="E1933" s="139"/>
      <c r="F1933" s="139"/>
      <c r="AD1933">
        <f>SUM(F1926:F1928)-23.5279</f>
        <v>2.1000000000022112E-3</v>
      </c>
    </row>
    <row r="1935" spans="1:30" x14ac:dyDescent="0.2">
      <c r="A1935" s="137" t="s">
        <v>1446</v>
      </c>
      <c r="B1935" s="137"/>
      <c r="C1935" s="137"/>
      <c r="D1935" s="137"/>
      <c r="E1935" s="137"/>
      <c r="F1935" s="137"/>
      <c r="H1935" s="137" t="s">
        <v>1447</v>
      </c>
      <c r="I1935" s="137"/>
      <c r="J1935" s="137"/>
      <c r="K1935" s="137"/>
      <c r="L1935" s="76">
        <v>46113</v>
      </c>
      <c r="M1935" s="77" t="s">
        <v>607</v>
      </c>
      <c r="N1935" s="76">
        <v>46142</v>
      </c>
      <c r="R1935" s="138" t="s">
        <v>110</v>
      </c>
      <c r="S1935" s="138"/>
      <c r="T1935" s="138"/>
      <c r="U1935" s="138"/>
      <c r="V1935" s="138"/>
    </row>
    <row r="1936" spans="1:30" x14ac:dyDescent="0.2">
      <c r="A1936" s="78" t="s">
        <v>111</v>
      </c>
      <c r="B1936" s="79" t="s">
        <v>112</v>
      </c>
      <c r="C1936" s="80"/>
      <c r="D1936" s="80"/>
      <c r="E1936" s="80"/>
      <c r="F1936" s="80"/>
      <c r="H1936" s="81" t="s">
        <v>1448</v>
      </c>
      <c r="I1936" s="82"/>
      <c r="J1936" s="82"/>
      <c r="L1936" s="83" t="s">
        <v>796</v>
      </c>
      <c r="M1936" s="84"/>
      <c r="N1936" s="84"/>
      <c r="R1936" s="85" t="s">
        <v>797</v>
      </c>
    </row>
    <row r="1937" spans="1:30" x14ac:dyDescent="0.2">
      <c r="B1937" s="68" t="s">
        <v>116</v>
      </c>
      <c r="C1937" s="68" t="s">
        <v>117</v>
      </c>
      <c r="D1937" s="68" t="s">
        <v>118</v>
      </c>
      <c r="E1937" s="68" t="s">
        <v>119</v>
      </c>
      <c r="F1937" s="68" t="s">
        <v>120</v>
      </c>
      <c r="H1937" s="86" t="s">
        <v>116</v>
      </c>
      <c r="I1937" s="86" t="s">
        <v>119</v>
      </c>
      <c r="J1937" s="86" t="s">
        <v>120</v>
      </c>
      <c r="L1937" s="87" t="s">
        <v>116</v>
      </c>
      <c r="M1937" s="87" t="s">
        <v>119</v>
      </c>
      <c r="N1937" s="87" t="s">
        <v>120</v>
      </c>
      <c r="R1937" s="88" t="s">
        <v>764</v>
      </c>
    </row>
    <row r="1938" spans="1:30" x14ac:dyDescent="0.2">
      <c r="A1938" s="89" t="s">
        <v>122</v>
      </c>
      <c r="B1938" s="90">
        <v>3.45</v>
      </c>
      <c r="C1938" s="91">
        <f>$N$1935-$L$1935+1</f>
        <v>30</v>
      </c>
      <c r="D1938" s="92">
        <v>3.68919</v>
      </c>
      <c r="E1938" s="93">
        <v>3.85</v>
      </c>
      <c r="F1938" s="94">
        <f t="shared" ref="F1938:F1945" si="331">ROUND(B1938*E1938,2)</f>
        <v>13.28</v>
      </c>
      <c r="H1938" s="95">
        <v>3.45</v>
      </c>
      <c r="I1938" s="96">
        <v>3.85</v>
      </c>
      <c r="J1938" s="97">
        <f t="shared" ref="J1938:J1945" si="332">ROUND(H1938*I1938,2)</f>
        <v>13.28</v>
      </c>
      <c r="L1938" s="119"/>
      <c r="M1938" s="119"/>
      <c r="N1938" s="119"/>
      <c r="R1938" s="101" t="s">
        <v>798</v>
      </c>
    </row>
    <row r="1939" spans="1:30" x14ac:dyDescent="0.2">
      <c r="A1939" s="89" t="s">
        <v>124</v>
      </c>
      <c r="B1939" s="90">
        <v>3.45</v>
      </c>
      <c r="C1939" s="91">
        <f>$N$1935-$L$1935+1</f>
        <v>30</v>
      </c>
      <c r="D1939" s="92">
        <v>1.31928</v>
      </c>
      <c r="E1939" s="93">
        <v>1.33</v>
      </c>
      <c r="F1939" s="94">
        <f t="shared" si="331"/>
        <v>4.59</v>
      </c>
      <c r="H1939" s="95">
        <v>3.45</v>
      </c>
      <c r="I1939" s="96">
        <v>1.33</v>
      </c>
      <c r="J1939" s="97">
        <f t="shared" si="332"/>
        <v>4.59</v>
      </c>
      <c r="L1939" s="119"/>
      <c r="M1939" s="119"/>
      <c r="N1939" s="119"/>
    </row>
    <row r="1940" spans="1:30" x14ac:dyDescent="0.2">
      <c r="A1940" s="89" t="s">
        <v>614</v>
      </c>
      <c r="B1940" s="90">
        <f>IF($P$1940&lt;&gt;"",ROUND(AA1940*(($AB$1940/(1-$P$1940))-17.871)/24.8214,2),IF('Resumen 2.0TD'!$D$3="OPTIMIZAR",AA1940,AA1940))</f>
        <v>42.985999999999997</v>
      </c>
      <c r="C1940" s="103"/>
      <c r="D1940" s="92">
        <v>0.11117100000000001</v>
      </c>
      <c r="E1940" s="93">
        <v>0.13788</v>
      </c>
      <c r="F1940" s="94">
        <f t="shared" si="331"/>
        <v>5.93</v>
      </c>
      <c r="H1940" s="95">
        <v>56.643000000000001</v>
      </c>
      <c r="I1940" s="96">
        <v>0.13788</v>
      </c>
      <c r="J1940" s="97">
        <f t="shared" si="332"/>
        <v>7.81</v>
      </c>
      <c r="L1940" s="119"/>
      <c r="M1940" s="119"/>
      <c r="N1940" s="119"/>
      <c r="O1940" s="104" t="s">
        <v>615</v>
      </c>
      <c r="P1940" s="67"/>
      <c r="AA1940">
        <v>42.985999999999997</v>
      </c>
      <c r="AB1940">
        <f>B1938*D1938+B1939*D1939+AA1940*D1940+AA1941*D1941+AA1942*D1942</f>
        <v>37.292447262000003</v>
      </c>
    </row>
    <row r="1941" spans="1:30" x14ac:dyDescent="0.2">
      <c r="A1941" s="89" t="s">
        <v>617</v>
      </c>
      <c r="B1941" s="90">
        <f>IF($P$1940&lt;&gt;"",ROUND(AA1941*(($AB$1940/(1-$P$1940))-17.871)/24.8214,2),IF('Resumen 2.0TD'!$D$3="OPTIMIZAR",AA1941,AA1941))</f>
        <v>29.61</v>
      </c>
      <c r="C1941" s="103"/>
      <c r="D1941" s="92">
        <v>0.11117100000000001</v>
      </c>
      <c r="E1941" s="93">
        <v>0.13788</v>
      </c>
      <c r="F1941" s="94">
        <f t="shared" si="331"/>
        <v>4.08</v>
      </c>
      <c r="H1941" s="95">
        <v>75.685000000000002</v>
      </c>
      <c r="I1941" s="96">
        <v>0.13788</v>
      </c>
      <c r="J1941" s="97">
        <f t="shared" si="332"/>
        <v>10.44</v>
      </c>
      <c r="L1941" s="119"/>
      <c r="M1941" s="119"/>
      <c r="N1941" s="119"/>
      <c r="O1941" s="105" t="s">
        <v>618</v>
      </c>
      <c r="R1941" s="102" t="s">
        <v>619</v>
      </c>
      <c r="AA1941">
        <v>29.61</v>
      </c>
    </row>
    <row r="1942" spans="1:30" x14ac:dyDescent="0.2">
      <c r="A1942" s="89" t="s">
        <v>620</v>
      </c>
      <c r="B1942" s="90">
        <f>IF($P$1940&lt;&gt;"",ROUND(AA1942*(($AB$1940/(1-$P$1940))-17.871)/24.8214,2),IF('Resumen 2.0TD'!$D$3="OPTIMIZAR",AA1942,AA1942))</f>
        <v>107.426</v>
      </c>
      <c r="C1942" s="103"/>
      <c r="D1942" s="92">
        <v>0.11117100000000001</v>
      </c>
      <c r="E1942" s="93">
        <v>0.13788</v>
      </c>
      <c r="F1942" s="94">
        <f t="shared" si="331"/>
        <v>14.81</v>
      </c>
      <c r="H1942" s="95">
        <v>283.43599999999998</v>
      </c>
      <c r="I1942" s="96">
        <v>0.13788</v>
      </c>
      <c r="J1942" s="97">
        <f t="shared" si="332"/>
        <v>39.08</v>
      </c>
      <c r="L1942" s="119"/>
      <c r="M1942" s="119"/>
      <c r="N1942" s="119"/>
      <c r="O1942" s="105" t="s">
        <v>621</v>
      </c>
      <c r="AA1942">
        <v>107.426</v>
      </c>
    </row>
    <row r="1943" spans="1:30" x14ac:dyDescent="0.2">
      <c r="A1943" s="89" t="s">
        <v>139</v>
      </c>
      <c r="B1943" s="90">
        <v>1</v>
      </c>
      <c r="C1943" s="91">
        <f>$N$1935-$L$1935+1</f>
        <v>30</v>
      </c>
      <c r="D1943" s="92">
        <v>0.79890000000000005</v>
      </c>
      <c r="E1943" s="93">
        <v>3</v>
      </c>
      <c r="F1943" s="94">
        <f t="shared" si="331"/>
        <v>3</v>
      </c>
      <c r="H1943" s="95">
        <v>1</v>
      </c>
      <c r="I1943" s="96">
        <v>3</v>
      </c>
      <c r="J1943" s="97">
        <f t="shared" si="332"/>
        <v>3</v>
      </c>
      <c r="L1943" s="119"/>
      <c r="M1943" s="119"/>
      <c r="N1943" s="119"/>
    </row>
    <row r="1944" spans="1:30" x14ac:dyDescent="0.2">
      <c r="A1944" s="89" t="s">
        <v>140</v>
      </c>
      <c r="B1944" s="90">
        <v>30</v>
      </c>
      <c r="C1944" s="91">
        <f>$N$1935-$L$1935+1</f>
        <v>30</v>
      </c>
      <c r="D1944" s="92">
        <v>0.5736</v>
      </c>
      <c r="E1944" s="93">
        <v>1.274E-2</v>
      </c>
      <c r="F1944" s="94">
        <f t="shared" si="331"/>
        <v>0.38</v>
      </c>
      <c r="H1944" s="95">
        <v>30</v>
      </c>
      <c r="I1944" s="96">
        <v>1.274E-2</v>
      </c>
      <c r="J1944" s="97">
        <f t="shared" si="332"/>
        <v>0.38</v>
      </c>
      <c r="L1944" s="119"/>
      <c r="M1944" s="119"/>
      <c r="N1944" s="119"/>
    </row>
    <row r="1945" spans="1:30" x14ac:dyDescent="0.2">
      <c r="A1945" s="89" t="s">
        <v>141</v>
      </c>
      <c r="B1945" s="90">
        <v>2.19</v>
      </c>
      <c r="C1945" s="103"/>
      <c r="D1945" s="92">
        <v>0.27311999999999997</v>
      </c>
      <c r="E1945" s="93">
        <v>1</v>
      </c>
      <c r="F1945" s="94">
        <f t="shared" si="331"/>
        <v>2.19</v>
      </c>
      <c r="H1945" s="95">
        <v>3.85</v>
      </c>
      <c r="I1945" s="96">
        <v>1</v>
      </c>
      <c r="J1945" s="97">
        <f t="shared" si="332"/>
        <v>3.85</v>
      </c>
      <c r="L1945" s="119"/>
      <c r="M1945" s="119"/>
      <c r="N1945" s="119"/>
    </row>
    <row r="1946" spans="1:30" x14ac:dyDescent="0.2">
      <c r="A1946" s="106" t="s">
        <v>142</v>
      </c>
      <c r="F1946" s="107">
        <f>ROUND((SUM(F1938:F1945)-F1945)*1.1+F1945,2)</f>
        <v>52.87</v>
      </c>
      <c r="J1946" s="108">
        <f>ROUND(SUM(J1938:J1945),2)</f>
        <v>82.43</v>
      </c>
      <c r="N1946" s="120"/>
    </row>
    <row r="1947" spans="1:30" x14ac:dyDescent="0.2">
      <c r="A1947" s="78" t="s">
        <v>143</v>
      </c>
      <c r="B1947" s="110">
        <f>IF((F1942+F1941+F1940+F1938+F1939)=0,"",((F1942+F1941+F1940+F1938+F1939)-$AB$1940)/(F1942+F1941+F1940+F1938+F1939))</f>
        <v>0.12643599761068153</v>
      </c>
      <c r="D1947" s="139" t="str">
        <f>IF(B1947="","SIN PC",IF(B1947&gt;=0.3,"APROBAR",IF(B1947&gt;=0.2,"REVISAR","RECHAZAR")))</f>
        <v>RECHAZAR</v>
      </c>
      <c r="E1947" s="139"/>
      <c r="F1947" s="139"/>
      <c r="AD1947">
        <f>SUM(F1940:F1942)-24.8214</f>
        <v>-1.4000000000002899E-3</v>
      </c>
    </row>
    <row r="1949" spans="1:30" x14ac:dyDescent="0.2">
      <c r="A1949" s="137" t="s">
        <v>1449</v>
      </c>
      <c r="B1949" s="137"/>
      <c r="C1949" s="137"/>
      <c r="D1949" s="137"/>
      <c r="E1949" s="137"/>
      <c r="F1949" s="137"/>
      <c r="H1949" s="137" t="s">
        <v>1450</v>
      </c>
      <c r="I1949" s="137"/>
      <c r="J1949" s="137"/>
      <c r="K1949" s="137"/>
      <c r="L1949" s="76">
        <v>46113</v>
      </c>
      <c r="M1949" s="77" t="s">
        <v>607</v>
      </c>
      <c r="N1949" s="76">
        <v>46142</v>
      </c>
      <c r="R1949" s="138" t="s">
        <v>110</v>
      </c>
      <c r="S1949" s="138"/>
      <c r="T1949" s="138"/>
      <c r="U1949" s="138"/>
      <c r="V1949" s="138"/>
    </row>
    <row r="1950" spans="1:30" x14ac:dyDescent="0.2">
      <c r="A1950" s="78" t="s">
        <v>111</v>
      </c>
      <c r="B1950" s="79" t="s">
        <v>112</v>
      </c>
      <c r="C1950" s="80"/>
      <c r="D1950" s="80"/>
      <c r="E1950" s="80"/>
      <c r="F1950" s="80"/>
      <c r="H1950" s="81" t="s">
        <v>1451</v>
      </c>
      <c r="I1950" s="82"/>
      <c r="J1950" s="82"/>
      <c r="L1950" s="83" t="s">
        <v>796</v>
      </c>
      <c r="M1950" s="84"/>
      <c r="N1950" s="84"/>
      <c r="R1950" s="85" t="s">
        <v>1444</v>
      </c>
    </row>
    <row r="1951" spans="1:30" x14ac:dyDescent="0.2">
      <c r="B1951" s="68" t="s">
        <v>116</v>
      </c>
      <c r="C1951" s="68" t="s">
        <v>117</v>
      </c>
      <c r="D1951" s="68" t="s">
        <v>118</v>
      </c>
      <c r="E1951" s="68" t="s">
        <v>119</v>
      </c>
      <c r="F1951" s="68" t="s">
        <v>120</v>
      </c>
      <c r="H1951" s="86" t="s">
        <v>116</v>
      </c>
      <c r="I1951" s="86" t="s">
        <v>119</v>
      </c>
      <c r="J1951" s="86" t="s">
        <v>120</v>
      </c>
      <c r="L1951" s="87" t="s">
        <v>116</v>
      </c>
      <c r="M1951" s="87" t="s">
        <v>119</v>
      </c>
      <c r="N1951" s="87" t="s">
        <v>120</v>
      </c>
      <c r="R1951" s="88" t="s">
        <v>764</v>
      </c>
    </row>
    <row r="1952" spans="1:30" x14ac:dyDescent="0.2">
      <c r="A1952" s="89" t="s">
        <v>122</v>
      </c>
      <c r="B1952" s="90">
        <v>3.3</v>
      </c>
      <c r="C1952" s="91">
        <f>$N$1949-$L$1949+1</f>
        <v>30</v>
      </c>
      <c r="D1952" s="92">
        <v>3.68919</v>
      </c>
      <c r="E1952" s="93">
        <v>3.85</v>
      </c>
      <c r="F1952" s="94">
        <f t="shared" ref="F1952:F1959" si="333">ROUND(B1952*E1952,2)</f>
        <v>12.71</v>
      </c>
      <c r="H1952" s="121"/>
      <c r="I1952" s="121"/>
      <c r="J1952" s="121"/>
      <c r="L1952" s="119"/>
      <c r="M1952" s="119"/>
      <c r="N1952" s="119"/>
      <c r="R1952" s="101" t="s">
        <v>1445</v>
      </c>
    </row>
    <row r="1953" spans="1:30" x14ac:dyDescent="0.2">
      <c r="A1953" s="89" t="s">
        <v>124</v>
      </c>
      <c r="B1953" s="90">
        <v>3.3</v>
      </c>
      <c r="C1953" s="91">
        <f>$N$1949-$L$1949+1</f>
        <v>30</v>
      </c>
      <c r="D1953" s="92">
        <v>1.31928</v>
      </c>
      <c r="E1953" s="93">
        <v>1.33</v>
      </c>
      <c r="F1953" s="94">
        <f t="shared" si="333"/>
        <v>4.3899999999999997</v>
      </c>
      <c r="H1953" s="121"/>
      <c r="I1953" s="121"/>
      <c r="J1953" s="121"/>
      <c r="L1953" s="119"/>
      <c r="M1953" s="119"/>
      <c r="N1953" s="119"/>
    </row>
    <row r="1954" spans="1:30" x14ac:dyDescent="0.2">
      <c r="A1954" s="89" t="s">
        <v>614</v>
      </c>
      <c r="B1954" s="90">
        <f>IF($P$1954&lt;&gt;"",ROUND(AA1954*(($AB$1954/(1-$P$1954))-17.094)/18.2781,2),IF('Resumen 2.0TD'!$D$3="OPTIMIZAR",AA1954,AA1954))</f>
        <v>36.17</v>
      </c>
      <c r="C1954" s="103"/>
      <c r="D1954" s="92">
        <v>0.11117100000000001</v>
      </c>
      <c r="E1954" s="93">
        <v>0.13788</v>
      </c>
      <c r="F1954" s="94">
        <f t="shared" si="333"/>
        <v>4.99</v>
      </c>
      <c r="H1954" s="121"/>
      <c r="I1954" s="121"/>
      <c r="J1954" s="121"/>
      <c r="L1954" s="119"/>
      <c r="M1954" s="119"/>
      <c r="N1954" s="119"/>
      <c r="O1954" s="104" t="s">
        <v>615</v>
      </c>
      <c r="P1954" s="67"/>
      <c r="AA1954">
        <v>36.17</v>
      </c>
      <c r="AB1954">
        <f>B1952*D1952+B1953*D1953+AA1954*D1954+AA1955*D1955+AA1956*D1956</f>
        <v>31.265334615000004</v>
      </c>
    </row>
    <row r="1955" spans="1:30" x14ac:dyDescent="0.2">
      <c r="A1955" s="89" t="s">
        <v>617</v>
      </c>
      <c r="B1955" s="90">
        <f>IF($P$1954&lt;&gt;"",ROUND(AA1955*(($AB$1954/(1-$P$1954))-17.094)/18.2781,2),IF('Resumen 2.0TD'!$D$3="OPTIMIZAR",AA1955,AA1955))</f>
        <v>29.212</v>
      </c>
      <c r="C1955" s="103"/>
      <c r="D1955" s="92">
        <v>0.11117100000000001</v>
      </c>
      <c r="E1955" s="93">
        <v>0.13788</v>
      </c>
      <c r="F1955" s="94">
        <f t="shared" si="333"/>
        <v>4.03</v>
      </c>
      <c r="H1955" s="121"/>
      <c r="I1955" s="121"/>
      <c r="J1955" s="121"/>
      <c r="L1955" s="119"/>
      <c r="M1955" s="119"/>
      <c r="N1955" s="119"/>
      <c r="O1955" s="105" t="s">
        <v>618</v>
      </c>
      <c r="R1955" s="102" t="s">
        <v>619</v>
      </c>
      <c r="AA1955">
        <v>29.212</v>
      </c>
    </row>
    <row r="1956" spans="1:30" x14ac:dyDescent="0.2">
      <c r="A1956" s="89" t="s">
        <v>620</v>
      </c>
      <c r="B1956" s="90">
        <f>IF($P$1954&lt;&gt;"",ROUND(AA1956*(($AB$1954/(1-$P$1954))-17.094)/18.2781,2),IF('Resumen 2.0TD'!$D$3="OPTIMIZAR",AA1956,AA1956))</f>
        <v>67.183000000000007</v>
      </c>
      <c r="C1956" s="103"/>
      <c r="D1956" s="92">
        <v>0.11117100000000001</v>
      </c>
      <c r="E1956" s="93">
        <v>0.13788</v>
      </c>
      <c r="F1956" s="94">
        <f t="shared" si="333"/>
        <v>9.26</v>
      </c>
      <c r="H1956" s="121"/>
      <c r="I1956" s="121"/>
      <c r="J1956" s="121"/>
      <c r="L1956" s="119"/>
      <c r="M1956" s="119"/>
      <c r="N1956" s="119"/>
      <c r="O1956" s="105" t="s">
        <v>621</v>
      </c>
      <c r="AA1956">
        <v>67.183000000000007</v>
      </c>
    </row>
    <row r="1957" spans="1:30" x14ac:dyDescent="0.2">
      <c r="A1957" s="89" t="s">
        <v>139</v>
      </c>
      <c r="B1957" s="90">
        <v>1</v>
      </c>
      <c r="C1957" s="91">
        <f>$N$1949-$L$1949+1</f>
        <v>30</v>
      </c>
      <c r="D1957" s="92">
        <v>0.79890000000000005</v>
      </c>
      <c r="E1957" s="93">
        <v>3</v>
      </c>
      <c r="F1957" s="94">
        <f t="shared" si="333"/>
        <v>3</v>
      </c>
      <c r="H1957" s="121"/>
      <c r="I1957" s="121"/>
      <c r="J1957" s="121"/>
      <c r="L1957" s="119"/>
      <c r="M1957" s="119"/>
      <c r="N1957" s="119"/>
    </row>
    <row r="1958" spans="1:30" x14ac:dyDescent="0.2">
      <c r="A1958" s="89" t="s">
        <v>140</v>
      </c>
      <c r="B1958" s="90">
        <v>30</v>
      </c>
      <c r="C1958" s="91">
        <f>$N$1949-$L$1949+1</f>
        <v>30</v>
      </c>
      <c r="D1958" s="92">
        <v>0.5736</v>
      </c>
      <c r="E1958" s="93">
        <v>1.274E-2</v>
      </c>
      <c r="F1958" s="94">
        <f t="shared" si="333"/>
        <v>0.38</v>
      </c>
      <c r="H1958" s="121"/>
      <c r="I1958" s="121"/>
      <c r="J1958" s="121"/>
      <c r="L1958" s="119"/>
      <c r="M1958" s="119"/>
      <c r="N1958" s="119"/>
    </row>
    <row r="1959" spans="1:30" x14ac:dyDescent="0.2">
      <c r="A1959" s="89" t="s">
        <v>141</v>
      </c>
      <c r="B1959" s="90">
        <v>1.82</v>
      </c>
      <c r="C1959" s="103"/>
      <c r="D1959" s="92">
        <v>2.6710000000000001E-2</v>
      </c>
      <c r="E1959" s="93">
        <v>1</v>
      </c>
      <c r="F1959" s="94">
        <f t="shared" si="333"/>
        <v>1.82</v>
      </c>
      <c r="H1959" s="121"/>
      <c r="I1959" s="121"/>
      <c r="J1959" s="121"/>
      <c r="L1959" s="119"/>
      <c r="M1959" s="119"/>
      <c r="N1959" s="119"/>
    </row>
    <row r="1960" spans="1:30" x14ac:dyDescent="0.2">
      <c r="A1960" s="106" t="s">
        <v>142</v>
      </c>
      <c r="F1960" s="107">
        <f>ROUND((SUM(F1952:F1959)-F1959)*1.1+F1959,2)</f>
        <v>44.46</v>
      </c>
      <c r="J1960" s="123"/>
      <c r="N1960" s="120"/>
    </row>
    <row r="1961" spans="1:30" x14ac:dyDescent="0.2">
      <c r="A1961" s="78" t="s">
        <v>143</v>
      </c>
      <c r="B1961" s="110">
        <f>IF((F1956+F1955+F1954+F1952+F1953)=0,"",((F1956+F1955+F1954+F1952+F1953)-$AB$1954)/(F1956+F1955+F1954+F1952+F1953))</f>
        <v>0.11629919120972296</v>
      </c>
      <c r="D1961" s="139" t="str">
        <f>IF(B1961="","SIN PC",IF(B1961&gt;=0.3,"APROBAR",IF(B1961&gt;=0.2,"REVISAR","RECHAZAR")))</f>
        <v>RECHAZAR</v>
      </c>
      <c r="E1961" s="139"/>
      <c r="F1961" s="139"/>
      <c r="AD1961">
        <f>SUM(F1954:F1956)-18.2781</f>
        <v>1.9000000000026773E-3</v>
      </c>
    </row>
    <row r="1963" spans="1:30" x14ac:dyDescent="0.2">
      <c r="A1963" s="137" t="s">
        <v>1452</v>
      </c>
      <c r="B1963" s="137"/>
      <c r="C1963" s="137"/>
      <c r="D1963" s="137"/>
      <c r="E1963" s="137"/>
      <c r="F1963" s="137"/>
      <c r="H1963" s="137" t="s">
        <v>1453</v>
      </c>
      <c r="I1963" s="137"/>
      <c r="J1963" s="137"/>
      <c r="K1963" s="137"/>
      <c r="L1963" s="76">
        <v>46113</v>
      </c>
      <c r="M1963" s="77" t="s">
        <v>607</v>
      </c>
      <c r="N1963" s="76">
        <v>46142</v>
      </c>
      <c r="R1963" s="138" t="s">
        <v>110</v>
      </c>
      <c r="S1963" s="138"/>
      <c r="T1963" s="138"/>
      <c r="U1963" s="138"/>
      <c r="V1963" s="138"/>
    </row>
    <row r="1964" spans="1:30" x14ac:dyDescent="0.2">
      <c r="A1964" s="78" t="s">
        <v>111</v>
      </c>
      <c r="B1964" s="79" t="s">
        <v>112</v>
      </c>
      <c r="C1964" s="80"/>
      <c r="D1964" s="80"/>
      <c r="E1964" s="80"/>
      <c r="F1964" s="80"/>
      <c r="H1964" s="81" t="s">
        <v>1451</v>
      </c>
      <c r="I1964" s="82"/>
      <c r="J1964" s="82"/>
      <c r="L1964" s="83" t="s">
        <v>796</v>
      </c>
      <c r="M1964" s="84"/>
      <c r="N1964" s="84"/>
      <c r="R1964" s="85" t="s">
        <v>1444</v>
      </c>
    </row>
    <row r="1965" spans="1:30" x14ac:dyDescent="0.2">
      <c r="B1965" s="68" t="s">
        <v>116</v>
      </c>
      <c r="C1965" s="68" t="s">
        <v>117</v>
      </c>
      <c r="D1965" s="68" t="s">
        <v>118</v>
      </c>
      <c r="E1965" s="68" t="s">
        <v>119</v>
      </c>
      <c r="F1965" s="68" t="s">
        <v>120</v>
      </c>
      <c r="H1965" s="86" t="s">
        <v>116</v>
      </c>
      <c r="I1965" s="86" t="s">
        <v>119</v>
      </c>
      <c r="J1965" s="86" t="s">
        <v>120</v>
      </c>
      <c r="L1965" s="87" t="s">
        <v>116</v>
      </c>
      <c r="M1965" s="87" t="s">
        <v>119</v>
      </c>
      <c r="N1965" s="87" t="s">
        <v>120</v>
      </c>
      <c r="R1965" s="88" t="s">
        <v>764</v>
      </c>
    </row>
    <row r="1966" spans="1:30" x14ac:dyDescent="0.2">
      <c r="A1966" s="89" t="s">
        <v>122</v>
      </c>
      <c r="B1966" s="90">
        <v>4</v>
      </c>
      <c r="C1966" s="91">
        <f>$N$1963-$L$1963+1</f>
        <v>30</v>
      </c>
      <c r="D1966" s="92">
        <v>3.68919</v>
      </c>
      <c r="E1966" s="93">
        <v>3.85</v>
      </c>
      <c r="F1966" s="94">
        <f t="shared" ref="F1966:F1973" si="334">ROUND(B1966*E1966,2)</f>
        <v>15.4</v>
      </c>
      <c r="H1966" s="121"/>
      <c r="I1966" s="121"/>
      <c r="J1966" s="121"/>
      <c r="L1966" s="119"/>
      <c r="M1966" s="119"/>
      <c r="N1966" s="119"/>
      <c r="R1966" s="101" t="s">
        <v>1445</v>
      </c>
    </row>
    <row r="1967" spans="1:30" x14ac:dyDescent="0.2">
      <c r="A1967" s="89" t="s">
        <v>124</v>
      </c>
      <c r="B1967" s="90">
        <v>4</v>
      </c>
      <c r="C1967" s="91">
        <f>$N$1963-$L$1963+1</f>
        <v>30</v>
      </c>
      <c r="D1967" s="92">
        <v>1.31928</v>
      </c>
      <c r="E1967" s="93">
        <v>1.33</v>
      </c>
      <c r="F1967" s="94">
        <f t="shared" si="334"/>
        <v>5.32</v>
      </c>
      <c r="H1967" s="121"/>
      <c r="I1967" s="121"/>
      <c r="J1967" s="121"/>
      <c r="L1967" s="119"/>
      <c r="M1967" s="119"/>
      <c r="N1967" s="119"/>
    </row>
    <row r="1968" spans="1:30" x14ac:dyDescent="0.2">
      <c r="A1968" s="89" t="s">
        <v>614</v>
      </c>
      <c r="B1968" s="90">
        <f>IF($P$1968&lt;&gt;"",ROUND(AA1968*(($AB$1968/(1-$P$1968))-20.72)/21.5573,2),IF('Resumen 2.0TD'!$D$3="OPTIMIZAR",AA1968,AA1968))</f>
        <v>51.209000000000003</v>
      </c>
      <c r="C1968" s="103"/>
      <c r="D1968" s="92">
        <v>0.11117100000000001</v>
      </c>
      <c r="E1968" s="93">
        <v>0.13788</v>
      </c>
      <c r="F1968" s="94">
        <f t="shared" si="334"/>
        <v>7.06</v>
      </c>
      <c r="H1968" s="121"/>
      <c r="I1968" s="121"/>
      <c r="J1968" s="121"/>
      <c r="L1968" s="119"/>
      <c r="M1968" s="119"/>
      <c r="N1968" s="119"/>
      <c r="O1968" s="104" t="s">
        <v>615</v>
      </c>
      <c r="P1968" s="67"/>
      <c r="AA1968">
        <v>51.209000000000003</v>
      </c>
      <c r="AB1968">
        <f>B1966*D1966+B1967*D1967+AA1968*D1968+AA1969*D1969+AA1970*D1970</f>
        <v>37.415243508000003</v>
      </c>
    </row>
    <row r="1969" spans="1:30" x14ac:dyDescent="0.2">
      <c r="A1969" s="89" t="s">
        <v>617</v>
      </c>
      <c r="B1969" s="90">
        <f>IF($P$1968&lt;&gt;"",ROUND(AA1969*(($AB$1968/(1-$P$1968))-20.72)/21.5573,2),IF('Resumen 2.0TD'!$D$3="OPTIMIZAR",AA1969,AA1969))</f>
        <v>44.805</v>
      </c>
      <c r="C1969" s="103"/>
      <c r="D1969" s="92">
        <v>0.11117100000000001</v>
      </c>
      <c r="E1969" s="93">
        <v>0.13788</v>
      </c>
      <c r="F1969" s="94">
        <f t="shared" si="334"/>
        <v>6.18</v>
      </c>
      <c r="H1969" s="121"/>
      <c r="I1969" s="121"/>
      <c r="J1969" s="121"/>
      <c r="L1969" s="119"/>
      <c r="M1969" s="119"/>
      <c r="N1969" s="119"/>
      <c r="O1969" s="105" t="s">
        <v>618</v>
      </c>
      <c r="R1969" s="102" t="s">
        <v>619</v>
      </c>
      <c r="AA1969">
        <v>44.805</v>
      </c>
    </row>
    <row r="1970" spans="1:30" x14ac:dyDescent="0.2">
      <c r="A1970" s="89" t="s">
        <v>620</v>
      </c>
      <c r="B1970" s="90">
        <f>IF($P$1968&lt;&gt;"",ROUND(AA1970*(($AB$1968/(1-$P$1968))-20.72)/21.5573,2),IF('Resumen 2.0TD'!$D$3="OPTIMIZAR",AA1970,AA1970))</f>
        <v>60.334000000000003</v>
      </c>
      <c r="C1970" s="103"/>
      <c r="D1970" s="92">
        <v>0.11117100000000001</v>
      </c>
      <c r="E1970" s="93">
        <v>0.13788</v>
      </c>
      <c r="F1970" s="94">
        <f t="shared" si="334"/>
        <v>8.32</v>
      </c>
      <c r="H1970" s="121"/>
      <c r="I1970" s="121"/>
      <c r="J1970" s="121"/>
      <c r="L1970" s="119"/>
      <c r="M1970" s="119"/>
      <c r="N1970" s="119"/>
      <c r="O1970" s="105" t="s">
        <v>621</v>
      </c>
      <c r="AA1970">
        <v>60.334000000000003</v>
      </c>
    </row>
    <row r="1971" spans="1:30" x14ac:dyDescent="0.2">
      <c r="A1971" s="89" t="s">
        <v>139</v>
      </c>
      <c r="B1971" s="90">
        <v>1</v>
      </c>
      <c r="C1971" s="91">
        <f>$N$1963-$L$1963+1</f>
        <v>30</v>
      </c>
      <c r="D1971" s="92">
        <v>0.79890000000000005</v>
      </c>
      <c r="E1971" s="93">
        <v>3</v>
      </c>
      <c r="F1971" s="94">
        <f t="shared" si="334"/>
        <v>3</v>
      </c>
      <c r="H1971" s="121"/>
      <c r="I1971" s="121"/>
      <c r="J1971" s="121"/>
      <c r="L1971" s="119"/>
      <c r="M1971" s="119"/>
      <c r="N1971" s="119"/>
    </row>
    <row r="1972" spans="1:30" x14ac:dyDescent="0.2">
      <c r="A1972" s="89" t="s">
        <v>140</v>
      </c>
      <c r="B1972" s="90">
        <v>30</v>
      </c>
      <c r="C1972" s="91">
        <f>$N$1963-$L$1963+1</f>
        <v>30</v>
      </c>
      <c r="D1972" s="92">
        <v>0.5736</v>
      </c>
      <c r="E1972" s="93">
        <v>1.274E-2</v>
      </c>
      <c r="F1972" s="94">
        <f t="shared" si="334"/>
        <v>0.38</v>
      </c>
      <c r="H1972" s="121"/>
      <c r="I1972" s="121"/>
      <c r="J1972" s="121"/>
      <c r="L1972" s="119"/>
      <c r="M1972" s="119"/>
      <c r="N1972" s="119"/>
    </row>
    <row r="1973" spans="1:30" x14ac:dyDescent="0.2">
      <c r="A1973" s="89" t="s">
        <v>141</v>
      </c>
      <c r="B1973" s="90">
        <v>2.17</v>
      </c>
      <c r="C1973" s="103"/>
      <c r="D1973" s="92">
        <v>2.6710000000000001E-2</v>
      </c>
      <c r="E1973" s="93">
        <v>1</v>
      </c>
      <c r="F1973" s="94">
        <f t="shared" si="334"/>
        <v>2.17</v>
      </c>
      <c r="H1973" s="121"/>
      <c r="I1973" s="121"/>
      <c r="J1973" s="121"/>
      <c r="L1973" s="119"/>
      <c r="M1973" s="119"/>
      <c r="N1973" s="119"/>
    </row>
    <row r="1974" spans="1:30" x14ac:dyDescent="0.2">
      <c r="A1974" s="106" t="s">
        <v>142</v>
      </c>
      <c r="F1974" s="107">
        <f>ROUND((SUM(F1966:F1973)-F1973)*1.1+F1973,2)</f>
        <v>52.4</v>
      </c>
      <c r="J1974" s="123"/>
      <c r="N1974" s="120"/>
    </row>
    <row r="1975" spans="1:30" x14ac:dyDescent="0.2">
      <c r="A1975" s="78" t="s">
        <v>143</v>
      </c>
      <c r="B1975" s="110">
        <f>IF((F1970+F1969+F1968+F1966+F1967)=0,"",((F1970+F1969+F1968+F1966+F1967)-$AB$1968)/(F1970+F1969+F1968+F1966+F1967))</f>
        <v>0.11506046575212861</v>
      </c>
      <c r="D1975" s="139" t="str">
        <f>IF(B1975="","SIN PC",IF(B1975&gt;=0.3,"APROBAR",IF(B1975&gt;=0.2,"REVISAR","RECHAZAR")))</f>
        <v>RECHAZAR</v>
      </c>
      <c r="E1975" s="139"/>
      <c r="F1975" s="139"/>
      <c r="AD1975">
        <f>SUM(F1968:F1970)-21.5573</f>
        <v>2.6999999999972601E-3</v>
      </c>
    </row>
    <row r="1977" spans="1:30" x14ac:dyDescent="0.2">
      <c r="A1977" s="137" t="s">
        <v>1454</v>
      </c>
      <c r="B1977" s="137"/>
      <c r="C1977" s="137"/>
      <c r="D1977" s="137"/>
      <c r="E1977" s="137"/>
      <c r="F1977" s="137"/>
      <c r="H1977" s="137" t="s">
        <v>1455</v>
      </c>
      <c r="I1977" s="137"/>
      <c r="J1977" s="137"/>
      <c r="K1977" s="137"/>
      <c r="L1977" s="76">
        <v>46113</v>
      </c>
      <c r="M1977" s="77" t="s">
        <v>607</v>
      </c>
      <c r="N1977" s="76">
        <v>46142</v>
      </c>
      <c r="R1977" s="138" t="s">
        <v>110</v>
      </c>
      <c r="S1977" s="138"/>
      <c r="T1977" s="138"/>
      <c r="U1977" s="138"/>
      <c r="V1977" s="138"/>
    </row>
    <row r="1978" spans="1:30" x14ac:dyDescent="0.2">
      <c r="A1978" s="78" t="s">
        <v>111</v>
      </c>
      <c r="B1978" s="79" t="s">
        <v>112</v>
      </c>
      <c r="C1978" s="80"/>
      <c r="D1978" s="80"/>
      <c r="E1978" s="80"/>
      <c r="F1978" s="80"/>
      <c r="H1978" s="81" t="s">
        <v>1451</v>
      </c>
      <c r="I1978" s="82"/>
      <c r="J1978" s="82"/>
      <c r="L1978" s="83" t="s">
        <v>796</v>
      </c>
      <c r="M1978" s="84"/>
      <c r="N1978" s="84"/>
      <c r="R1978" s="85" t="s">
        <v>797</v>
      </c>
    </row>
    <row r="1979" spans="1:30" x14ac:dyDescent="0.2">
      <c r="B1979" s="68" t="s">
        <v>116</v>
      </c>
      <c r="C1979" s="68" t="s">
        <v>117</v>
      </c>
      <c r="D1979" s="68" t="s">
        <v>118</v>
      </c>
      <c r="E1979" s="68" t="s">
        <v>119</v>
      </c>
      <c r="F1979" s="68" t="s">
        <v>120</v>
      </c>
      <c r="H1979" s="86" t="s">
        <v>116</v>
      </c>
      <c r="I1979" s="86" t="s">
        <v>119</v>
      </c>
      <c r="J1979" s="86" t="s">
        <v>120</v>
      </c>
      <c r="L1979" s="87" t="s">
        <v>116</v>
      </c>
      <c r="M1979" s="87" t="s">
        <v>119</v>
      </c>
      <c r="N1979" s="87" t="s">
        <v>120</v>
      </c>
      <c r="R1979" s="88" t="s">
        <v>764</v>
      </c>
    </row>
    <row r="1980" spans="1:30" x14ac:dyDescent="0.2">
      <c r="A1980" s="89" t="s">
        <v>122</v>
      </c>
      <c r="B1980" s="90">
        <v>10.391999999999999</v>
      </c>
      <c r="C1980" s="91">
        <f>$N$1977-$L$1977+1</f>
        <v>30</v>
      </c>
      <c r="D1980" s="92"/>
      <c r="E1980" s="93">
        <v>3.85</v>
      </c>
      <c r="F1980" s="94">
        <f t="shared" ref="F1980:F1987" si="335">ROUND(B1980*E1980,2)</f>
        <v>40.01</v>
      </c>
      <c r="H1980" s="121"/>
      <c r="I1980" s="121"/>
      <c r="J1980" s="121"/>
      <c r="L1980" s="119"/>
      <c r="M1980" s="119"/>
      <c r="N1980" s="119"/>
      <c r="R1980" s="101" t="s">
        <v>798</v>
      </c>
    </row>
    <row r="1981" spans="1:30" x14ac:dyDescent="0.2">
      <c r="A1981" s="89" t="s">
        <v>124</v>
      </c>
      <c r="B1981" s="90">
        <v>10.391999999999999</v>
      </c>
      <c r="C1981" s="91">
        <f>$N$1977-$L$1977+1</f>
        <v>30</v>
      </c>
      <c r="D1981" s="92"/>
      <c r="E1981" s="93">
        <v>1.33</v>
      </c>
      <c r="F1981" s="94">
        <f t="shared" si="335"/>
        <v>13.82</v>
      </c>
      <c r="H1981" s="121"/>
      <c r="I1981" s="121"/>
      <c r="J1981" s="121"/>
      <c r="L1981" s="119"/>
      <c r="M1981" s="119"/>
      <c r="N1981" s="119"/>
    </row>
    <row r="1982" spans="1:30" x14ac:dyDescent="0.2">
      <c r="A1982" s="89" t="s">
        <v>614</v>
      </c>
      <c r="B1982" s="90">
        <f>IF($P$1982&lt;&gt;"",ROUND(AA1982*(($AB$1982/(1-$P$1982))-53.8306)/4.9645,2),IF('Resumen 2.0TD'!$D$3="OPTIMIZAR",AA1982,AA1982))</f>
        <v>14.103</v>
      </c>
      <c r="C1982" s="103"/>
      <c r="D1982" s="92"/>
      <c r="E1982" s="93">
        <v>0.13788</v>
      </c>
      <c r="F1982" s="94">
        <f t="shared" si="335"/>
        <v>1.94</v>
      </c>
      <c r="H1982" s="121"/>
      <c r="I1982" s="121"/>
      <c r="J1982" s="121"/>
      <c r="L1982" s="119"/>
      <c r="M1982" s="119"/>
      <c r="N1982" s="119"/>
      <c r="O1982" s="104" t="s">
        <v>615</v>
      </c>
      <c r="P1982" s="67"/>
      <c r="AA1982">
        <v>14.103</v>
      </c>
      <c r="AB1982">
        <f>B1980*D1980+B1981*D1981+AA1982*D1982+AA1983*D1983+AA1984*D1984</f>
        <v>0</v>
      </c>
    </row>
    <row r="1983" spans="1:30" x14ac:dyDescent="0.2">
      <c r="A1983" s="89" t="s">
        <v>617</v>
      </c>
      <c r="B1983" s="90">
        <f>IF($P$1982&lt;&gt;"",ROUND(AA1983*(($AB$1982/(1-$P$1982))-53.8306)/4.9645,2),IF('Resumen 2.0TD'!$D$3="OPTIMIZAR",AA1983,AA1983))</f>
        <v>14.029</v>
      </c>
      <c r="C1983" s="103"/>
      <c r="D1983" s="92"/>
      <c r="E1983" s="93">
        <v>0.13788</v>
      </c>
      <c r="F1983" s="94">
        <f t="shared" si="335"/>
        <v>1.93</v>
      </c>
      <c r="H1983" s="121"/>
      <c r="I1983" s="121"/>
      <c r="J1983" s="121"/>
      <c r="L1983" s="119"/>
      <c r="M1983" s="119"/>
      <c r="N1983" s="119"/>
      <c r="O1983" s="105" t="s">
        <v>618</v>
      </c>
      <c r="R1983" s="102" t="s">
        <v>619</v>
      </c>
      <c r="AA1983">
        <v>14.029</v>
      </c>
    </row>
    <row r="1984" spans="1:30" x14ac:dyDescent="0.2">
      <c r="A1984" s="89" t="s">
        <v>620</v>
      </c>
      <c r="B1984" s="90">
        <f>IF($P$1982&lt;&gt;"",ROUND(AA1984*(($AB$1982/(1-$P$1982))-53.8306)/4.9645,2),IF('Resumen 2.0TD'!$D$3="OPTIMIZAR",AA1984,AA1984))</f>
        <v>7.8739999999999997</v>
      </c>
      <c r="C1984" s="103"/>
      <c r="D1984" s="92"/>
      <c r="E1984" s="93">
        <v>0.13788</v>
      </c>
      <c r="F1984" s="94">
        <f t="shared" si="335"/>
        <v>1.0900000000000001</v>
      </c>
      <c r="H1984" s="121"/>
      <c r="I1984" s="121"/>
      <c r="J1984" s="121"/>
      <c r="L1984" s="119"/>
      <c r="M1984" s="119"/>
      <c r="N1984" s="119"/>
      <c r="O1984" s="105" t="s">
        <v>621</v>
      </c>
      <c r="AA1984">
        <v>7.8739999999999997</v>
      </c>
    </row>
    <row r="1985" spans="1:30" x14ac:dyDescent="0.2">
      <c r="A1985" s="89" t="s">
        <v>139</v>
      </c>
      <c r="B1985" s="90">
        <v>1</v>
      </c>
      <c r="C1985" s="91">
        <f>$N$1977-$L$1977+1</f>
        <v>30</v>
      </c>
      <c r="D1985" s="92"/>
      <c r="E1985" s="93">
        <v>3</v>
      </c>
      <c r="F1985" s="94">
        <f t="shared" si="335"/>
        <v>3</v>
      </c>
      <c r="H1985" s="121"/>
      <c r="I1985" s="121"/>
      <c r="J1985" s="121"/>
      <c r="L1985" s="119"/>
      <c r="M1985" s="119"/>
      <c r="N1985" s="119"/>
    </row>
    <row r="1986" spans="1:30" x14ac:dyDescent="0.2">
      <c r="A1986" s="89" t="s">
        <v>140</v>
      </c>
      <c r="B1986" s="90">
        <v>30</v>
      </c>
      <c r="C1986" s="91">
        <f>$N$1977-$L$1977+1</f>
        <v>30</v>
      </c>
      <c r="D1986" s="92"/>
      <c r="E1986" s="93">
        <v>1.274E-2</v>
      </c>
      <c r="F1986" s="94">
        <f t="shared" si="335"/>
        <v>0.38</v>
      </c>
      <c r="H1986" s="121"/>
      <c r="I1986" s="121"/>
      <c r="J1986" s="121"/>
      <c r="L1986" s="119"/>
      <c r="M1986" s="119"/>
      <c r="N1986" s="119"/>
    </row>
    <row r="1987" spans="1:30" x14ac:dyDescent="0.2">
      <c r="A1987" s="89" t="s">
        <v>141</v>
      </c>
      <c r="B1987" s="90">
        <v>3.01</v>
      </c>
      <c r="C1987" s="103"/>
      <c r="D1987" s="92"/>
      <c r="E1987" s="93">
        <v>1</v>
      </c>
      <c r="F1987" s="94">
        <f t="shared" si="335"/>
        <v>3.01</v>
      </c>
      <c r="H1987" s="121"/>
      <c r="I1987" s="121"/>
      <c r="J1987" s="121"/>
      <c r="L1987" s="119"/>
      <c r="M1987" s="119"/>
      <c r="N1987" s="119"/>
    </row>
    <row r="1988" spans="1:30" x14ac:dyDescent="0.2">
      <c r="A1988" s="106" t="s">
        <v>142</v>
      </c>
      <c r="F1988" s="107">
        <f>ROUND((SUM(F1980:F1987)-F1987)*1.1+F1987,2)</f>
        <v>71.400000000000006</v>
      </c>
      <c r="J1988" s="123"/>
      <c r="N1988" s="120"/>
    </row>
    <row r="1989" spans="1:30" x14ac:dyDescent="0.2">
      <c r="A1989" s="78" t="s">
        <v>143</v>
      </c>
      <c r="B1989" s="110">
        <f>IF((F1984+F1983+F1982+F1980+F1981)=0,"",((F1984+F1983+F1982+F1980+F1981)-$AB$1982)/(F1984+F1983+F1982+F1980+F1981))</f>
        <v>1</v>
      </c>
      <c r="D1989" s="139" t="str">
        <f>IF(B1989="","SIN PC",IF(B1989&gt;=0.3,"APROBAR",IF(B1989&gt;=0.2,"REVISAR","RECHAZAR")))</f>
        <v>APROBAR</v>
      </c>
      <c r="E1989" s="139"/>
      <c r="F1989" s="139"/>
      <c r="AD1989">
        <f>SUM(F1982:F1984)-4.9645</f>
        <v>-4.5000000000001705E-3</v>
      </c>
    </row>
    <row r="1991" spans="1:30" x14ac:dyDescent="0.2">
      <c r="A1991" s="137" t="s">
        <v>1456</v>
      </c>
      <c r="B1991" s="137"/>
      <c r="C1991" s="137"/>
      <c r="D1991" s="137"/>
      <c r="E1991" s="137"/>
      <c r="F1991" s="137"/>
      <c r="H1991" s="137" t="s">
        <v>1457</v>
      </c>
      <c r="I1991" s="137"/>
      <c r="J1991" s="137"/>
      <c r="K1991" s="137"/>
      <c r="L1991" s="76">
        <v>46113</v>
      </c>
      <c r="M1991" s="77" t="s">
        <v>607</v>
      </c>
      <c r="N1991" s="76">
        <v>46142</v>
      </c>
      <c r="R1991" s="138" t="s">
        <v>110</v>
      </c>
      <c r="S1991" s="138"/>
      <c r="T1991" s="138"/>
      <c r="U1991" s="138"/>
      <c r="V1991" s="138"/>
    </row>
    <row r="1992" spans="1:30" x14ac:dyDescent="0.2">
      <c r="A1992" s="78" t="s">
        <v>111</v>
      </c>
      <c r="B1992" s="79" t="s">
        <v>112</v>
      </c>
      <c r="C1992" s="80"/>
      <c r="D1992" s="80"/>
      <c r="E1992" s="80"/>
      <c r="F1992" s="80"/>
      <c r="H1992" s="81" t="s">
        <v>1458</v>
      </c>
      <c r="I1992" s="82"/>
      <c r="J1992" s="82"/>
      <c r="L1992" s="83" t="s">
        <v>796</v>
      </c>
      <c r="M1992" s="84"/>
      <c r="N1992" s="84"/>
      <c r="R1992" s="85" t="s">
        <v>797</v>
      </c>
    </row>
    <row r="1993" spans="1:30" x14ac:dyDescent="0.2">
      <c r="B1993" s="68" t="s">
        <v>116</v>
      </c>
      <c r="C1993" s="68" t="s">
        <v>117</v>
      </c>
      <c r="D1993" s="68" t="s">
        <v>118</v>
      </c>
      <c r="E1993" s="68" t="s">
        <v>119</v>
      </c>
      <c r="F1993" s="68" t="s">
        <v>120</v>
      </c>
      <c r="H1993" s="86" t="s">
        <v>116</v>
      </c>
      <c r="I1993" s="86" t="s">
        <v>119</v>
      </c>
      <c r="J1993" s="86" t="s">
        <v>120</v>
      </c>
      <c r="L1993" s="87" t="s">
        <v>116</v>
      </c>
      <c r="M1993" s="87" t="s">
        <v>119</v>
      </c>
      <c r="N1993" s="87" t="s">
        <v>120</v>
      </c>
      <c r="R1993" s="88" t="s">
        <v>764</v>
      </c>
    </row>
    <row r="1994" spans="1:30" x14ac:dyDescent="0.2">
      <c r="A1994" s="89" t="s">
        <v>122</v>
      </c>
      <c r="B1994" s="90">
        <v>5.75</v>
      </c>
      <c r="C1994" s="91">
        <f>$N$1991-$L$1991+1</f>
        <v>30</v>
      </c>
      <c r="D1994" s="92">
        <v>3.68919</v>
      </c>
      <c r="E1994" s="93">
        <v>3.85</v>
      </c>
      <c r="F1994" s="94">
        <f t="shared" ref="F1994:F2001" si="336">ROUND(B1994*E1994,2)</f>
        <v>22.14</v>
      </c>
      <c r="H1994" s="95">
        <v>5.75</v>
      </c>
      <c r="I1994" s="96">
        <v>3.85</v>
      </c>
      <c r="J1994" s="97">
        <f t="shared" ref="J1994:J2001" si="337">ROUND(H1994*I1994,2)</f>
        <v>22.14</v>
      </c>
      <c r="L1994" s="119"/>
      <c r="M1994" s="119"/>
      <c r="N1994" s="119"/>
      <c r="R1994" s="101" t="s">
        <v>798</v>
      </c>
    </row>
    <row r="1995" spans="1:30" x14ac:dyDescent="0.2">
      <c r="A1995" s="89" t="s">
        <v>124</v>
      </c>
      <c r="B1995" s="90">
        <v>5.75</v>
      </c>
      <c r="C1995" s="91">
        <f>$N$1991-$L$1991+1</f>
        <v>30</v>
      </c>
      <c r="D1995" s="92">
        <v>1.31928</v>
      </c>
      <c r="E1995" s="93">
        <v>1.33</v>
      </c>
      <c r="F1995" s="94">
        <f t="shared" si="336"/>
        <v>7.65</v>
      </c>
      <c r="H1995" s="95">
        <v>5.75</v>
      </c>
      <c r="I1995" s="96">
        <v>1.33</v>
      </c>
      <c r="J1995" s="97">
        <f t="shared" si="337"/>
        <v>7.65</v>
      </c>
      <c r="L1995" s="119"/>
      <c r="M1995" s="119"/>
      <c r="N1995" s="119"/>
    </row>
    <row r="1996" spans="1:30" x14ac:dyDescent="0.2">
      <c r="A1996" s="89" t="s">
        <v>614</v>
      </c>
      <c r="B1996" s="90">
        <f>IF($P$1996&lt;&gt;"",ROUND(AA1996*(($AB$1996/(1-$P$1996))-29.785)/22.7862,2),IF('Resumen 2.0TD'!$D$3="OPTIMIZAR",AA1996,AA1996))</f>
        <v>43.383000000000003</v>
      </c>
      <c r="C1996" s="103"/>
      <c r="D1996" s="92">
        <v>0.11117100000000001</v>
      </c>
      <c r="E1996" s="93">
        <v>0.13788</v>
      </c>
      <c r="F1996" s="94">
        <f t="shared" si="336"/>
        <v>5.98</v>
      </c>
      <c r="H1996" s="95">
        <v>64.402000000000001</v>
      </c>
      <c r="I1996" s="96">
        <v>0.13788</v>
      </c>
      <c r="J1996" s="97">
        <f t="shared" si="337"/>
        <v>8.8800000000000008</v>
      </c>
      <c r="L1996" s="119"/>
      <c r="M1996" s="119"/>
      <c r="N1996" s="119"/>
      <c r="O1996" s="104" t="s">
        <v>615</v>
      </c>
      <c r="P1996" s="67"/>
      <c r="AA1996">
        <v>43.383000000000003</v>
      </c>
      <c r="AB1996">
        <f>B1994*D1994+B1995*D1995+AA1996*D1996+AA1997*D1997+AA1998*D1998</f>
        <v>47.170933131000005</v>
      </c>
    </row>
    <row r="1997" spans="1:30" x14ac:dyDescent="0.2">
      <c r="A1997" s="89" t="s">
        <v>617</v>
      </c>
      <c r="B1997" s="90">
        <f>IF($P$1996&lt;&gt;"",ROUND(AA1997*(($AB$1996/(1-$P$1996))-29.785)/22.7862,2),IF('Resumen 2.0TD'!$D$3="OPTIMIZAR",AA1997,AA1997))</f>
        <v>51.332999999999998</v>
      </c>
      <c r="C1997" s="103"/>
      <c r="D1997" s="92">
        <v>0.11117100000000001</v>
      </c>
      <c r="E1997" s="93">
        <v>0.13788</v>
      </c>
      <c r="F1997" s="94">
        <f t="shared" si="336"/>
        <v>7.08</v>
      </c>
      <c r="H1997" s="95">
        <v>63.161000000000001</v>
      </c>
      <c r="I1997" s="96">
        <v>0.13788</v>
      </c>
      <c r="J1997" s="97">
        <f t="shared" si="337"/>
        <v>8.7100000000000009</v>
      </c>
      <c r="L1997" s="119"/>
      <c r="M1997" s="119"/>
      <c r="N1997" s="119"/>
      <c r="O1997" s="105" t="s">
        <v>618</v>
      </c>
      <c r="R1997" s="102" t="s">
        <v>619</v>
      </c>
      <c r="AA1997">
        <v>51.332999999999998</v>
      </c>
    </row>
    <row r="1998" spans="1:30" x14ac:dyDescent="0.2">
      <c r="A1998" s="89" t="s">
        <v>620</v>
      </c>
      <c r="B1998" s="90">
        <f>IF($P$1996&lt;&gt;"",ROUND(AA1998*(($AB$1996/(1-$P$1996))-29.785)/22.7862,2),IF('Resumen 2.0TD'!$D$3="OPTIMIZAR",AA1998,AA1998))</f>
        <v>70.545000000000002</v>
      </c>
      <c r="C1998" s="103"/>
      <c r="D1998" s="92">
        <v>0.11117100000000001</v>
      </c>
      <c r="E1998" s="93">
        <v>0.13788</v>
      </c>
      <c r="F1998" s="94">
        <f t="shared" si="336"/>
        <v>9.73</v>
      </c>
      <c r="H1998" s="95">
        <v>90.626000000000005</v>
      </c>
      <c r="I1998" s="96">
        <v>0.13788</v>
      </c>
      <c r="J1998" s="97">
        <f t="shared" si="337"/>
        <v>12.5</v>
      </c>
      <c r="L1998" s="119"/>
      <c r="M1998" s="119"/>
      <c r="N1998" s="119"/>
      <c r="O1998" s="105" t="s">
        <v>621</v>
      </c>
      <c r="AA1998">
        <v>70.545000000000002</v>
      </c>
    </row>
    <row r="1999" spans="1:30" x14ac:dyDescent="0.2">
      <c r="A1999" s="89" t="s">
        <v>139</v>
      </c>
      <c r="B1999" s="90">
        <v>1</v>
      </c>
      <c r="C1999" s="91">
        <f>$N$1991-$L$1991+1</f>
        <v>30</v>
      </c>
      <c r="D1999" s="92">
        <v>0.79890000000000005</v>
      </c>
      <c r="E1999" s="93">
        <v>3</v>
      </c>
      <c r="F1999" s="94">
        <f t="shared" si="336"/>
        <v>3</v>
      </c>
      <c r="H1999" s="95">
        <v>1</v>
      </c>
      <c r="I1999" s="96">
        <v>3</v>
      </c>
      <c r="J1999" s="97">
        <f t="shared" si="337"/>
        <v>3</v>
      </c>
      <c r="L1999" s="119"/>
      <c r="M1999" s="119"/>
      <c r="N1999" s="119"/>
    </row>
    <row r="2000" spans="1:30" x14ac:dyDescent="0.2">
      <c r="A2000" s="89" t="s">
        <v>140</v>
      </c>
      <c r="B2000" s="90">
        <v>30</v>
      </c>
      <c r="C2000" s="91">
        <f>$N$1991-$L$1991+1</f>
        <v>30</v>
      </c>
      <c r="D2000" s="92">
        <v>0.5736</v>
      </c>
      <c r="E2000" s="93">
        <v>1.274E-2</v>
      </c>
      <c r="F2000" s="94">
        <f t="shared" si="336"/>
        <v>0.38</v>
      </c>
      <c r="H2000" s="95">
        <v>30</v>
      </c>
      <c r="I2000" s="96">
        <v>1.274E-2</v>
      </c>
      <c r="J2000" s="97">
        <f t="shared" si="337"/>
        <v>0.38</v>
      </c>
      <c r="L2000" s="119"/>
      <c r="M2000" s="119"/>
      <c r="N2000" s="119"/>
    </row>
    <row r="2001" spans="1:30" x14ac:dyDescent="0.2">
      <c r="A2001" s="89" t="s">
        <v>141</v>
      </c>
      <c r="B2001" s="90">
        <v>2.7</v>
      </c>
      <c r="C2001" s="103"/>
      <c r="D2001" s="92">
        <v>2.6710000000000001E-2</v>
      </c>
      <c r="E2001" s="93">
        <v>1</v>
      </c>
      <c r="F2001" s="94">
        <f t="shared" si="336"/>
        <v>2.7</v>
      </c>
      <c r="H2001" s="95">
        <v>3.07</v>
      </c>
      <c r="I2001" s="96">
        <v>1</v>
      </c>
      <c r="J2001" s="97">
        <f t="shared" si="337"/>
        <v>3.07</v>
      </c>
      <c r="L2001" s="119"/>
      <c r="M2001" s="119"/>
      <c r="N2001" s="119"/>
    </row>
    <row r="2002" spans="1:30" x14ac:dyDescent="0.2">
      <c r="A2002" s="106" t="s">
        <v>142</v>
      </c>
      <c r="F2002" s="107">
        <f>ROUND((SUM(F1994:F2001)-F2001)*1.1+F2001,2)</f>
        <v>64.260000000000005</v>
      </c>
      <c r="J2002" s="108">
        <f>ROUND(SUM(J1994:J2001),2)</f>
        <v>66.33</v>
      </c>
      <c r="N2002" s="120"/>
    </row>
    <row r="2003" spans="1:30" x14ac:dyDescent="0.2">
      <c r="A2003" s="78" t="s">
        <v>143</v>
      </c>
      <c r="B2003" s="110">
        <f>IF((F1998+F1997+F1996+F1994+F1995)=0,"",((F1998+F1997+F1996+F1994+F1995)-$AB$1996)/(F1998+F1997+F1996+F1994+F1995))</f>
        <v>0.1028730861354127</v>
      </c>
      <c r="D2003" s="139" t="str">
        <f>IF(B2003="","SIN PC",IF(B2003&gt;=0.3,"APROBAR",IF(B2003&gt;=0.2,"REVISAR","RECHAZAR")))</f>
        <v>RECHAZAR</v>
      </c>
      <c r="E2003" s="139"/>
      <c r="F2003" s="139"/>
      <c r="AD2003">
        <f>SUM(F1996:F1998)-22.7862</f>
        <v>3.7999999999982492E-3</v>
      </c>
    </row>
    <row r="2005" spans="1:30" x14ac:dyDescent="0.2">
      <c r="A2005" s="137" t="s">
        <v>1459</v>
      </c>
      <c r="B2005" s="137"/>
      <c r="C2005" s="137"/>
      <c r="D2005" s="137"/>
      <c r="E2005" s="137"/>
      <c r="F2005" s="137"/>
      <c r="H2005" s="137" t="s">
        <v>1460</v>
      </c>
      <c r="I2005" s="137"/>
      <c r="J2005" s="137"/>
      <c r="K2005" s="137"/>
      <c r="L2005" s="76">
        <v>46113</v>
      </c>
      <c r="M2005" s="77" t="s">
        <v>607</v>
      </c>
      <c r="N2005" s="76">
        <v>46142</v>
      </c>
      <c r="R2005" s="138" t="s">
        <v>110</v>
      </c>
      <c r="S2005" s="138"/>
      <c r="T2005" s="138"/>
      <c r="U2005" s="138"/>
      <c r="V2005" s="138"/>
    </row>
    <row r="2006" spans="1:30" x14ac:dyDescent="0.2">
      <c r="A2006" s="78" t="s">
        <v>111</v>
      </c>
      <c r="B2006" s="79" t="s">
        <v>112</v>
      </c>
      <c r="C2006" s="80"/>
      <c r="D2006" s="80"/>
      <c r="E2006" s="80"/>
      <c r="F2006" s="80"/>
      <c r="H2006" s="81" t="s">
        <v>1461</v>
      </c>
      <c r="I2006" s="82"/>
      <c r="J2006" s="82"/>
      <c r="L2006" s="83" t="s">
        <v>796</v>
      </c>
      <c r="M2006" s="84"/>
      <c r="N2006" s="84"/>
      <c r="R2006" s="85" t="s">
        <v>797</v>
      </c>
    </row>
    <row r="2007" spans="1:30" x14ac:dyDescent="0.2">
      <c r="B2007" s="68" t="s">
        <v>116</v>
      </c>
      <c r="C2007" s="68" t="s">
        <v>117</v>
      </c>
      <c r="D2007" s="68" t="s">
        <v>118</v>
      </c>
      <c r="E2007" s="68" t="s">
        <v>119</v>
      </c>
      <c r="F2007" s="68" t="s">
        <v>120</v>
      </c>
      <c r="H2007" s="86" t="s">
        <v>116</v>
      </c>
      <c r="I2007" s="86" t="s">
        <v>119</v>
      </c>
      <c r="J2007" s="86" t="s">
        <v>120</v>
      </c>
      <c r="L2007" s="87" t="s">
        <v>116</v>
      </c>
      <c r="M2007" s="87" t="s">
        <v>119</v>
      </c>
      <c r="N2007" s="87" t="s">
        <v>120</v>
      </c>
      <c r="R2007" s="88" t="s">
        <v>764</v>
      </c>
    </row>
    <row r="2008" spans="1:30" x14ac:dyDescent="0.2">
      <c r="A2008" s="89" t="s">
        <v>122</v>
      </c>
      <c r="B2008" s="90">
        <v>10.1</v>
      </c>
      <c r="C2008" s="91">
        <f>$N$2005-$L$2005+1</f>
        <v>30</v>
      </c>
      <c r="D2008" s="92">
        <v>3.68919</v>
      </c>
      <c r="E2008" s="93">
        <v>3.85</v>
      </c>
      <c r="F2008" s="94">
        <f t="shared" ref="F2008:F2015" si="338">ROUND(B2008*E2008,2)</f>
        <v>38.89</v>
      </c>
      <c r="H2008" s="95">
        <v>10.1</v>
      </c>
      <c r="I2008" s="96">
        <v>3.85</v>
      </c>
      <c r="J2008" s="97">
        <f t="shared" ref="J2008:J2015" si="339">ROUND(H2008*I2008,2)</f>
        <v>38.89</v>
      </c>
      <c r="L2008" s="119"/>
      <c r="M2008" s="119"/>
      <c r="N2008" s="119"/>
      <c r="R2008" s="101" t="s">
        <v>798</v>
      </c>
    </row>
    <row r="2009" spans="1:30" x14ac:dyDescent="0.2">
      <c r="A2009" s="89" t="s">
        <v>124</v>
      </c>
      <c r="B2009" s="90">
        <v>10.1</v>
      </c>
      <c r="C2009" s="91">
        <f>$N$2005-$L$2005+1</f>
        <v>30</v>
      </c>
      <c r="D2009" s="92">
        <v>1.31928</v>
      </c>
      <c r="E2009" s="93">
        <v>1.33</v>
      </c>
      <c r="F2009" s="94">
        <f t="shared" si="338"/>
        <v>13.43</v>
      </c>
      <c r="H2009" s="95">
        <v>10.1</v>
      </c>
      <c r="I2009" s="96">
        <v>1.33</v>
      </c>
      <c r="J2009" s="97">
        <f t="shared" si="339"/>
        <v>13.43</v>
      </c>
      <c r="L2009" s="119"/>
      <c r="M2009" s="119"/>
      <c r="N2009" s="119"/>
    </row>
    <row r="2010" spans="1:30" x14ac:dyDescent="0.2">
      <c r="A2010" s="89" t="s">
        <v>614</v>
      </c>
      <c r="B2010" s="90">
        <f>IF($P$2010&lt;&gt;"",ROUND(AA2010*(($AB$2010/(1-$P$2010))-52.318)/44.0054,2),IF('Resumen 2.0TD'!$D$3="OPTIMIZAR",AA2010,AA2010))</f>
        <v>116.628</v>
      </c>
      <c r="C2010" s="103"/>
      <c r="D2010" s="92">
        <v>0.11117100000000001</v>
      </c>
      <c r="E2010" s="93">
        <v>0.13788</v>
      </c>
      <c r="F2010" s="94">
        <f t="shared" si="338"/>
        <v>16.079999999999998</v>
      </c>
      <c r="H2010" s="95">
        <v>55.311999999999998</v>
      </c>
      <c r="I2010" s="96">
        <v>0.13788</v>
      </c>
      <c r="J2010" s="97">
        <f t="shared" si="339"/>
        <v>7.63</v>
      </c>
      <c r="L2010" s="119"/>
      <c r="M2010" s="119"/>
      <c r="N2010" s="119"/>
      <c r="O2010" s="104" t="s">
        <v>615</v>
      </c>
      <c r="P2010" s="67"/>
      <c r="AA2010">
        <v>116.628</v>
      </c>
      <c r="AB2010">
        <f>B2008*D2008+B2009*D2009+AA2010*D2010+AA2011*D2011+AA2012*D2012</f>
        <v>86.066549847000005</v>
      </c>
    </row>
    <row r="2011" spans="1:30" x14ac:dyDescent="0.2">
      <c r="A2011" s="89" t="s">
        <v>617</v>
      </c>
      <c r="B2011" s="90">
        <f>IF($P$2010&lt;&gt;"",ROUND(AA2011*(($AB$2010/(1-$P$2010))-52.318)/44.0054,2),IF('Resumen 2.0TD'!$D$3="OPTIMIZAR",AA2011,AA2011))</f>
        <v>65.738</v>
      </c>
      <c r="C2011" s="103"/>
      <c r="D2011" s="92">
        <v>0.11117100000000001</v>
      </c>
      <c r="E2011" s="93">
        <v>0.13788</v>
      </c>
      <c r="F2011" s="94">
        <f t="shared" si="338"/>
        <v>9.06</v>
      </c>
      <c r="H2011" s="95">
        <v>37.686</v>
      </c>
      <c r="I2011" s="96">
        <v>0.13788</v>
      </c>
      <c r="J2011" s="97">
        <f t="shared" si="339"/>
        <v>5.2</v>
      </c>
      <c r="L2011" s="119"/>
      <c r="M2011" s="119"/>
      <c r="N2011" s="119"/>
      <c r="O2011" s="105" t="s">
        <v>618</v>
      </c>
      <c r="R2011" s="102" t="s">
        <v>619</v>
      </c>
      <c r="AA2011">
        <v>65.738</v>
      </c>
    </row>
    <row r="2012" spans="1:30" x14ac:dyDescent="0.2">
      <c r="A2012" s="89" t="s">
        <v>620</v>
      </c>
      <c r="B2012" s="90">
        <f>IF($P$2010&lt;&gt;"",ROUND(AA2012*(($AB$2010/(1-$P$2010))-52.318)/44.0054,2),IF('Resumen 2.0TD'!$D$3="OPTIMIZAR",AA2012,AA2012))</f>
        <v>136.791</v>
      </c>
      <c r="C2012" s="103"/>
      <c r="D2012" s="92">
        <v>0.11117100000000001</v>
      </c>
      <c r="E2012" s="93">
        <v>0.13788</v>
      </c>
      <c r="F2012" s="94">
        <f t="shared" si="338"/>
        <v>18.86</v>
      </c>
      <c r="H2012" s="95">
        <v>41.32</v>
      </c>
      <c r="I2012" s="96">
        <v>0.13788</v>
      </c>
      <c r="J2012" s="97">
        <f t="shared" si="339"/>
        <v>5.7</v>
      </c>
      <c r="L2012" s="119"/>
      <c r="M2012" s="119"/>
      <c r="N2012" s="119"/>
      <c r="O2012" s="105" t="s">
        <v>621</v>
      </c>
      <c r="AA2012">
        <v>136.791</v>
      </c>
    </row>
    <row r="2013" spans="1:30" x14ac:dyDescent="0.2">
      <c r="A2013" s="89" t="s">
        <v>139</v>
      </c>
      <c r="B2013" s="90">
        <v>1</v>
      </c>
      <c r="C2013" s="91">
        <f>$N$2005-$L$2005+1</f>
        <v>30</v>
      </c>
      <c r="D2013" s="92">
        <v>1.3413999999999999</v>
      </c>
      <c r="E2013" s="93">
        <v>3</v>
      </c>
      <c r="F2013" s="94">
        <f t="shared" si="338"/>
        <v>3</v>
      </c>
      <c r="H2013" s="95">
        <v>1</v>
      </c>
      <c r="I2013" s="96">
        <v>3</v>
      </c>
      <c r="J2013" s="97">
        <f t="shared" si="339"/>
        <v>3</v>
      </c>
      <c r="L2013" s="119"/>
      <c r="M2013" s="119"/>
      <c r="N2013" s="119"/>
    </row>
    <row r="2014" spans="1:30" x14ac:dyDescent="0.2">
      <c r="A2014" s="89" t="s">
        <v>140</v>
      </c>
      <c r="B2014" s="90">
        <v>30</v>
      </c>
      <c r="C2014" s="91">
        <f>$N$2005-$L$2005+1</f>
        <v>30</v>
      </c>
      <c r="D2014" s="92">
        <v>0.5736</v>
      </c>
      <c r="E2014" s="93">
        <v>1.274E-2</v>
      </c>
      <c r="F2014" s="94">
        <f t="shared" si="338"/>
        <v>0.38</v>
      </c>
      <c r="H2014" s="95">
        <v>30</v>
      </c>
      <c r="I2014" s="96">
        <v>1.274E-2</v>
      </c>
      <c r="J2014" s="97">
        <f t="shared" si="339"/>
        <v>0.38</v>
      </c>
      <c r="L2014" s="119"/>
      <c r="M2014" s="119"/>
      <c r="N2014" s="119"/>
    </row>
    <row r="2015" spans="1:30" x14ac:dyDescent="0.2">
      <c r="A2015" s="89" t="s">
        <v>141</v>
      </c>
      <c r="B2015" s="90">
        <v>4.93</v>
      </c>
      <c r="C2015" s="103"/>
      <c r="D2015" s="92">
        <v>2.6710000000000001E-2</v>
      </c>
      <c r="E2015" s="93">
        <v>1</v>
      </c>
      <c r="F2015" s="94">
        <f t="shared" si="338"/>
        <v>4.93</v>
      </c>
      <c r="H2015" s="95">
        <v>3.63</v>
      </c>
      <c r="I2015" s="96">
        <v>1</v>
      </c>
      <c r="J2015" s="97">
        <f t="shared" si="339"/>
        <v>3.63</v>
      </c>
      <c r="L2015" s="119"/>
      <c r="M2015" s="119"/>
      <c r="N2015" s="119"/>
    </row>
    <row r="2016" spans="1:30" x14ac:dyDescent="0.2">
      <c r="A2016" s="106" t="s">
        <v>142</v>
      </c>
      <c r="F2016" s="107">
        <f>ROUND((SUM(F2008:F2015)-F2015)*1.1+F2015,2)</f>
        <v>114.6</v>
      </c>
      <c r="J2016" s="108">
        <f>ROUND(SUM(J2008:J2015),2)</f>
        <v>77.86</v>
      </c>
      <c r="N2016" s="120"/>
    </row>
    <row r="2017" spans="1:30" x14ac:dyDescent="0.2">
      <c r="A2017" s="78" t="s">
        <v>143</v>
      </c>
      <c r="B2017" s="110">
        <f>IF((F2012+F2011+F2010+F2008+F2009)=0,"",((F2012+F2011+F2010+F2008+F2009)-$AB$2010)/(F2012+F2011+F2010+F2008+F2009))</f>
        <v>0.10645193265157796</v>
      </c>
      <c r="D2017" s="139" t="str">
        <f>IF(B2017="","SIN PC",IF(B2017&gt;=0.3,"APROBAR",IF(B2017&gt;=0.2,"REVISAR","RECHAZAR")))</f>
        <v>RECHAZAR</v>
      </c>
      <c r="E2017" s="139"/>
      <c r="F2017" s="139"/>
      <c r="AD2017">
        <f>SUM(F2010:F2012)-44.0054</f>
        <v>-5.4000000000016257E-3</v>
      </c>
    </row>
    <row r="2019" spans="1:30" x14ac:dyDescent="0.2">
      <c r="A2019" s="137" t="s">
        <v>1462</v>
      </c>
      <c r="B2019" s="137"/>
      <c r="C2019" s="137"/>
      <c r="D2019" s="137"/>
      <c r="E2019" s="137"/>
      <c r="F2019" s="137"/>
      <c r="H2019" s="137" t="s">
        <v>1463</v>
      </c>
      <c r="I2019" s="137"/>
      <c r="J2019" s="137"/>
      <c r="K2019" s="137"/>
      <c r="L2019" s="76">
        <v>46113</v>
      </c>
      <c r="M2019" s="77" t="s">
        <v>607</v>
      </c>
      <c r="N2019" s="76">
        <v>46142</v>
      </c>
      <c r="R2019" s="138" t="s">
        <v>110</v>
      </c>
      <c r="S2019" s="138"/>
      <c r="T2019" s="138"/>
      <c r="U2019" s="138"/>
      <c r="V2019" s="138"/>
    </row>
    <row r="2020" spans="1:30" x14ac:dyDescent="0.2">
      <c r="A2020" s="78" t="s">
        <v>111</v>
      </c>
      <c r="B2020" s="79" t="s">
        <v>112</v>
      </c>
      <c r="C2020" s="80"/>
      <c r="D2020" s="80"/>
      <c r="E2020" s="80"/>
      <c r="F2020" s="80"/>
      <c r="H2020" s="81" t="s">
        <v>1451</v>
      </c>
      <c r="I2020" s="82"/>
      <c r="J2020" s="82"/>
      <c r="L2020" s="83" t="s">
        <v>796</v>
      </c>
      <c r="M2020" s="84"/>
      <c r="N2020" s="84"/>
      <c r="R2020" s="85" t="s">
        <v>797</v>
      </c>
    </row>
    <row r="2021" spans="1:30" x14ac:dyDescent="0.2">
      <c r="B2021" s="68" t="s">
        <v>116</v>
      </c>
      <c r="C2021" s="68" t="s">
        <v>117</v>
      </c>
      <c r="D2021" s="68" t="s">
        <v>118</v>
      </c>
      <c r="E2021" s="68" t="s">
        <v>119</v>
      </c>
      <c r="F2021" s="68" t="s">
        <v>120</v>
      </c>
      <c r="H2021" s="86" t="s">
        <v>116</v>
      </c>
      <c r="I2021" s="86" t="s">
        <v>119</v>
      </c>
      <c r="J2021" s="86" t="s">
        <v>120</v>
      </c>
      <c r="L2021" s="87" t="s">
        <v>116</v>
      </c>
      <c r="M2021" s="87" t="s">
        <v>119</v>
      </c>
      <c r="N2021" s="87" t="s">
        <v>120</v>
      </c>
      <c r="R2021" s="88" t="s">
        <v>764</v>
      </c>
    </row>
    <row r="2022" spans="1:30" x14ac:dyDescent="0.2">
      <c r="A2022" s="89" t="s">
        <v>122</v>
      </c>
      <c r="B2022" s="90">
        <v>3.45</v>
      </c>
      <c r="C2022" s="91">
        <f>$N$2019-$L$2019+1</f>
        <v>30</v>
      </c>
      <c r="D2022" s="92">
        <v>3.68919</v>
      </c>
      <c r="E2022" s="93">
        <v>3.85</v>
      </c>
      <c r="F2022" s="94">
        <f t="shared" ref="F2022:F2029" si="340">ROUND(B2022*E2022,2)</f>
        <v>13.28</v>
      </c>
      <c r="H2022" s="121"/>
      <c r="I2022" s="121"/>
      <c r="J2022" s="121"/>
      <c r="L2022" s="119"/>
      <c r="M2022" s="119"/>
      <c r="N2022" s="119"/>
      <c r="R2022" s="101" t="s">
        <v>798</v>
      </c>
    </row>
    <row r="2023" spans="1:30" x14ac:dyDescent="0.2">
      <c r="A2023" s="89" t="s">
        <v>124</v>
      </c>
      <c r="B2023" s="90">
        <v>3.45</v>
      </c>
      <c r="C2023" s="91">
        <f>$N$2019-$L$2019+1</f>
        <v>30</v>
      </c>
      <c r="D2023" s="92">
        <v>1.31928</v>
      </c>
      <c r="E2023" s="93">
        <v>1.33</v>
      </c>
      <c r="F2023" s="94">
        <f t="shared" si="340"/>
        <v>4.59</v>
      </c>
      <c r="H2023" s="121"/>
      <c r="I2023" s="121"/>
      <c r="J2023" s="121"/>
      <c r="L2023" s="119"/>
      <c r="M2023" s="119"/>
      <c r="N2023" s="119"/>
    </row>
    <row r="2024" spans="1:30" x14ac:dyDescent="0.2">
      <c r="A2024" s="89" t="s">
        <v>614</v>
      </c>
      <c r="B2024" s="90">
        <f>IF($P$2024&lt;&gt;"",ROUND(AA2024*(($AB$2024/(1-$P$2024))-17.871)/3.689,2),IF('Resumen 2.0TD'!$D$3="OPTIMIZAR",AA2024,AA2024))</f>
        <v>8.1300000000000008</v>
      </c>
      <c r="C2024" s="103"/>
      <c r="D2024" s="92">
        <v>0.11117100000000001</v>
      </c>
      <c r="E2024" s="93">
        <v>0.13788</v>
      </c>
      <c r="F2024" s="94">
        <f t="shared" si="340"/>
        <v>1.1200000000000001</v>
      </c>
      <c r="H2024" s="121"/>
      <c r="I2024" s="121"/>
      <c r="J2024" s="121"/>
      <c r="L2024" s="119"/>
      <c r="M2024" s="119"/>
      <c r="N2024" s="119"/>
      <c r="O2024" s="104" t="s">
        <v>615</v>
      </c>
      <c r="P2024" s="67"/>
      <c r="AA2024">
        <v>8.1300000000000008</v>
      </c>
      <c r="AB2024">
        <f>B2022*D2022+B2023*D2023+AA2024*D2024+AA2025*D2025+AA2026*D2026</f>
        <v>20.253601605000004</v>
      </c>
    </row>
    <row r="2025" spans="1:30" x14ac:dyDescent="0.2">
      <c r="A2025" s="89" t="s">
        <v>617</v>
      </c>
      <c r="B2025" s="90">
        <f>IF($P$2024&lt;&gt;"",ROUND(AA2025*(($AB$2024/(1-$P$2024))-17.871)/3.689,2),IF('Resumen 2.0TD'!$D$3="OPTIMIZAR",AA2025,AA2025))</f>
        <v>7.2489999999999997</v>
      </c>
      <c r="C2025" s="103"/>
      <c r="D2025" s="92">
        <v>0.11117100000000001</v>
      </c>
      <c r="E2025" s="93">
        <v>0.13788</v>
      </c>
      <c r="F2025" s="94">
        <f t="shared" si="340"/>
        <v>1</v>
      </c>
      <c r="H2025" s="121"/>
      <c r="I2025" s="121"/>
      <c r="J2025" s="121"/>
      <c r="L2025" s="119"/>
      <c r="M2025" s="119"/>
      <c r="N2025" s="119"/>
      <c r="O2025" s="105" t="s">
        <v>618</v>
      </c>
      <c r="R2025" s="102" t="s">
        <v>619</v>
      </c>
      <c r="AA2025">
        <v>7.2489999999999997</v>
      </c>
    </row>
    <row r="2026" spans="1:30" x14ac:dyDescent="0.2">
      <c r="A2026" s="89" t="s">
        <v>620</v>
      </c>
      <c r="B2026" s="90">
        <f>IF($P$2024&lt;&gt;"",ROUND(AA2026*(($AB$2024/(1-$P$2024))-17.871)/3.689,2),IF('Resumen 2.0TD'!$D$3="OPTIMIZAR",AA2026,AA2026))</f>
        <v>11.375999999999999</v>
      </c>
      <c r="C2026" s="103"/>
      <c r="D2026" s="92">
        <v>0.11117100000000001</v>
      </c>
      <c r="E2026" s="93">
        <v>0.13788</v>
      </c>
      <c r="F2026" s="94">
        <f t="shared" si="340"/>
        <v>1.57</v>
      </c>
      <c r="H2026" s="121"/>
      <c r="I2026" s="121"/>
      <c r="J2026" s="121"/>
      <c r="L2026" s="119"/>
      <c r="M2026" s="119"/>
      <c r="N2026" s="119"/>
      <c r="O2026" s="105" t="s">
        <v>621</v>
      </c>
      <c r="AA2026">
        <v>11.375999999999999</v>
      </c>
    </row>
    <row r="2027" spans="1:30" x14ac:dyDescent="0.2">
      <c r="A2027" s="89" t="s">
        <v>139</v>
      </c>
      <c r="B2027" s="90">
        <v>1</v>
      </c>
      <c r="C2027" s="91">
        <f>$N$2019-$L$2019+1</f>
        <v>30</v>
      </c>
      <c r="D2027" s="92">
        <v>0.79890000000000005</v>
      </c>
      <c r="E2027" s="93">
        <v>3</v>
      </c>
      <c r="F2027" s="94">
        <f t="shared" si="340"/>
        <v>3</v>
      </c>
      <c r="H2027" s="121"/>
      <c r="I2027" s="121"/>
      <c r="J2027" s="121"/>
      <c r="L2027" s="119"/>
      <c r="M2027" s="119"/>
      <c r="N2027" s="119"/>
    </row>
    <row r="2028" spans="1:30" x14ac:dyDescent="0.2">
      <c r="A2028" s="89" t="s">
        <v>140</v>
      </c>
      <c r="B2028" s="90">
        <v>30</v>
      </c>
      <c r="C2028" s="91">
        <f>$N$2019-$L$2019+1</f>
        <v>30</v>
      </c>
      <c r="D2028" s="92">
        <v>0.5736</v>
      </c>
      <c r="E2028" s="93">
        <v>1.274E-2</v>
      </c>
      <c r="F2028" s="94">
        <f t="shared" si="340"/>
        <v>0.38</v>
      </c>
      <c r="H2028" s="121"/>
      <c r="I2028" s="121"/>
      <c r="J2028" s="121"/>
      <c r="L2028" s="119"/>
      <c r="M2028" s="119"/>
      <c r="N2028" s="119"/>
    </row>
    <row r="2029" spans="1:30" x14ac:dyDescent="0.2">
      <c r="A2029" s="89" t="s">
        <v>141</v>
      </c>
      <c r="B2029" s="90">
        <v>1.1100000000000001</v>
      </c>
      <c r="C2029" s="103"/>
      <c r="D2029" s="92">
        <v>2.6710000000000001E-2</v>
      </c>
      <c r="E2029" s="93">
        <v>1</v>
      </c>
      <c r="F2029" s="94">
        <f t="shared" si="340"/>
        <v>1.1100000000000001</v>
      </c>
      <c r="H2029" s="121"/>
      <c r="I2029" s="121"/>
      <c r="J2029" s="121"/>
      <c r="L2029" s="119"/>
      <c r="M2029" s="119"/>
      <c r="N2029" s="119"/>
    </row>
    <row r="2030" spans="1:30" x14ac:dyDescent="0.2">
      <c r="A2030" s="106" t="s">
        <v>142</v>
      </c>
      <c r="F2030" s="107">
        <f>ROUND((SUM(F2022:F2029)-F2029)*1.1+F2029,2)</f>
        <v>28.54</v>
      </c>
      <c r="J2030" s="123"/>
      <c r="N2030" s="120"/>
    </row>
    <row r="2031" spans="1:30" x14ac:dyDescent="0.2">
      <c r="A2031" s="78" t="s">
        <v>143</v>
      </c>
      <c r="B2031" s="110">
        <f>IF((F2026+F2025+F2024+F2022+F2023)=0,"",((F2026+F2025+F2024+F2022+F2023)-$AB$2024)/(F2026+F2025+F2024+F2022+F2023))</f>
        <v>6.0593617578849499E-2</v>
      </c>
      <c r="D2031" s="139" t="str">
        <f>IF(B2031="","SIN PC",IF(B2031&gt;=0.3,"APROBAR",IF(B2031&gt;=0.2,"REVISAR","RECHAZAR")))</f>
        <v>RECHAZAR</v>
      </c>
      <c r="E2031" s="139"/>
      <c r="F2031" s="139"/>
      <c r="AD2031">
        <f>SUM(F2024:F2026)-3.689</f>
        <v>1.000000000000334E-3</v>
      </c>
    </row>
    <row r="2033" spans="1:30" x14ac:dyDescent="0.2">
      <c r="A2033" s="137" t="s">
        <v>1464</v>
      </c>
      <c r="B2033" s="137"/>
      <c r="C2033" s="137"/>
      <c r="D2033" s="137"/>
      <c r="E2033" s="137"/>
      <c r="F2033" s="137"/>
      <c r="H2033" s="137" t="s">
        <v>1465</v>
      </c>
      <c r="I2033" s="137"/>
      <c r="J2033" s="137"/>
      <c r="K2033" s="137"/>
      <c r="L2033" s="76">
        <v>46113</v>
      </c>
      <c r="M2033" s="77" t="s">
        <v>607</v>
      </c>
      <c r="N2033" s="76">
        <v>46142</v>
      </c>
      <c r="R2033" s="138" t="s">
        <v>110</v>
      </c>
      <c r="S2033" s="138"/>
      <c r="T2033" s="138"/>
      <c r="U2033" s="138"/>
      <c r="V2033" s="138"/>
    </row>
    <row r="2034" spans="1:30" x14ac:dyDescent="0.2">
      <c r="A2034" s="78" t="s">
        <v>111</v>
      </c>
      <c r="B2034" s="79" t="s">
        <v>112</v>
      </c>
      <c r="C2034" s="80"/>
      <c r="D2034" s="80"/>
      <c r="E2034" s="80"/>
      <c r="F2034" s="80"/>
      <c r="H2034" s="81" t="s">
        <v>1451</v>
      </c>
      <c r="I2034" s="82"/>
      <c r="J2034" s="82"/>
      <c r="L2034" s="83" t="s">
        <v>796</v>
      </c>
      <c r="M2034" s="84"/>
      <c r="N2034" s="84"/>
      <c r="R2034" s="85" t="s">
        <v>1444</v>
      </c>
    </row>
    <row r="2035" spans="1:30" x14ac:dyDescent="0.2">
      <c r="B2035" s="68" t="s">
        <v>116</v>
      </c>
      <c r="C2035" s="68" t="s">
        <v>117</v>
      </c>
      <c r="D2035" s="68" t="s">
        <v>118</v>
      </c>
      <c r="E2035" s="68" t="s">
        <v>119</v>
      </c>
      <c r="F2035" s="68" t="s">
        <v>120</v>
      </c>
      <c r="H2035" s="86" t="s">
        <v>116</v>
      </c>
      <c r="I2035" s="86" t="s">
        <v>119</v>
      </c>
      <c r="J2035" s="86" t="s">
        <v>120</v>
      </c>
      <c r="L2035" s="87" t="s">
        <v>116</v>
      </c>
      <c r="M2035" s="87" t="s">
        <v>119</v>
      </c>
      <c r="N2035" s="87" t="s">
        <v>120</v>
      </c>
      <c r="R2035" s="88" t="s">
        <v>764</v>
      </c>
    </row>
    <row r="2036" spans="1:30" x14ac:dyDescent="0.2">
      <c r="A2036" s="89" t="s">
        <v>122</v>
      </c>
      <c r="B2036" s="90">
        <v>9.1999999999999993</v>
      </c>
      <c r="C2036" s="91">
        <f>$N$2033-$L$2033+1</f>
        <v>30</v>
      </c>
      <c r="D2036" s="92">
        <v>3.68919</v>
      </c>
      <c r="E2036" s="93">
        <v>3.85</v>
      </c>
      <c r="F2036" s="94">
        <f t="shared" ref="F2036:F2043" si="341">ROUND(B2036*E2036,2)</f>
        <v>35.42</v>
      </c>
      <c r="H2036" s="121"/>
      <c r="I2036" s="121"/>
      <c r="J2036" s="121"/>
      <c r="L2036" s="119"/>
      <c r="M2036" s="119"/>
      <c r="N2036" s="119"/>
      <c r="R2036" s="101" t="s">
        <v>1445</v>
      </c>
    </row>
    <row r="2037" spans="1:30" x14ac:dyDescent="0.2">
      <c r="A2037" s="89" t="s">
        <v>124</v>
      </c>
      <c r="B2037" s="90">
        <v>9.1999999999999993</v>
      </c>
      <c r="C2037" s="91">
        <f>$N$2033-$L$2033+1</f>
        <v>30</v>
      </c>
      <c r="D2037" s="92">
        <v>1.31928</v>
      </c>
      <c r="E2037" s="93">
        <v>1.33</v>
      </c>
      <c r="F2037" s="94">
        <f t="shared" si="341"/>
        <v>12.24</v>
      </c>
      <c r="H2037" s="121"/>
      <c r="I2037" s="121"/>
      <c r="J2037" s="121"/>
      <c r="L2037" s="119"/>
      <c r="M2037" s="119"/>
      <c r="N2037" s="119"/>
    </row>
    <row r="2038" spans="1:30" x14ac:dyDescent="0.2">
      <c r="A2038" s="89" t="s">
        <v>614</v>
      </c>
      <c r="B2038" s="90">
        <f>IF($P$2038&lt;&gt;"",ROUND(AA2038*(($AB$2038/(1-$P$2038))-47.656)/32.9284,2),IF('Resumen 2.0TD'!$D$3="OPTIMIZAR",AA2038,AA2038))</f>
        <v>52.826000000000001</v>
      </c>
      <c r="C2038" s="103"/>
      <c r="D2038" s="92">
        <v>0.11117100000000001</v>
      </c>
      <c r="E2038" s="93">
        <v>0.13788</v>
      </c>
      <c r="F2038" s="94">
        <f t="shared" si="341"/>
        <v>7.28</v>
      </c>
      <c r="H2038" s="121"/>
      <c r="I2038" s="121"/>
      <c r="J2038" s="121"/>
      <c r="L2038" s="119"/>
      <c r="M2038" s="119"/>
      <c r="N2038" s="119"/>
      <c r="O2038" s="104" t="s">
        <v>615</v>
      </c>
      <c r="P2038" s="67"/>
      <c r="AA2038">
        <v>52.826000000000001</v>
      </c>
      <c r="AB2038">
        <f>B2036*D2036+B2037*D2037+AA2038*D2038+AA2039*D2039+AA2040*D2040</f>
        <v>72.627671049</v>
      </c>
    </row>
    <row r="2039" spans="1:30" x14ac:dyDescent="0.2">
      <c r="A2039" s="89" t="s">
        <v>617</v>
      </c>
      <c r="B2039" s="90">
        <f>IF($P$2038&lt;&gt;"",ROUND(AA2039*(($AB$2038/(1-$P$2038))-47.656)/32.9284,2),IF('Resumen 2.0TD'!$D$3="OPTIMIZAR",AA2039,AA2039))</f>
        <v>74.811999999999998</v>
      </c>
      <c r="C2039" s="103"/>
      <c r="D2039" s="92">
        <v>0.11117100000000001</v>
      </c>
      <c r="E2039" s="93">
        <v>0.13788</v>
      </c>
      <c r="F2039" s="94">
        <f t="shared" si="341"/>
        <v>10.32</v>
      </c>
      <c r="H2039" s="121"/>
      <c r="I2039" s="121"/>
      <c r="J2039" s="121"/>
      <c r="L2039" s="119"/>
      <c r="M2039" s="119"/>
      <c r="N2039" s="119"/>
      <c r="O2039" s="105" t="s">
        <v>618</v>
      </c>
      <c r="R2039" s="102" t="s">
        <v>619</v>
      </c>
      <c r="AA2039">
        <v>74.811999999999998</v>
      </c>
    </row>
    <row r="2040" spans="1:30" x14ac:dyDescent="0.2">
      <c r="A2040" s="89" t="s">
        <v>620</v>
      </c>
      <c r="B2040" s="90">
        <f>IF($P$2038&lt;&gt;"",ROUND(AA2040*(($AB$2038/(1-$P$2038))-47.656)/32.9284,2),IF('Resumen 2.0TD'!$D$3="OPTIMIZAR",AA2040,AA2040))</f>
        <v>111.181</v>
      </c>
      <c r="C2040" s="103"/>
      <c r="D2040" s="92">
        <v>0.11117100000000001</v>
      </c>
      <c r="E2040" s="93">
        <v>0.13788</v>
      </c>
      <c r="F2040" s="94">
        <f t="shared" si="341"/>
        <v>15.33</v>
      </c>
      <c r="H2040" s="121"/>
      <c r="I2040" s="121"/>
      <c r="J2040" s="121"/>
      <c r="L2040" s="119"/>
      <c r="M2040" s="119"/>
      <c r="N2040" s="119"/>
      <c r="O2040" s="105" t="s">
        <v>621</v>
      </c>
      <c r="AA2040">
        <v>111.181</v>
      </c>
    </row>
    <row r="2041" spans="1:30" x14ac:dyDescent="0.2">
      <c r="A2041" s="89" t="s">
        <v>139</v>
      </c>
      <c r="B2041" s="90">
        <v>1</v>
      </c>
      <c r="C2041" s="91">
        <f>$N$2033-$L$2033+1</f>
        <v>30</v>
      </c>
      <c r="D2041" s="92">
        <v>0.79890000000000005</v>
      </c>
      <c r="E2041" s="93">
        <v>3</v>
      </c>
      <c r="F2041" s="94">
        <f t="shared" si="341"/>
        <v>3</v>
      </c>
      <c r="H2041" s="121"/>
      <c r="I2041" s="121"/>
      <c r="J2041" s="121"/>
      <c r="L2041" s="119"/>
      <c r="M2041" s="119"/>
      <c r="N2041" s="119"/>
    </row>
    <row r="2042" spans="1:30" x14ac:dyDescent="0.2">
      <c r="A2042" s="89" t="s">
        <v>140</v>
      </c>
      <c r="B2042" s="90">
        <v>30</v>
      </c>
      <c r="C2042" s="91">
        <f>$N$2033-$L$2033+1</f>
        <v>30</v>
      </c>
      <c r="D2042" s="92">
        <v>0.5736</v>
      </c>
      <c r="E2042" s="93">
        <v>1.274E-2</v>
      </c>
      <c r="F2042" s="94">
        <f t="shared" si="341"/>
        <v>0.38</v>
      </c>
      <c r="H2042" s="121"/>
      <c r="I2042" s="121"/>
      <c r="J2042" s="121"/>
      <c r="L2042" s="119"/>
      <c r="M2042" s="119"/>
      <c r="N2042" s="119"/>
    </row>
    <row r="2043" spans="1:30" x14ac:dyDescent="0.2">
      <c r="A2043" s="89" t="s">
        <v>141</v>
      </c>
      <c r="B2043" s="90">
        <v>4.13</v>
      </c>
      <c r="C2043" s="103"/>
      <c r="D2043" s="92">
        <v>2.6710000000000001E-2</v>
      </c>
      <c r="E2043" s="93">
        <v>1</v>
      </c>
      <c r="F2043" s="94">
        <f t="shared" si="341"/>
        <v>4.13</v>
      </c>
      <c r="H2043" s="121"/>
      <c r="I2043" s="121"/>
      <c r="J2043" s="121"/>
      <c r="L2043" s="119"/>
      <c r="M2043" s="119"/>
      <c r="N2043" s="119"/>
    </row>
    <row r="2044" spans="1:30" x14ac:dyDescent="0.2">
      <c r="A2044" s="106" t="s">
        <v>142</v>
      </c>
      <c r="F2044" s="107">
        <f>ROUND((SUM(F2036:F2043)-F2043)*1.1+F2043,2)</f>
        <v>96.5</v>
      </c>
      <c r="J2044" s="123"/>
      <c r="N2044" s="120"/>
    </row>
    <row r="2045" spans="1:30" x14ac:dyDescent="0.2">
      <c r="A2045" s="78" t="s">
        <v>143</v>
      </c>
      <c r="B2045" s="110">
        <f>IF((F2040+F2039+F2038+F2036+F2037)=0,"",((F2040+F2039+F2038+F2036+F2037)-$AB$2038)/(F2040+F2039+F2038+F2036+F2037))</f>
        <v>9.8800458506017999E-2</v>
      </c>
      <c r="D2045" s="139" t="str">
        <f>IF(B2045="","SIN PC",IF(B2045&gt;=0.3,"APROBAR",IF(B2045&gt;=0.2,"REVISAR","RECHAZAR")))</f>
        <v>RECHAZAR</v>
      </c>
      <c r="E2045" s="139"/>
      <c r="F2045" s="139"/>
      <c r="AD2045">
        <f>SUM(F2038:F2040)-32.9284</f>
        <v>1.5999999999962711E-3</v>
      </c>
    </row>
    <row r="2047" spans="1:30" x14ac:dyDescent="0.2">
      <c r="A2047" s="137" t="s">
        <v>1466</v>
      </c>
      <c r="B2047" s="137"/>
      <c r="C2047" s="137"/>
      <c r="D2047" s="137"/>
      <c r="E2047" s="137"/>
      <c r="F2047" s="137"/>
      <c r="H2047" s="137" t="s">
        <v>1467</v>
      </c>
      <c r="I2047" s="137"/>
      <c r="J2047" s="137"/>
      <c r="K2047" s="137"/>
      <c r="L2047" s="76">
        <v>46120</v>
      </c>
      <c r="M2047" s="77" t="s">
        <v>607</v>
      </c>
      <c r="N2047" s="76">
        <v>46142</v>
      </c>
      <c r="R2047" s="138" t="s">
        <v>110</v>
      </c>
      <c r="S2047" s="138"/>
      <c r="T2047" s="138"/>
      <c r="U2047" s="138"/>
      <c r="V2047" s="138"/>
    </row>
    <row r="2048" spans="1:30" x14ac:dyDescent="0.2">
      <c r="A2048" s="78" t="s">
        <v>111</v>
      </c>
      <c r="B2048" s="79" t="s">
        <v>112</v>
      </c>
      <c r="C2048" s="80"/>
      <c r="D2048" s="80"/>
      <c r="E2048" s="80"/>
      <c r="F2048" s="80"/>
      <c r="H2048" s="81" t="s">
        <v>1451</v>
      </c>
      <c r="I2048" s="82"/>
      <c r="J2048" s="82"/>
      <c r="L2048" s="83" t="s">
        <v>796</v>
      </c>
      <c r="M2048" s="84"/>
      <c r="N2048" s="84"/>
      <c r="R2048" s="85" t="s">
        <v>797</v>
      </c>
    </row>
    <row r="2049" spans="1:30" x14ac:dyDescent="0.2">
      <c r="B2049" s="68" t="s">
        <v>116</v>
      </c>
      <c r="C2049" s="68" t="s">
        <v>117</v>
      </c>
      <c r="D2049" s="68" t="s">
        <v>118</v>
      </c>
      <c r="E2049" s="68" t="s">
        <v>119</v>
      </c>
      <c r="F2049" s="68" t="s">
        <v>120</v>
      </c>
      <c r="H2049" s="86" t="s">
        <v>116</v>
      </c>
      <c r="I2049" s="86" t="s">
        <v>119</v>
      </c>
      <c r="J2049" s="86" t="s">
        <v>120</v>
      </c>
      <c r="L2049" s="87" t="s">
        <v>116</v>
      </c>
      <c r="M2049" s="87" t="s">
        <v>119</v>
      </c>
      <c r="N2049" s="87" t="s">
        <v>120</v>
      </c>
      <c r="R2049" s="88" t="s">
        <v>764</v>
      </c>
    </row>
    <row r="2050" spans="1:30" x14ac:dyDescent="0.2">
      <c r="A2050" s="89" t="s">
        <v>122</v>
      </c>
      <c r="B2050" s="90">
        <v>4.5999999999999996</v>
      </c>
      <c r="C2050" s="91">
        <f>$N$2047-$L$2047+1</f>
        <v>23</v>
      </c>
      <c r="D2050" s="92">
        <v>3.68919</v>
      </c>
      <c r="E2050" s="93">
        <v>2.85</v>
      </c>
      <c r="F2050" s="94">
        <f t="shared" ref="F2050:F2057" si="342">ROUND(B2050*E2050,2)</f>
        <v>13.11</v>
      </c>
      <c r="H2050" s="121"/>
      <c r="I2050" s="121"/>
      <c r="J2050" s="121"/>
      <c r="L2050" s="119"/>
      <c r="M2050" s="119"/>
      <c r="N2050" s="119"/>
      <c r="R2050" s="101" t="s">
        <v>798</v>
      </c>
    </row>
    <row r="2051" spans="1:30" x14ac:dyDescent="0.2">
      <c r="A2051" s="89" t="s">
        <v>124</v>
      </c>
      <c r="B2051" s="90">
        <v>4.5999999999999996</v>
      </c>
      <c r="C2051" s="91">
        <f>$N$2047-$L$2047+1</f>
        <v>23</v>
      </c>
      <c r="D2051" s="92">
        <v>1.31928</v>
      </c>
      <c r="E2051" s="93">
        <v>1.01</v>
      </c>
      <c r="F2051" s="94">
        <f t="shared" si="342"/>
        <v>4.6500000000000004</v>
      </c>
      <c r="H2051" s="121"/>
      <c r="I2051" s="121"/>
      <c r="J2051" s="121"/>
      <c r="L2051" s="119"/>
      <c r="M2051" s="119"/>
      <c r="N2051" s="119"/>
    </row>
    <row r="2052" spans="1:30" x14ac:dyDescent="0.2">
      <c r="A2052" s="89" t="s">
        <v>614</v>
      </c>
      <c r="B2052" s="90">
        <f>IF($P$2052&lt;&gt;"",ROUND(AA2052*(($AB$2052/(1-$P$2052))-17.756)/34.5811,2),IF('Resumen 2.0TD'!$D$3="OPTIMIZAR",AA2052,AA2052))</f>
        <v>82.132000000000005</v>
      </c>
      <c r="C2052" s="103"/>
      <c r="D2052" s="92">
        <v>0.11117100000000001</v>
      </c>
      <c r="E2052" s="93">
        <v>0.13788</v>
      </c>
      <c r="F2052" s="94">
        <f t="shared" si="342"/>
        <v>11.32</v>
      </c>
      <c r="H2052" s="121"/>
      <c r="I2052" s="121"/>
      <c r="J2052" s="121"/>
      <c r="L2052" s="119"/>
      <c r="M2052" s="119"/>
      <c r="N2052" s="119"/>
      <c r="O2052" s="104" t="s">
        <v>615</v>
      </c>
      <c r="P2052" s="67"/>
      <c r="AA2052">
        <v>82.132000000000005</v>
      </c>
      <c r="AB2052">
        <f>B2050*D2050+B2051*D2051+AA2052*D2052+AA2053*D2053+AA2054*D2054</f>
        <v>50.921315826000004</v>
      </c>
    </row>
    <row r="2053" spans="1:30" x14ac:dyDescent="0.2">
      <c r="A2053" s="89" t="s">
        <v>617</v>
      </c>
      <c r="B2053" s="90">
        <f>IF($P$2052&lt;&gt;"",ROUND(AA2053*(($AB$2052/(1-$P$2052))-17.756)/34.5811,2),IF('Resumen 2.0TD'!$D$3="OPTIMIZAR",AA2053,AA2053))</f>
        <v>62.389000000000003</v>
      </c>
      <c r="C2053" s="103"/>
      <c r="D2053" s="92">
        <v>0.11117100000000001</v>
      </c>
      <c r="E2053" s="93">
        <v>0.13788</v>
      </c>
      <c r="F2053" s="94">
        <f t="shared" si="342"/>
        <v>8.6</v>
      </c>
      <c r="H2053" s="121"/>
      <c r="I2053" s="121"/>
      <c r="J2053" s="121"/>
      <c r="L2053" s="119"/>
      <c r="M2053" s="119"/>
      <c r="N2053" s="119"/>
      <c r="O2053" s="105" t="s">
        <v>618</v>
      </c>
      <c r="R2053" s="102" t="s">
        <v>619</v>
      </c>
      <c r="AA2053">
        <v>62.389000000000003</v>
      </c>
    </row>
    <row r="2054" spans="1:30" x14ac:dyDescent="0.2">
      <c r="A2054" s="89" t="s">
        <v>620</v>
      </c>
      <c r="B2054" s="90">
        <f>IF($P$2052&lt;&gt;"",ROUND(AA2054*(($AB$2052/(1-$P$2052))-17.756)/34.5811,2),IF('Resumen 2.0TD'!$D$3="OPTIMIZAR",AA2054,AA2054))</f>
        <v>106.285</v>
      </c>
      <c r="C2054" s="103"/>
      <c r="D2054" s="92">
        <v>0.11117100000000001</v>
      </c>
      <c r="E2054" s="93">
        <v>0.13788</v>
      </c>
      <c r="F2054" s="94">
        <f t="shared" si="342"/>
        <v>14.65</v>
      </c>
      <c r="H2054" s="121"/>
      <c r="I2054" s="121"/>
      <c r="J2054" s="121"/>
      <c r="L2054" s="119"/>
      <c r="M2054" s="119"/>
      <c r="N2054" s="119"/>
      <c r="O2054" s="105" t="s">
        <v>621</v>
      </c>
      <c r="AA2054">
        <v>106.285</v>
      </c>
    </row>
    <row r="2055" spans="1:30" x14ac:dyDescent="0.2">
      <c r="A2055" s="89" t="s">
        <v>139</v>
      </c>
      <c r="B2055" s="90">
        <v>1</v>
      </c>
      <c r="C2055" s="91">
        <f>$N$2047-$L$2047+1</f>
        <v>23</v>
      </c>
      <c r="D2055" s="92">
        <v>0.79890000000000005</v>
      </c>
      <c r="E2055" s="93">
        <v>3</v>
      </c>
      <c r="F2055" s="94">
        <f t="shared" si="342"/>
        <v>3</v>
      </c>
      <c r="H2055" s="121"/>
      <c r="I2055" s="121"/>
      <c r="J2055" s="121"/>
      <c r="L2055" s="119"/>
      <c r="M2055" s="119"/>
      <c r="N2055" s="119"/>
    </row>
    <row r="2056" spans="1:30" x14ac:dyDescent="0.2">
      <c r="A2056" s="89" t="s">
        <v>140</v>
      </c>
      <c r="B2056" s="90">
        <v>30</v>
      </c>
      <c r="C2056" s="91">
        <f>$N$2047-$L$2047+1</f>
        <v>23</v>
      </c>
      <c r="D2056" s="92">
        <v>0.5736</v>
      </c>
      <c r="E2056" s="93">
        <v>1.274E-2</v>
      </c>
      <c r="F2056" s="94">
        <f t="shared" si="342"/>
        <v>0.38</v>
      </c>
      <c r="H2056" s="121"/>
      <c r="I2056" s="121"/>
      <c r="J2056" s="121"/>
      <c r="L2056" s="119"/>
      <c r="M2056" s="119"/>
      <c r="N2056" s="119"/>
    </row>
    <row r="2057" spans="1:30" x14ac:dyDescent="0.2">
      <c r="A2057" s="89" t="s">
        <v>141</v>
      </c>
      <c r="B2057" s="90">
        <v>2.99</v>
      </c>
      <c r="C2057" s="103"/>
      <c r="D2057" s="92">
        <v>2.6710000000000001E-2</v>
      </c>
      <c r="E2057" s="93">
        <v>1</v>
      </c>
      <c r="F2057" s="94">
        <f t="shared" si="342"/>
        <v>2.99</v>
      </c>
      <c r="H2057" s="121"/>
      <c r="I2057" s="121"/>
      <c r="J2057" s="121"/>
      <c r="L2057" s="119"/>
      <c r="M2057" s="119"/>
      <c r="N2057" s="119"/>
    </row>
    <row r="2058" spans="1:30" x14ac:dyDescent="0.2">
      <c r="A2058" s="106" t="s">
        <v>142</v>
      </c>
      <c r="F2058" s="107">
        <f>ROUND((SUM(F2050:F2057)-F2057)*1.1+F2057,2)</f>
        <v>64.27</v>
      </c>
      <c r="J2058" s="123"/>
      <c r="N2058" s="120"/>
    </row>
    <row r="2059" spans="1:30" x14ac:dyDescent="0.2">
      <c r="A2059" s="78" t="s">
        <v>143</v>
      </c>
      <c r="B2059" s="110">
        <f>IF((F2054+F2053+F2052+F2050+F2051)=0,"",((F2054+F2053+F2052+F2050+F2051)-$AB$2052)/(F2054+F2053+F2052+F2050+F2051))</f>
        <v>2.6919246588954598E-2</v>
      </c>
      <c r="D2059" s="139" t="str">
        <f>IF(B2059="","SIN PC",IF(B2059&gt;=0.3,"APROBAR",IF(B2059&gt;=0.2,"REVISAR","RECHAZAR")))</f>
        <v>RECHAZAR</v>
      </c>
      <c r="E2059" s="139"/>
      <c r="F2059" s="139"/>
      <c r="AD2059">
        <f>SUM(F2052:F2054)-34.5811</f>
        <v>-1.1099999999999E-2</v>
      </c>
    </row>
    <row r="2061" spans="1:30" x14ac:dyDescent="0.2">
      <c r="A2061" s="137" t="s">
        <v>1468</v>
      </c>
      <c r="B2061" s="137"/>
      <c r="C2061" s="137"/>
      <c r="D2061" s="137"/>
      <c r="E2061" s="137"/>
      <c r="F2061" s="137"/>
      <c r="H2061" s="137" t="s">
        <v>1469</v>
      </c>
      <c r="I2061" s="137"/>
      <c r="J2061" s="137"/>
      <c r="K2061" s="137"/>
      <c r="L2061" s="76">
        <v>46122</v>
      </c>
      <c r="M2061" s="77" t="s">
        <v>607</v>
      </c>
      <c r="N2061" s="76">
        <v>46142</v>
      </c>
      <c r="R2061" s="138" t="s">
        <v>110</v>
      </c>
      <c r="S2061" s="138"/>
      <c r="T2061" s="138"/>
      <c r="U2061" s="138"/>
      <c r="V2061" s="138"/>
    </row>
    <row r="2062" spans="1:30" x14ac:dyDescent="0.2">
      <c r="A2062" s="78" t="s">
        <v>111</v>
      </c>
      <c r="B2062" s="79" t="s">
        <v>112</v>
      </c>
      <c r="C2062" s="80"/>
      <c r="D2062" s="80"/>
      <c r="E2062" s="80"/>
      <c r="F2062" s="80"/>
      <c r="H2062" s="81" t="s">
        <v>1451</v>
      </c>
      <c r="I2062" s="82"/>
      <c r="J2062" s="82"/>
      <c r="L2062" s="83" t="s">
        <v>796</v>
      </c>
      <c r="M2062" s="84"/>
      <c r="N2062" s="84"/>
      <c r="R2062" s="85" t="s">
        <v>1444</v>
      </c>
    </row>
    <row r="2063" spans="1:30" x14ac:dyDescent="0.2">
      <c r="B2063" s="68" t="s">
        <v>116</v>
      </c>
      <c r="C2063" s="68" t="s">
        <v>117</v>
      </c>
      <c r="D2063" s="68" t="s">
        <v>118</v>
      </c>
      <c r="E2063" s="68" t="s">
        <v>119</v>
      </c>
      <c r="F2063" s="68" t="s">
        <v>120</v>
      </c>
      <c r="H2063" s="86" t="s">
        <v>116</v>
      </c>
      <c r="I2063" s="86" t="s">
        <v>119</v>
      </c>
      <c r="J2063" s="86" t="s">
        <v>120</v>
      </c>
      <c r="L2063" s="87" t="s">
        <v>116</v>
      </c>
      <c r="M2063" s="87" t="s">
        <v>119</v>
      </c>
      <c r="N2063" s="87" t="s">
        <v>120</v>
      </c>
      <c r="R2063" s="88" t="s">
        <v>764</v>
      </c>
    </row>
    <row r="2064" spans="1:30" x14ac:dyDescent="0.2">
      <c r="A2064" s="89" t="s">
        <v>122</v>
      </c>
      <c r="B2064" s="90">
        <v>9.1999999999999993</v>
      </c>
      <c r="C2064" s="91">
        <f>$N$2061-$L$2061+1</f>
        <v>21</v>
      </c>
      <c r="D2064" s="92">
        <v>3.68919</v>
      </c>
      <c r="E2064" s="93">
        <v>2.15</v>
      </c>
      <c r="F2064" s="94">
        <f t="shared" ref="F2064:F2071" si="343">ROUND(B2064*E2064,2)</f>
        <v>19.78</v>
      </c>
      <c r="H2064" s="121"/>
      <c r="I2064" s="121"/>
      <c r="J2064" s="121"/>
      <c r="L2064" s="119"/>
      <c r="M2064" s="119"/>
      <c r="N2064" s="119"/>
      <c r="R2064" s="101" t="s">
        <v>1445</v>
      </c>
    </row>
    <row r="2065" spans="1:30" x14ac:dyDescent="0.2">
      <c r="A2065" s="89" t="s">
        <v>124</v>
      </c>
      <c r="B2065" s="90">
        <v>9.1999999999999993</v>
      </c>
      <c r="C2065" s="91">
        <f>$N$2061-$L$2061+1</f>
        <v>21</v>
      </c>
      <c r="D2065" s="92">
        <v>1.31928</v>
      </c>
      <c r="E2065" s="93">
        <v>0.93</v>
      </c>
      <c r="F2065" s="94">
        <f t="shared" si="343"/>
        <v>8.56</v>
      </c>
      <c r="H2065" s="121"/>
      <c r="I2065" s="121"/>
      <c r="J2065" s="121"/>
      <c r="L2065" s="119"/>
      <c r="M2065" s="119"/>
      <c r="N2065" s="119"/>
    </row>
    <row r="2066" spans="1:30" x14ac:dyDescent="0.2">
      <c r="A2066" s="89" t="s">
        <v>614</v>
      </c>
      <c r="B2066" s="90">
        <f>IF($P$2066&lt;&gt;"",ROUND(AA2066*(($AB$2066/(1-$P$2066))-28.336)/19.7862,2),IF('Resumen 2.0TD'!$D$3="OPTIMIZAR",AA2066,AA2066))</f>
        <v>34.220999999999997</v>
      </c>
      <c r="C2066" s="103"/>
      <c r="D2066" s="92">
        <v>0.11117100000000001</v>
      </c>
      <c r="E2066" s="93">
        <v>0.13788</v>
      </c>
      <c r="F2066" s="94">
        <f t="shared" si="343"/>
        <v>4.72</v>
      </c>
      <c r="H2066" s="121"/>
      <c r="I2066" s="121"/>
      <c r="J2066" s="121"/>
      <c r="L2066" s="119"/>
      <c r="M2066" s="119"/>
      <c r="N2066" s="119"/>
      <c r="O2066" s="104" t="s">
        <v>615</v>
      </c>
      <c r="P2066" s="67"/>
      <c r="AA2066">
        <v>34.220999999999997</v>
      </c>
      <c r="AB2066">
        <f>B2064*D2064+B2065*D2065+AA2066*D2066+AA2067*D2067+AA2068*D2068</f>
        <v>62.031296013000002</v>
      </c>
    </row>
    <row r="2067" spans="1:30" x14ac:dyDescent="0.2">
      <c r="A2067" s="89" t="s">
        <v>617</v>
      </c>
      <c r="B2067" s="90">
        <f>IF($P$2066&lt;&gt;"",ROUND(AA2067*(($AB$2066/(1-$P$2066))-28.336)/19.7862,2),IF('Resumen 2.0TD'!$D$3="OPTIMIZAR",AA2067,AA2067))</f>
        <v>34.56</v>
      </c>
      <c r="C2067" s="103"/>
      <c r="D2067" s="92">
        <v>0.11117100000000001</v>
      </c>
      <c r="E2067" s="93">
        <v>0.13788</v>
      </c>
      <c r="F2067" s="94">
        <f t="shared" si="343"/>
        <v>4.7699999999999996</v>
      </c>
      <c r="H2067" s="121"/>
      <c r="I2067" s="121"/>
      <c r="J2067" s="121"/>
      <c r="L2067" s="119"/>
      <c r="M2067" s="119"/>
      <c r="N2067" s="119"/>
      <c r="O2067" s="105" t="s">
        <v>618</v>
      </c>
      <c r="R2067" s="102" t="s">
        <v>619</v>
      </c>
      <c r="AA2067">
        <v>34.56</v>
      </c>
    </row>
    <row r="2068" spans="1:30" x14ac:dyDescent="0.2">
      <c r="A2068" s="89" t="s">
        <v>620</v>
      </c>
      <c r="B2068" s="90">
        <f>IF($P$2066&lt;&gt;"",ROUND(AA2068*(($AB$2066/(1-$P$2066))-28.336)/19.7862,2),IF('Resumen 2.0TD'!$D$3="OPTIMIZAR",AA2068,AA2068))</f>
        <v>74.721999999999994</v>
      </c>
      <c r="C2068" s="103"/>
      <c r="D2068" s="92">
        <v>0.11117100000000001</v>
      </c>
      <c r="E2068" s="93">
        <v>0.13788</v>
      </c>
      <c r="F2068" s="94">
        <f t="shared" si="343"/>
        <v>10.3</v>
      </c>
      <c r="H2068" s="121"/>
      <c r="I2068" s="121"/>
      <c r="J2068" s="121"/>
      <c r="L2068" s="119"/>
      <c r="M2068" s="119"/>
      <c r="N2068" s="119"/>
      <c r="O2068" s="105" t="s">
        <v>621</v>
      </c>
      <c r="AA2068">
        <v>74.721999999999994</v>
      </c>
    </row>
    <row r="2069" spans="1:30" x14ac:dyDescent="0.2">
      <c r="A2069" s="89" t="s">
        <v>139</v>
      </c>
      <c r="B2069" s="90">
        <v>1</v>
      </c>
      <c r="C2069" s="91">
        <f>$N$2061-$L$2061+1</f>
        <v>21</v>
      </c>
      <c r="D2069" s="92">
        <v>0.79890000000000005</v>
      </c>
      <c r="E2069" s="93">
        <v>3</v>
      </c>
      <c r="F2069" s="94">
        <f t="shared" si="343"/>
        <v>3</v>
      </c>
      <c r="H2069" s="121"/>
      <c r="I2069" s="121"/>
      <c r="J2069" s="121"/>
      <c r="L2069" s="119"/>
      <c r="M2069" s="119"/>
      <c r="N2069" s="119"/>
    </row>
    <row r="2070" spans="1:30" x14ac:dyDescent="0.2">
      <c r="A2070" s="89" t="s">
        <v>140</v>
      </c>
      <c r="B2070" s="90">
        <v>30</v>
      </c>
      <c r="C2070" s="91">
        <f>$N$2061-$L$2061+1</f>
        <v>21</v>
      </c>
      <c r="D2070" s="92">
        <v>0.5736</v>
      </c>
      <c r="E2070" s="93">
        <v>1.274E-2</v>
      </c>
      <c r="F2070" s="94">
        <f t="shared" si="343"/>
        <v>0.38</v>
      </c>
      <c r="H2070" s="121"/>
      <c r="I2070" s="121"/>
      <c r="J2070" s="121"/>
      <c r="L2070" s="119"/>
      <c r="M2070" s="119"/>
      <c r="N2070" s="119"/>
    </row>
    <row r="2071" spans="1:30" x14ac:dyDescent="0.2">
      <c r="A2071" s="89" t="s">
        <v>141</v>
      </c>
      <c r="B2071" s="90">
        <v>3.46</v>
      </c>
      <c r="C2071" s="103"/>
      <c r="D2071" s="92">
        <v>2.6710000000000001E-2</v>
      </c>
      <c r="E2071" s="93">
        <v>1</v>
      </c>
      <c r="F2071" s="94">
        <f t="shared" si="343"/>
        <v>3.46</v>
      </c>
      <c r="H2071" s="121"/>
      <c r="I2071" s="121"/>
      <c r="J2071" s="121"/>
      <c r="L2071" s="119"/>
      <c r="M2071" s="119"/>
      <c r="N2071" s="119"/>
    </row>
    <row r="2072" spans="1:30" x14ac:dyDescent="0.2">
      <c r="A2072" s="106" t="s">
        <v>142</v>
      </c>
      <c r="F2072" s="107">
        <f>ROUND((SUM(F2064:F2071)-F2071)*1.1+F2071,2)</f>
        <v>60.12</v>
      </c>
      <c r="J2072" s="123"/>
      <c r="N2072" s="120"/>
    </row>
    <row r="2073" spans="1:30" x14ac:dyDescent="0.2">
      <c r="A2073" s="78" t="s">
        <v>143</v>
      </c>
      <c r="B2073" s="110">
        <f>IF((F2068+F2067+F2066+F2064+F2065)=0,"",((F2068+F2067+F2066+F2064+F2065)-$AB$2066)/(F2068+F2067+F2066+F2064+F2065))</f>
        <v>-0.28882809085809263</v>
      </c>
      <c r="D2073" s="139" t="str">
        <f>IF(B2073="","SIN PC",IF(B2073&gt;=0.3,"APROBAR",IF(B2073&gt;=0.2,"REVISAR","RECHAZAR")))</f>
        <v>RECHAZAR</v>
      </c>
      <c r="E2073" s="139"/>
      <c r="F2073" s="139"/>
      <c r="AD2073">
        <f>SUM(F2066:F2068)-19.7862</f>
        <v>3.7999999999982492E-3</v>
      </c>
    </row>
    <row r="2075" spans="1:30" x14ac:dyDescent="0.2">
      <c r="A2075" s="137" t="s">
        <v>1470</v>
      </c>
      <c r="B2075" s="137"/>
      <c r="C2075" s="137"/>
      <c r="D2075" s="137"/>
      <c r="E2075" s="137"/>
      <c r="F2075" s="137"/>
      <c r="H2075" s="137" t="s">
        <v>1471</v>
      </c>
      <c r="I2075" s="137"/>
      <c r="J2075" s="137"/>
      <c r="K2075" s="137"/>
      <c r="L2075" s="76">
        <v>46113</v>
      </c>
      <c r="M2075" s="77" t="s">
        <v>607</v>
      </c>
      <c r="N2075" s="76">
        <v>46142</v>
      </c>
      <c r="R2075" s="138" t="s">
        <v>110</v>
      </c>
      <c r="S2075" s="138"/>
      <c r="T2075" s="138"/>
      <c r="U2075" s="138"/>
      <c r="V2075" s="138"/>
    </row>
    <row r="2076" spans="1:30" x14ac:dyDescent="0.2">
      <c r="A2076" s="78" t="s">
        <v>111</v>
      </c>
      <c r="B2076" s="79" t="s">
        <v>112</v>
      </c>
      <c r="C2076" s="80"/>
      <c r="D2076" s="80"/>
      <c r="E2076" s="80"/>
      <c r="F2076" s="80"/>
      <c r="H2076" s="81" t="s">
        <v>1451</v>
      </c>
      <c r="I2076" s="82"/>
      <c r="J2076" s="82"/>
      <c r="L2076" s="83" t="s">
        <v>796</v>
      </c>
      <c r="M2076" s="84"/>
      <c r="N2076" s="84"/>
    </row>
    <row r="2077" spans="1:30" x14ac:dyDescent="0.2">
      <c r="B2077" s="68" t="s">
        <v>116</v>
      </c>
      <c r="C2077" s="68" t="s">
        <v>117</v>
      </c>
      <c r="D2077" s="68" t="s">
        <v>118</v>
      </c>
      <c r="E2077" s="68" t="s">
        <v>119</v>
      </c>
      <c r="F2077" s="68" t="s">
        <v>120</v>
      </c>
      <c r="H2077" s="86" t="s">
        <v>116</v>
      </c>
      <c r="I2077" s="86" t="s">
        <v>119</v>
      </c>
      <c r="J2077" s="86" t="s">
        <v>120</v>
      </c>
      <c r="L2077" s="87" t="s">
        <v>116</v>
      </c>
      <c r="M2077" s="87" t="s">
        <v>119</v>
      </c>
      <c r="N2077" s="87" t="s">
        <v>120</v>
      </c>
    </row>
    <row r="2078" spans="1:30" x14ac:dyDescent="0.2">
      <c r="A2078" s="89" t="s">
        <v>122</v>
      </c>
      <c r="B2078" s="90">
        <v>5.5</v>
      </c>
      <c r="C2078" s="91">
        <f>$N$2075-$L$2075+1</f>
        <v>30</v>
      </c>
      <c r="D2078" s="92"/>
      <c r="E2078" s="93">
        <v>3.85</v>
      </c>
      <c r="F2078" s="94">
        <f t="shared" ref="F2078:F2085" si="344">ROUND(B2078*E2078,2)</f>
        <v>21.18</v>
      </c>
      <c r="H2078" s="121"/>
      <c r="I2078" s="121"/>
      <c r="J2078" s="121"/>
      <c r="L2078" s="119"/>
      <c r="M2078" s="119"/>
      <c r="N2078" s="119"/>
    </row>
    <row r="2079" spans="1:30" x14ac:dyDescent="0.2">
      <c r="A2079" s="89" t="s">
        <v>124</v>
      </c>
      <c r="B2079" s="90">
        <v>5.5</v>
      </c>
      <c r="C2079" s="91">
        <f>$N$2075-$L$2075+1</f>
        <v>30</v>
      </c>
      <c r="D2079" s="92"/>
      <c r="E2079" s="93">
        <v>1.33</v>
      </c>
      <c r="F2079" s="94">
        <f t="shared" si="344"/>
        <v>7.32</v>
      </c>
      <c r="H2079" s="121"/>
      <c r="I2079" s="121"/>
      <c r="J2079" s="121"/>
      <c r="L2079" s="119"/>
      <c r="M2079" s="119"/>
      <c r="N2079" s="119"/>
    </row>
    <row r="2080" spans="1:30" x14ac:dyDescent="0.2">
      <c r="A2080" s="89" t="s">
        <v>614</v>
      </c>
      <c r="B2080" s="90">
        <f>IF($P$2080&lt;&gt;"",ROUND(AA2080*(($AB$2080/(1-$P$2080))-28.49)/0,2),IF('Resumen 2.0TD'!$D$3="OPTIMIZAR",AA2080,AA2080))</f>
        <v>0</v>
      </c>
      <c r="C2080" s="103"/>
      <c r="D2080" s="92"/>
      <c r="E2080" s="93">
        <v>0</v>
      </c>
      <c r="F2080" s="94">
        <f t="shared" si="344"/>
        <v>0</v>
      </c>
      <c r="H2080" s="121"/>
      <c r="I2080" s="121"/>
      <c r="J2080" s="121"/>
      <c r="L2080" s="119"/>
      <c r="M2080" s="119"/>
      <c r="N2080" s="119"/>
      <c r="O2080" s="104" t="s">
        <v>615</v>
      </c>
      <c r="P2080" s="67"/>
      <c r="AA2080">
        <v>0</v>
      </c>
      <c r="AB2080">
        <f>B2078*D2078+B2079*D2079+AA2080*D2080+AA2081*D2081+AA2082*D2082</f>
        <v>0</v>
      </c>
    </row>
    <row r="2081" spans="1:30" x14ac:dyDescent="0.2">
      <c r="A2081" s="89" t="s">
        <v>617</v>
      </c>
      <c r="B2081" s="90">
        <f>IF($P$2080&lt;&gt;"",ROUND(AA2081*(($AB$2080/(1-$P$2080))-28.49)/0,2),IF('Resumen 2.0TD'!$D$3="OPTIMIZAR",AA2081,AA2081))</f>
        <v>0</v>
      </c>
      <c r="C2081" s="103"/>
      <c r="D2081" s="92"/>
      <c r="E2081" s="93">
        <v>0</v>
      </c>
      <c r="F2081" s="94">
        <f t="shared" si="344"/>
        <v>0</v>
      </c>
      <c r="H2081" s="121"/>
      <c r="I2081" s="121"/>
      <c r="J2081" s="121"/>
      <c r="L2081" s="119"/>
      <c r="M2081" s="119"/>
      <c r="N2081" s="119"/>
      <c r="O2081" s="105" t="s">
        <v>618</v>
      </c>
      <c r="AA2081">
        <v>0</v>
      </c>
    </row>
    <row r="2082" spans="1:30" x14ac:dyDescent="0.2">
      <c r="A2082" s="89" t="s">
        <v>620</v>
      </c>
      <c r="B2082" s="90">
        <f>IF($P$2080&lt;&gt;"",ROUND(AA2082*(($AB$2080/(1-$P$2080))-28.49)/0,2),IF('Resumen 2.0TD'!$D$3="OPTIMIZAR",AA2082,AA2082))</f>
        <v>0</v>
      </c>
      <c r="C2082" s="103"/>
      <c r="D2082" s="92"/>
      <c r="E2082" s="93">
        <v>0</v>
      </c>
      <c r="F2082" s="94">
        <f t="shared" si="344"/>
        <v>0</v>
      </c>
      <c r="H2082" s="121"/>
      <c r="I2082" s="121"/>
      <c r="J2082" s="121"/>
      <c r="L2082" s="119"/>
      <c r="M2082" s="119"/>
      <c r="N2082" s="119"/>
      <c r="O2082" s="105" t="s">
        <v>621</v>
      </c>
      <c r="AA2082">
        <v>0</v>
      </c>
    </row>
    <row r="2083" spans="1:30" x14ac:dyDescent="0.2">
      <c r="A2083" s="89" t="s">
        <v>139</v>
      </c>
      <c r="B2083" s="90">
        <v>1</v>
      </c>
      <c r="C2083" s="91">
        <f>$N$2075-$L$2075+1</f>
        <v>30</v>
      </c>
      <c r="D2083" s="92"/>
      <c r="E2083" s="93">
        <v>3</v>
      </c>
      <c r="F2083" s="94">
        <f t="shared" si="344"/>
        <v>3</v>
      </c>
      <c r="H2083" s="121"/>
      <c r="I2083" s="121"/>
      <c r="J2083" s="121"/>
      <c r="L2083" s="119"/>
      <c r="M2083" s="119"/>
      <c r="N2083" s="119"/>
    </row>
    <row r="2084" spans="1:30" x14ac:dyDescent="0.2">
      <c r="A2084" s="89" t="s">
        <v>140</v>
      </c>
      <c r="B2084" s="90">
        <v>30</v>
      </c>
      <c r="C2084" s="91">
        <f>$N$2075-$L$2075+1</f>
        <v>30</v>
      </c>
      <c r="D2084" s="92"/>
      <c r="E2084" s="93">
        <v>1.274E-2</v>
      </c>
      <c r="F2084" s="94">
        <f t="shared" si="344"/>
        <v>0.38</v>
      </c>
      <c r="H2084" s="121"/>
      <c r="I2084" s="121"/>
      <c r="J2084" s="121"/>
      <c r="L2084" s="119"/>
      <c r="M2084" s="119"/>
      <c r="N2084" s="119"/>
    </row>
    <row r="2085" spans="1:30" x14ac:dyDescent="0.2">
      <c r="A2085" s="89" t="s">
        <v>141</v>
      </c>
      <c r="B2085" s="90">
        <v>1.47</v>
      </c>
      <c r="C2085" s="103"/>
      <c r="D2085" s="92"/>
      <c r="E2085" s="93">
        <v>1</v>
      </c>
      <c r="F2085" s="94">
        <f t="shared" si="344"/>
        <v>1.47</v>
      </c>
      <c r="H2085" s="121"/>
      <c r="I2085" s="121"/>
      <c r="J2085" s="121"/>
      <c r="L2085" s="119"/>
      <c r="M2085" s="119"/>
      <c r="N2085" s="119"/>
    </row>
    <row r="2086" spans="1:30" x14ac:dyDescent="0.2">
      <c r="A2086" s="106" t="s">
        <v>142</v>
      </c>
      <c r="F2086" s="107">
        <f>ROUND((SUM(F2078:F2085)-F2085)*1.1+F2085,2)</f>
        <v>36.54</v>
      </c>
      <c r="J2086" s="123"/>
      <c r="N2086" s="120"/>
    </row>
    <row r="2087" spans="1:30" x14ac:dyDescent="0.2">
      <c r="A2087" s="78" t="s">
        <v>143</v>
      </c>
      <c r="B2087" s="110">
        <f>IF((F2082+F2081+F2080+F2078+F2079)=0,"",((F2082+F2081+F2080+F2078+F2079)-$AB$2080)/(F2082+F2081+F2080+F2078+F2079))</f>
        <v>1</v>
      </c>
      <c r="D2087" s="139" t="str">
        <f>IF(B2087="","SIN PC",IF(B2087&gt;=0.3,"APROBAR",IF(B2087&gt;=0.2,"REVISAR","RECHAZAR")))</f>
        <v>APROBAR</v>
      </c>
      <c r="E2087" s="139"/>
      <c r="F2087" s="139"/>
      <c r="AD2087">
        <f>SUM(F2080:F2082)-0</f>
        <v>0</v>
      </c>
    </row>
    <row r="2089" spans="1:30" x14ac:dyDescent="0.2">
      <c r="A2089" s="137" t="s">
        <v>1472</v>
      </c>
      <c r="B2089" s="137"/>
      <c r="C2089" s="137"/>
      <c r="D2089" s="137"/>
      <c r="E2089" s="137"/>
      <c r="F2089" s="137"/>
      <c r="H2089" s="137" t="s">
        <v>1473</v>
      </c>
      <c r="I2089" s="137"/>
      <c r="J2089" s="137"/>
      <c r="K2089" s="137"/>
      <c r="L2089" s="76">
        <v>46113</v>
      </c>
      <c r="M2089" s="77" t="s">
        <v>607</v>
      </c>
      <c r="N2089" s="76">
        <v>46142</v>
      </c>
      <c r="R2089" s="138" t="s">
        <v>110</v>
      </c>
      <c r="S2089" s="138"/>
      <c r="T2089" s="138"/>
      <c r="U2089" s="138"/>
      <c r="V2089" s="138"/>
    </row>
    <row r="2090" spans="1:30" x14ac:dyDescent="0.2">
      <c r="A2090" s="78" t="s">
        <v>111</v>
      </c>
      <c r="B2090" s="79" t="s">
        <v>112</v>
      </c>
      <c r="C2090" s="80"/>
      <c r="D2090" s="80"/>
      <c r="E2090" s="80"/>
      <c r="F2090" s="80"/>
      <c r="H2090" s="81" t="s">
        <v>1451</v>
      </c>
      <c r="I2090" s="82"/>
      <c r="J2090" s="82"/>
      <c r="L2090" s="83" t="s">
        <v>796</v>
      </c>
      <c r="M2090" s="84"/>
      <c r="N2090" s="84"/>
      <c r="R2090" s="85" t="s">
        <v>797</v>
      </c>
    </row>
    <row r="2091" spans="1:30" x14ac:dyDescent="0.2">
      <c r="B2091" s="68" t="s">
        <v>116</v>
      </c>
      <c r="C2091" s="68" t="s">
        <v>117</v>
      </c>
      <c r="D2091" s="68" t="s">
        <v>118</v>
      </c>
      <c r="E2091" s="68" t="s">
        <v>119</v>
      </c>
      <c r="F2091" s="68" t="s">
        <v>120</v>
      </c>
      <c r="H2091" s="86" t="s">
        <v>116</v>
      </c>
      <c r="I2091" s="86" t="s">
        <v>119</v>
      </c>
      <c r="J2091" s="86" t="s">
        <v>120</v>
      </c>
      <c r="L2091" s="87" t="s">
        <v>116</v>
      </c>
      <c r="M2091" s="87" t="s">
        <v>119</v>
      </c>
      <c r="N2091" s="87" t="s">
        <v>120</v>
      </c>
      <c r="R2091" s="88" t="s">
        <v>764</v>
      </c>
    </row>
    <row r="2092" spans="1:30" x14ac:dyDescent="0.2">
      <c r="A2092" s="89" t="s">
        <v>122</v>
      </c>
      <c r="B2092" s="90">
        <v>5.7</v>
      </c>
      <c r="C2092" s="91">
        <f>$N$2089-$L$2089+1</f>
        <v>30</v>
      </c>
      <c r="D2092" s="92">
        <v>3.68919</v>
      </c>
      <c r="E2092" s="93">
        <v>3.85</v>
      </c>
      <c r="F2092" s="94">
        <f t="shared" ref="F2092:F2099" si="345">ROUND(B2092*E2092,2)</f>
        <v>21.95</v>
      </c>
      <c r="H2092" s="121"/>
      <c r="I2092" s="121"/>
      <c r="J2092" s="121"/>
      <c r="L2092" s="119"/>
      <c r="M2092" s="119"/>
      <c r="N2092" s="119"/>
      <c r="R2092" s="101" t="s">
        <v>798</v>
      </c>
    </row>
    <row r="2093" spans="1:30" x14ac:dyDescent="0.2">
      <c r="A2093" s="89" t="s">
        <v>124</v>
      </c>
      <c r="B2093" s="90">
        <v>5.7</v>
      </c>
      <c r="C2093" s="91">
        <f>$N$2089-$L$2089+1</f>
        <v>30</v>
      </c>
      <c r="D2093" s="92">
        <v>1.31928</v>
      </c>
      <c r="E2093" s="93">
        <v>1.33</v>
      </c>
      <c r="F2093" s="94">
        <f t="shared" si="345"/>
        <v>7.58</v>
      </c>
      <c r="H2093" s="121"/>
      <c r="I2093" s="121"/>
      <c r="J2093" s="121"/>
      <c r="L2093" s="119"/>
      <c r="M2093" s="119"/>
      <c r="N2093" s="119"/>
    </row>
    <row r="2094" spans="1:30" x14ac:dyDescent="0.2">
      <c r="A2094" s="89" t="s">
        <v>614</v>
      </c>
      <c r="B2094" s="90">
        <f>IF($P$2094&lt;&gt;"",ROUND(AA2094*(($AB$2094/(1-$P$2094))-29.526)/24.7278,2),IF('Resumen 2.0TD'!$D$3="OPTIMIZAR",AA2094,AA2094))</f>
        <v>82.933999999999997</v>
      </c>
      <c r="C2094" s="103"/>
      <c r="D2094" s="92">
        <v>0.11117100000000001</v>
      </c>
      <c r="E2094" s="93">
        <v>0.13788</v>
      </c>
      <c r="F2094" s="94">
        <f t="shared" si="345"/>
        <v>11.43</v>
      </c>
      <c r="H2094" s="121"/>
      <c r="I2094" s="121"/>
      <c r="J2094" s="121"/>
      <c r="L2094" s="119"/>
      <c r="M2094" s="119"/>
      <c r="N2094" s="119"/>
      <c r="O2094" s="104" t="s">
        <v>615</v>
      </c>
      <c r="P2094" s="67"/>
      <c r="AA2094">
        <v>82.933999999999997</v>
      </c>
      <c r="AB2094">
        <f>B2092*D2092+B2093*D2093+AA2094*D2094+AA2095*D2095+AA2096*D2096</f>
        <v>48.486019652999993</v>
      </c>
    </row>
    <row r="2095" spans="1:30" x14ac:dyDescent="0.2">
      <c r="A2095" s="89" t="s">
        <v>617</v>
      </c>
      <c r="B2095" s="90">
        <f>IF($P$2094&lt;&gt;"",ROUND(AA2095*(($AB$2094/(1-$P$2094))-29.526)/24.7278,2),IF('Resumen 2.0TD'!$D$3="OPTIMIZAR",AA2095,AA2095))</f>
        <v>56.982999999999997</v>
      </c>
      <c r="C2095" s="103"/>
      <c r="D2095" s="92">
        <v>0.11117100000000001</v>
      </c>
      <c r="E2095" s="93">
        <v>0.13788</v>
      </c>
      <c r="F2095" s="94">
        <f t="shared" si="345"/>
        <v>7.86</v>
      </c>
      <c r="H2095" s="121"/>
      <c r="I2095" s="121"/>
      <c r="J2095" s="121"/>
      <c r="L2095" s="119"/>
      <c r="M2095" s="119"/>
      <c r="N2095" s="119"/>
      <c r="O2095" s="105" t="s">
        <v>618</v>
      </c>
      <c r="R2095" s="102" t="s">
        <v>619</v>
      </c>
      <c r="AA2095">
        <v>56.982999999999997</v>
      </c>
    </row>
    <row r="2096" spans="1:30" x14ac:dyDescent="0.2">
      <c r="A2096" s="89" t="s">
        <v>620</v>
      </c>
      <c r="B2096" s="90">
        <f>IF($P$2094&lt;&gt;"",ROUND(AA2096*(($AB$2094/(1-$P$2094))-29.526)/24.7278,2),IF('Resumen 2.0TD'!$D$3="OPTIMIZAR",AA2096,AA2096))</f>
        <v>39.426000000000002</v>
      </c>
      <c r="C2096" s="103"/>
      <c r="D2096" s="92">
        <v>0.11117100000000001</v>
      </c>
      <c r="E2096" s="93">
        <v>0.13788</v>
      </c>
      <c r="F2096" s="94">
        <f t="shared" si="345"/>
        <v>5.44</v>
      </c>
      <c r="H2096" s="121"/>
      <c r="I2096" s="121"/>
      <c r="J2096" s="121"/>
      <c r="L2096" s="119"/>
      <c r="M2096" s="119"/>
      <c r="N2096" s="119"/>
      <c r="O2096" s="105" t="s">
        <v>621</v>
      </c>
      <c r="AA2096">
        <v>39.426000000000002</v>
      </c>
    </row>
    <row r="2097" spans="1:30" x14ac:dyDescent="0.2">
      <c r="A2097" s="89" t="s">
        <v>139</v>
      </c>
      <c r="B2097" s="90">
        <v>1</v>
      </c>
      <c r="C2097" s="91">
        <f>$N$2089-$L$2089+1</f>
        <v>30</v>
      </c>
      <c r="D2097" s="92">
        <v>0.79890000000000005</v>
      </c>
      <c r="E2097" s="93">
        <v>3</v>
      </c>
      <c r="F2097" s="94">
        <f t="shared" si="345"/>
        <v>3</v>
      </c>
      <c r="H2097" s="121"/>
      <c r="I2097" s="121"/>
      <c r="J2097" s="121"/>
      <c r="L2097" s="119"/>
      <c r="M2097" s="119"/>
      <c r="N2097" s="119"/>
    </row>
    <row r="2098" spans="1:30" x14ac:dyDescent="0.2">
      <c r="A2098" s="89" t="s">
        <v>140</v>
      </c>
      <c r="B2098" s="90">
        <v>30</v>
      </c>
      <c r="C2098" s="91">
        <f>$N$2089-$L$2089+1</f>
        <v>30</v>
      </c>
      <c r="D2098" s="92">
        <v>0.5736</v>
      </c>
      <c r="E2098" s="93">
        <v>1.274E-2</v>
      </c>
      <c r="F2098" s="94">
        <f t="shared" si="345"/>
        <v>0.38</v>
      </c>
      <c r="H2098" s="121"/>
      <c r="I2098" s="121"/>
      <c r="J2098" s="121"/>
      <c r="L2098" s="119"/>
      <c r="M2098" s="119"/>
      <c r="N2098" s="119"/>
    </row>
    <row r="2099" spans="1:30" x14ac:dyDescent="0.2">
      <c r="A2099" s="89" t="s">
        <v>141</v>
      </c>
      <c r="B2099" s="90">
        <v>2.78</v>
      </c>
      <c r="C2099" s="103"/>
      <c r="D2099" s="92">
        <v>0.27311999999999997</v>
      </c>
      <c r="E2099" s="93">
        <v>1</v>
      </c>
      <c r="F2099" s="94">
        <f t="shared" si="345"/>
        <v>2.78</v>
      </c>
      <c r="H2099" s="121"/>
      <c r="I2099" s="121"/>
      <c r="J2099" s="121"/>
      <c r="L2099" s="119"/>
      <c r="M2099" s="119"/>
      <c r="N2099" s="119"/>
    </row>
    <row r="2100" spans="1:30" x14ac:dyDescent="0.2">
      <c r="A2100" s="106" t="s">
        <v>142</v>
      </c>
      <c r="F2100" s="107">
        <f>ROUND((SUM(F2092:F2099)-F2099)*1.1+F2099,2)</f>
        <v>66.180000000000007</v>
      </c>
      <c r="J2100" s="123"/>
      <c r="N2100" s="120"/>
    </row>
    <row r="2101" spans="1:30" x14ac:dyDescent="0.2">
      <c r="A2101" s="78" t="s">
        <v>143</v>
      </c>
      <c r="B2101" s="110">
        <f>IF((F2096+F2095+F2094+F2092+F2093)=0,"",((F2096+F2095+F2094+F2092+F2093)-$AB$2094)/(F2096+F2095+F2094+F2092+F2093))</f>
        <v>0.10641320211942509</v>
      </c>
      <c r="D2101" s="139" t="str">
        <f>IF(B2101="","SIN PC",IF(B2101&gt;=0.3,"APROBAR",IF(B2101&gt;=0.2,"REVISAR","RECHAZAR")))</f>
        <v>RECHAZAR</v>
      </c>
      <c r="E2101" s="139"/>
      <c r="F2101" s="139"/>
      <c r="AD2101">
        <f>SUM(F2094:F2096)-24.7278</f>
        <v>2.2000000000019782E-3</v>
      </c>
    </row>
    <row r="2103" spans="1:30" x14ac:dyDescent="0.2">
      <c r="A2103" s="137" t="s">
        <v>1474</v>
      </c>
      <c r="B2103" s="137"/>
      <c r="C2103" s="137"/>
      <c r="D2103" s="137"/>
      <c r="E2103" s="137"/>
      <c r="F2103" s="137"/>
      <c r="H2103" s="137" t="s">
        <v>1475</v>
      </c>
      <c r="I2103" s="137"/>
      <c r="J2103" s="137"/>
      <c r="K2103" s="137"/>
      <c r="L2103" s="76">
        <v>46113</v>
      </c>
      <c r="M2103" s="77" t="s">
        <v>607</v>
      </c>
      <c r="N2103" s="76">
        <v>46142</v>
      </c>
      <c r="R2103" s="138" t="s">
        <v>110</v>
      </c>
      <c r="S2103" s="138"/>
      <c r="T2103" s="138"/>
      <c r="U2103" s="138"/>
      <c r="V2103" s="138"/>
    </row>
    <row r="2104" spans="1:30" x14ac:dyDescent="0.2">
      <c r="A2104" s="78" t="s">
        <v>111</v>
      </c>
      <c r="B2104" s="79" t="s">
        <v>112</v>
      </c>
      <c r="C2104" s="80"/>
      <c r="D2104" s="80"/>
      <c r="E2104" s="80"/>
      <c r="F2104" s="80"/>
      <c r="H2104" s="81" t="s">
        <v>1476</v>
      </c>
      <c r="I2104" s="82"/>
      <c r="J2104" s="82"/>
      <c r="L2104" s="83" t="s">
        <v>1477</v>
      </c>
      <c r="M2104" s="84"/>
      <c r="N2104" s="84"/>
      <c r="R2104" s="85" t="s">
        <v>1478</v>
      </c>
    </row>
    <row r="2105" spans="1:30" x14ac:dyDescent="0.2">
      <c r="B2105" s="68" t="s">
        <v>116</v>
      </c>
      <c r="C2105" s="68" t="s">
        <v>117</v>
      </c>
      <c r="D2105" s="68" t="s">
        <v>118</v>
      </c>
      <c r="E2105" s="68" t="s">
        <v>119</v>
      </c>
      <c r="F2105" s="68" t="s">
        <v>120</v>
      </c>
      <c r="H2105" s="86" t="s">
        <v>116</v>
      </c>
      <c r="I2105" s="86" t="s">
        <v>119</v>
      </c>
      <c r="J2105" s="86" t="s">
        <v>120</v>
      </c>
      <c r="L2105" s="87" t="s">
        <v>116</v>
      </c>
      <c r="M2105" s="87" t="s">
        <v>119</v>
      </c>
      <c r="N2105" s="87" t="s">
        <v>120</v>
      </c>
      <c r="R2105" s="88" t="s">
        <v>1479</v>
      </c>
    </row>
    <row r="2106" spans="1:30" x14ac:dyDescent="0.2">
      <c r="A2106" s="89" t="s">
        <v>122</v>
      </c>
      <c r="B2106" s="90">
        <v>14</v>
      </c>
      <c r="C2106" s="91">
        <f>$N$2103-$L$2103+1</f>
        <v>30</v>
      </c>
      <c r="D2106" s="92">
        <v>3.68919</v>
      </c>
      <c r="E2106" s="93">
        <v>3.85</v>
      </c>
      <c r="F2106" s="94">
        <f t="shared" ref="F2106:F2113" si="346">ROUND(B2106*E2106,2)</f>
        <v>53.9</v>
      </c>
      <c r="H2106" s="95">
        <v>14</v>
      </c>
      <c r="I2106" s="96">
        <v>3.85</v>
      </c>
      <c r="J2106" s="97">
        <f t="shared" ref="J2106:J2113" si="347">ROUND(H2106*I2106,2)</f>
        <v>53.9</v>
      </c>
      <c r="L2106" s="98">
        <v>14</v>
      </c>
      <c r="M2106" s="99">
        <v>3.85</v>
      </c>
      <c r="N2106" s="100">
        <f>ROUND(L2106*M2106,2)</f>
        <v>53.9</v>
      </c>
      <c r="R2106" s="101" t="s">
        <v>1480</v>
      </c>
    </row>
    <row r="2107" spans="1:30" x14ac:dyDescent="0.2">
      <c r="A2107" s="89" t="s">
        <v>124</v>
      </c>
      <c r="B2107" s="90">
        <v>14</v>
      </c>
      <c r="C2107" s="91">
        <f>$N$2103-$L$2103+1</f>
        <v>30</v>
      </c>
      <c r="D2107" s="92">
        <v>1.31928</v>
      </c>
      <c r="E2107" s="93">
        <v>1.33</v>
      </c>
      <c r="F2107" s="94">
        <f t="shared" si="346"/>
        <v>18.62</v>
      </c>
      <c r="H2107" s="95">
        <v>14</v>
      </c>
      <c r="I2107" s="96">
        <v>1.33</v>
      </c>
      <c r="J2107" s="97">
        <f t="shared" si="347"/>
        <v>18.62</v>
      </c>
      <c r="L2107" s="98">
        <v>14</v>
      </c>
      <c r="M2107" s="99">
        <v>1.33</v>
      </c>
      <c r="N2107" s="100">
        <f>ROUND(L2107*M2107,2)</f>
        <v>18.62</v>
      </c>
      <c r="R2107" s="102" t="s">
        <v>1481</v>
      </c>
    </row>
    <row r="2108" spans="1:30" x14ac:dyDescent="0.2">
      <c r="A2108" s="89" t="s">
        <v>614</v>
      </c>
      <c r="B2108" s="90">
        <f>IF($P$2108&lt;&gt;"",ROUND(AA2108*(($AB$2108/(1-$P$2108))-72.52)/517.1723,2),IF('Resumen 2.0TD'!$D$3="OPTIMIZAR",ROUND(MAX(AA2108,MIN(AA2108*(($AB$2108/(1-'Resumen 2.0TD'!$F$3))-72.52)/517.1723,AA2108*(943.5278)/517.1723)),3),AA2108))</f>
        <v>1409.915</v>
      </c>
      <c r="C2108" s="103"/>
      <c r="D2108" s="92">
        <v>0.11117100000000001</v>
      </c>
      <c r="E2108" s="93">
        <v>0.13788</v>
      </c>
      <c r="F2108" s="94">
        <f t="shared" si="346"/>
        <v>194.4</v>
      </c>
      <c r="H2108" s="95">
        <v>1180.76</v>
      </c>
      <c r="I2108" s="96">
        <v>0.13788</v>
      </c>
      <c r="J2108" s="97">
        <f t="shared" si="347"/>
        <v>162.80000000000001</v>
      </c>
      <c r="L2108" s="98">
        <v>6850</v>
      </c>
      <c r="M2108" s="99">
        <v>0.13788</v>
      </c>
      <c r="N2108" s="100">
        <f>ROUND(L2108*M2108,2)</f>
        <v>944.48</v>
      </c>
      <c r="O2108" s="104" t="s">
        <v>615</v>
      </c>
      <c r="P2108" s="67"/>
      <c r="R2108" s="102" t="s">
        <v>1482</v>
      </c>
      <c r="AA2108">
        <v>1169.76</v>
      </c>
      <c r="AB2108">
        <f>B2106*D2106+B2107*D2107+AA2108*D2108+AA2109*D2109+AA2110*D2110</f>
        <v>487.10843867700004</v>
      </c>
    </row>
    <row r="2109" spans="1:30" x14ac:dyDescent="0.2">
      <c r="A2109" s="89" t="s">
        <v>617</v>
      </c>
      <c r="B2109" s="90">
        <f>IF($P$2108&lt;&gt;"",ROUND(AA2109*(($AB$2108/(1-$P$2108))-72.52)/517.1723,2),IF('Resumen 2.0TD'!$D$3="OPTIMIZAR",ROUND(MAX(AA2109,MIN(AA2109*(($AB$2108/(1-'Resumen 2.0TD'!$F$3))-72.52)/517.1723,AA2109*(943.5278)/517.1723)),3),AA2109))</f>
        <v>1363.547</v>
      </c>
      <c r="C2109" s="103"/>
      <c r="D2109" s="92">
        <v>0.11117100000000001</v>
      </c>
      <c r="E2109" s="93">
        <v>0.13788</v>
      </c>
      <c r="F2109" s="94">
        <f t="shared" si="346"/>
        <v>188.01</v>
      </c>
      <c r="H2109" s="95">
        <v>1051.29</v>
      </c>
      <c r="I2109" s="96">
        <v>0.13788</v>
      </c>
      <c r="J2109" s="97">
        <f t="shared" si="347"/>
        <v>144.94999999999999</v>
      </c>
      <c r="L2109" s="119"/>
      <c r="M2109" s="119"/>
      <c r="N2109" s="119"/>
      <c r="O2109" s="105" t="s">
        <v>618</v>
      </c>
      <c r="R2109" s="102" t="s">
        <v>619</v>
      </c>
      <c r="AA2109">
        <v>1131.29</v>
      </c>
    </row>
    <row r="2110" spans="1:30" x14ac:dyDescent="0.2">
      <c r="A2110" s="89" t="s">
        <v>620</v>
      </c>
      <c r="B2110" s="90">
        <f>IF($P$2108&lt;&gt;"",ROUND(AA2110*(($AB$2108/(1-$P$2108))-72.52)/517.1723,2),IF('Resumen 2.0TD'!$D$3="OPTIMIZAR",ROUND(MAX(AA2110,MIN(AA2110*(($AB$2108/(1-'Resumen 2.0TD'!$F$3))-72.52)/517.1723,AA2110*(943.5278)/517.1723)),3),AA2110))</f>
        <v>1747.4929999999999</v>
      </c>
      <c r="C2110" s="103"/>
      <c r="D2110" s="92">
        <v>0.11117100000000001</v>
      </c>
      <c r="E2110" s="93">
        <v>0.13788</v>
      </c>
      <c r="F2110" s="94">
        <f t="shared" si="346"/>
        <v>240.94</v>
      </c>
      <c r="H2110" s="95">
        <v>949.83699999999999</v>
      </c>
      <c r="I2110" s="96">
        <v>0.13788</v>
      </c>
      <c r="J2110" s="97">
        <f t="shared" si="347"/>
        <v>130.96</v>
      </c>
      <c r="L2110" s="119"/>
      <c r="M2110" s="119"/>
      <c r="N2110" s="119"/>
      <c r="O2110" s="105" t="s">
        <v>621</v>
      </c>
      <c r="AA2110">
        <v>1449.837</v>
      </c>
    </row>
    <row r="2111" spans="1:30" x14ac:dyDescent="0.2">
      <c r="A2111" s="89" t="s">
        <v>139</v>
      </c>
      <c r="B2111" s="90">
        <v>1</v>
      </c>
      <c r="C2111" s="91">
        <f>$N$2103-$L$2103+1</f>
        <v>30</v>
      </c>
      <c r="D2111" s="92">
        <v>1.3413999999999999</v>
      </c>
      <c r="E2111" s="93">
        <v>3</v>
      </c>
      <c r="F2111" s="94">
        <f t="shared" si="346"/>
        <v>3</v>
      </c>
      <c r="H2111" s="95">
        <v>1</v>
      </c>
      <c r="I2111" s="96">
        <v>3</v>
      </c>
      <c r="J2111" s="97">
        <f t="shared" si="347"/>
        <v>3</v>
      </c>
      <c r="L2111" s="98">
        <v>1</v>
      </c>
      <c r="M2111" s="99">
        <v>3</v>
      </c>
      <c r="N2111" s="100">
        <f>ROUND(L2111*M2111,2)</f>
        <v>3</v>
      </c>
    </row>
    <row r="2112" spans="1:30" x14ac:dyDescent="0.2">
      <c r="A2112" s="89" t="s">
        <v>140</v>
      </c>
      <c r="B2112" s="90">
        <v>30</v>
      </c>
      <c r="C2112" s="91">
        <f>$N$2103-$L$2103+1</f>
        <v>30</v>
      </c>
      <c r="D2112" s="92">
        <v>0.5736</v>
      </c>
      <c r="E2112" s="93">
        <v>1.274E-2</v>
      </c>
      <c r="F2112" s="94">
        <f t="shared" si="346"/>
        <v>0.38</v>
      </c>
      <c r="H2112" s="95">
        <v>30</v>
      </c>
      <c r="I2112" s="96">
        <v>1.274E-2</v>
      </c>
      <c r="J2112" s="97">
        <f t="shared" si="347"/>
        <v>0.38</v>
      </c>
      <c r="L2112" s="98">
        <v>30</v>
      </c>
      <c r="M2112" s="99">
        <v>1.274E-2</v>
      </c>
      <c r="N2112" s="100">
        <f>ROUND(L2112*M2112,2)</f>
        <v>0.38</v>
      </c>
    </row>
    <row r="2113" spans="1:30" x14ac:dyDescent="0.2">
      <c r="A2113" s="89" t="s">
        <v>141</v>
      </c>
      <c r="B2113" s="90">
        <v>31.64</v>
      </c>
      <c r="C2113" s="103"/>
      <c r="D2113" s="92">
        <v>0.27311999999999997</v>
      </c>
      <c r="E2113" s="93">
        <v>1</v>
      </c>
      <c r="F2113" s="94">
        <f t="shared" si="346"/>
        <v>31.64</v>
      </c>
      <c r="H2113" s="95">
        <v>26.13</v>
      </c>
      <c r="I2113" s="96">
        <v>1</v>
      </c>
      <c r="J2113" s="97">
        <f t="shared" si="347"/>
        <v>26.13</v>
      </c>
      <c r="L2113" s="98">
        <v>54.1</v>
      </c>
      <c r="M2113" s="99">
        <v>1</v>
      </c>
      <c r="N2113" s="100">
        <f>ROUND(L2113*M2113,2)</f>
        <v>54.1</v>
      </c>
    </row>
    <row r="2114" spans="1:30" x14ac:dyDescent="0.2">
      <c r="A2114" s="106" t="s">
        <v>142</v>
      </c>
      <c r="F2114" s="107">
        <f>ROUND((SUM(F2106:F2113)-F2113)*1.1+F2113,2)</f>
        <v>800.82</v>
      </c>
      <c r="J2114" s="108">
        <f>ROUND(SUM(J2106:J2113),2)</f>
        <v>540.74</v>
      </c>
      <c r="N2114" s="109">
        <f>ROUND(SUM(N2106:N2113),2)</f>
        <v>1074.48</v>
      </c>
    </row>
    <row r="2115" spans="1:30" x14ac:dyDescent="0.2">
      <c r="A2115" s="78" t="s">
        <v>143</v>
      </c>
      <c r="B2115" s="110">
        <f>IF((F2110+F2109+F2108+F2106+F2107)=0,"",((F2110+F2109+F2108+F2106+F2107)-$AB$2108)/(F2110+F2109+F2108+F2106+F2107))</f>
        <v>0.3000008066492304</v>
      </c>
      <c r="D2115" s="139" t="str">
        <f>IF(B2115="","SIN PC",IF(B2115&gt;=0.3,"APROBAR",IF(B2115&gt;=0.2,"REVISAR","RECHAZAR")))</f>
        <v>APROBAR</v>
      </c>
      <c r="E2115" s="139"/>
      <c r="F2115" s="139"/>
      <c r="AD2115">
        <f>SUM(F2108:F2110)-517.1723</f>
        <v>106.17769999999996</v>
      </c>
    </row>
  </sheetData>
  <mergeCells count="587">
    <mergeCell ref="D2115:F2115"/>
    <mergeCell ref="A2075:F2075"/>
    <mergeCell ref="H2075:K2075"/>
    <mergeCell ref="R2075:V2075"/>
    <mergeCell ref="D2087:F2087"/>
    <mergeCell ref="A2089:F2089"/>
    <mergeCell ref="H2089:K2089"/>
    <mergeCell ref="R2089:V2089"/>
    <mergeCell ref="D2101:F2101"/>
    <mergeCell ref="A2103:F2103"/>
    <mergeCell ref="H2103:K2103"/>
    <mergeCell ref="R2103:V2103"/>
    <mergeCell ref="D2045:F2045"/>
    <mergeCell ref="A2047:F2047"/>
    <mergeCell ref="H2047:K2047"/>
    <mergeCell ref="R2047:V2047"/>
    <mergeCell ref="D2059:F2059"/>
    <mergeCell ref="A2061:F2061"/>
    <mergeCell ref="H2061:K2061"/>
    <mergeCell ref="R2061:V2061"/>
    <mergeCell ref="D2073:F2073"/>
    <mergeCell ref="A2005:F2005"/>
    <mergeCell ref="H2005:K2005"/>
    <mergeCell ref="R2005:V2005"/>
    <mergeCell ref="D2017:F2017"/>
    <mergeCell ref="A2019:F2019"/>
    <mergeCell ref="H2019:K2019"/>
    <mergeCell ref="R2019:V2019"/>
    <mergeCell ref="D2031:F2031"/>
    <mergeCell ref="A2033:F2033"/>
    <mergeCell ref="H2033:K2033"/>
    <mergeCell ref="R2033:V2033"/>
    <mergeCell ref="D1975:F1975"/>
    <mergeCell ref="A1977:F1977"/>
    <mergeCell ref="H1977:K1977"/>
    <mergeCell ref="R1977:V1977"/>
    <mergeCell ref="D1989:F1989"/>
    <mergeCell ref="A1991:F1991"/>
    <mergeCell ref="H1991:K1991"/>
    <mergeCell ref="R1991:V1991"/>
    <mergeCell ref="D2003:F2003"/>
    <mergeCell ref="A1935:F1935"/>
    <mergeCell ref="H1935:K1935"/>
    <mergeCell ref="R1935:V1935"/>
    <mergeCell ref="D1947:F1947"/>
    <mergeCell ref="A1949:F1949"/>
    <mergeCell ref="H1949:K1949"/>
    <mergeCell ref="R1949:V1949"/>
    <mergeCell ref="D1961:F1961"/>
    <mergeCell ref="A1963:F1963"/>
    <mergeCell ref="H1963:K1963"/>
    <mergeCell ref="R1963:V1963"/>
    <mergeCell ref="D1905:F1905"/>
    <mergeCell ref="A1907:F1907"/>
    <mergeCell ref="H1907:K1907"/>
    <mergeCell ref="R1907:V1907"/>
    <mergeCell ref="D1919:F1919"/>
    <mergeCell ref="A1921:F1921"/>
    <mergeCell ref="H1921:K1921"/>
    <mergeCell ref="R1921:V1921"/>
    <mergeCell ref="D1933:F1933"/>
    <mergeCell ref="A1865:F1865"/>
    <mergeCell ref="H1865:K1865"/>
    <mergeCell ref="R1865:V1865"/>
    <mergeCell ref="D1877:F1877"/>
    <mergeCell ref="A1879:F1879"/>
    <mergeCell ref="H1879:K1879"/>
    <mergeCell ref="R1879:V1879"/>
    <mergeCell ref="D1891:F1891"/>
    <mergeCell ref="A1893:F1893"/>
    <mergeCell ref="H1893:K1893"/>
    <mergeCell ref="R1893:V1893"/>
    <mergeCell ref="D1835:F1835"/>
    <mergeCell ref="A1837:F1837"/>
    <mergeCell ref="H1837:K1837"/>
    <mergeCell ref="R1837:V1837"/>
    <mergeCell ref="D1849:F1849"/>
    <mergeCell ref="A1851:F1851"/>
    <mergeCell ref="H1851:K1851"/>
    <mergeCell ref="R1851:V1851"/>
    <mergeCell ref="D1863:F1863"/>
    <mergeCell ref="A1795:F1795"/>
    <mergeCell ref="H1795:K1795"/>
    <mergeCell ref="R1795:V1795"/>
    <mergeCell ref="D1807:F1807"/>
    <mergeCell ref="A1809:F1809"/>
    <mergeCell ref="H1809:K1809"/>
    <mergeCell ref="R1809:V1809"/>
    <mergeCell ref="D1821:F1821"/>
    <mergeCell ref="A1823:F1823"/>
    <mergeCell ref="H1823:K1823"/>
    <mergeCell ref="R1823:V1823"/>
    <mergeCell ref="D1765:F1765"/>
    <mergeCell ref="A1767:F1767"/>
    <mergeCell ref="H1767:K1767"/>
    <mergeCell ref="R1767:V1767"/>
    <mergeCell ref="D1779:F1779"/>
    <mergeCell ref="A1781:F1781"/>
    <mergeCell ref="H1781:K1781"/>
    <mergeCell ref="R1781:V1781"/>
    <mergeCell ref="D1793:F1793"/>
    <mergeCell ref="D1732:F1732"/>
    <mergeCell ref="A1733:F1733"/>
    <mergeCell ref="A1739:F1739"/>
    <mergeCell ref="H1739:K1739"/>
    <mergeCell ref="R1739:V1739"/>
    <mergeCell ref="D1751:F1751"/>
    <mergeCell ref="A1753:F1753"/>
    <mergeCell ref="H1753:K1753"/>
    <mergeCell ref="R1753:V1753"/>
    <mergeCell ref="A1692:F1692"/>
    <mergeCell ref="H1692:K1692"/>
    <mergeCell ref="R1692:V1692"/>
    <mergeCell ref="D1704:F1704"/>
    <mergeCell ref="A1706:F1706"/>
    <mergeCell ref="H1706:K1706"/>
    <mergeCell ref="R1706:V1706"/>
    <mergeCell ref="D1718:F1718"/>
    <mergeCell ref="A1720:F1720"/>
    <mergeCell ref="H1720:K1720"/>
    <mergeCell ref="R1720:V1720"/>
    <mergeCell ref="D1662:F1662"/>
    <mergeCell ref="A1664:F1664"/>
    <mergeCell ref="H1664:K1664"/>
    <mergeCell ref="R1664:V1664"/>
    <mergeCell ref="D1676:F1676"/>
    <mergeCell ref="A1678:F1678"/>
    <mergeCell ref="H1678:K1678"/>
    <mergeCell ref="R1678:V1678"/>
    <mergeCell ref="D1690:F1690"/>
    <mergeCell ref="A1622:F1622"/>
    <mergeCell ref="H1622:K1622"/>
    <mergeCell ref="R1622:V1622"/>
    <mergeCell ref="D1634:F1634"/>
    <mergeCell ref="A1636:F1636"/>
    <mergeCell ref="H1636:K1636"/>
    <mergeCell ref="R1636:V1636"/>
    <mergeCell ref="D1648:F1648"/>
    <mergeCell ref="A1650:F1650"/>
    <mergeCell ref="H1650:K1650"/>
    <mergeCell ref="R1650:V1650"/>
    <mergeCell ref="A1589:F1589"/>
    <mergeCell ref="H1589:K1589"/>
    <mergeCell ref="R1589:V1589"/>
    <mergeCell ref="D1601:F1601"/>
    <mergeCell ref="A1603:F1603"/>
    <mergeCell ref="H1603:K1603"/>
    <mergeCell ref="R1603:V1603"/>
    <mergeCell ref="D1615:F1615"/>
    <mergeCell ref="A1616:F1616"/>
    <mergeCell ref="D1559:F1559"/>
    <mergeCell ref="A1561:F1561"/>
    <mergeCell ref="H1561:K1561"/>
    <mergeCell ref="R1561:V1561"/>
    <mergeCell ref="D1573:F1573"/>
    <mergeCell ref="A1575:F1575"/>
    <mergeCell ref="H1575:K1575"/>
    <mergeCell ref="R1575:V1575"/>
    <mergeCell ref="D1587:F1587"/>
    <mergeCell ref="A1519:F1519"/>
    <mergeCell ref="H1519:K1519"/>
    <mergeCell ref="R1519:V1519"/>
    <mergeCell ref="D1531:F1531"/>
    <mergeCell ref="A1533:F1533"/>
    <mergeCell ref="H1533:K1533"/>
    <mergeCell ref="R1533:V1533"/>
    <mergeCell ref="D1545:F1545"/>
    <mergeCell ref="A1547:F1547"/>
    <mergeCell ref="H1547:K1547"/>
    <mergeCell ref="R1547:V1547"/>
    <mergeCell ref="D1489:F1489"/>
    <mergeCell ref="A1491:F1491"/>
    <mergeCell ref="H1491:K1491"/>
    <mergeCell ref="R1491:V1491"/>
    <mergeCell ref="D1503:F1503"/>
    <mergeCell ref="A1505:F1505"/>
    <mergeCell ref="H1505:K1505"/>
    <mergeCell ref="R1505:V1505"/>
    <mergeCell ref="D1517:F1517"/>
    <mergeCell ref="A1449:F1449"/>
    <mergeCell ref="H1449:K1449"/>
    <mergeCell ref="R1449:V1449"/>
    <mergeCell ref="D1461:F1461"/>
    <mergeCell ref="A1463:F1463"/>
    <mergeCell ref="H1463:K1463"/>
    <mergeCell ref="R1463:V1463"/>
    <mergeCell ref="D1475:F1475"/>
    <mergeCell ref="A1477:F1477"/>
    <mergeCell ref="H1477:K1477"/>
    <mergeCell ref="R1477:V1477"/>
    <mergeCell ref="D1419:F1419"/>
    <mergeCell ref="A1421:F1421"/>
    <mergeCell ref="H1421:K1421"/>
    <mergeCell ref="R1421:V1421"/>
    <mergeCell ref="D1433:F1433"/>
    <mergeCell ref="A1435:F1435"/>
    <mergeCell ref="H1435:K1435"/>
    <mergeCell ref="R1435:V1435"/>
    <mergeCell ref="D1447:F1447"/>
    <mergeCell ref="A1379:F1379"/>
    <mergeCell ref="H1379:K1379"/>
    <mergeCell ref="R1379:V1379"/>
    <mergeCell ref="D1391:F1391"/>
    <mergeCell ref="A1393:F1393"/>
    <mergeCell ref="H1393:K1393"/>
    <mergeCell ref="R1393:V1393"/>
    <mergeCell ref="D1405:F1405"/>
    <mergeCell ref="A1407:F1407"/>
    <mergeCell ref="H1407:K1407"/>
    <mergeCell ref="R1407:V1407"/>
    <mergeCell ref="D1349:F1349"/>
    <mergeCell ref="A1351:F1351"/>
    <mergeCell ref="H1351:K1351"/>
    <mergeCell ref="R1351:V1351"/>
    <mergeCell ref="D1363:F1363"/>
    <mergeCell ref="A1365:F1365"/>
    <mergeCell ref="H1365:K1365"/>
    <mergeCell ref="R1365:V1365"/>
    <mergeCell ref="D1377:F1377"/>
    <mergeCell ref="A1309:F1309"/>
    <mergeCell ref="H1309:K1309"/>
    <mergeCell ref="R1309:V1309"/>
    <mergeCell ref="D1321:F1321"/>
    <mergeCell ref="A1323:F1323"/>
    <mergeCell ref="H1323:K1323"/>
    <mergeCell ref="R1323:V1323"/>
    <mergeCell ref="D1335:F1335"/>
    <mergeCell ref="A1337:F1337"/>
    <mergeCell ref="H1337:K1337"/>
    <mergeCell ref="R1337:V1337"/>
    <mergeCell ref="D1279:F1279"/>
    <mergeCell ref="A1281:F1281"/>
    <mergeCell ref="H1281:K1281"/>
    <mergeCell ref="R1281:V1281"/>
    <mergeCell ref="D1293:F1293"/>
    <mergeCell ref="A1295:F1295"/>
    <mergeCell ref="H1295:K1295"/>
    <mergeCell ref="R1295:V1295"/>
    <mergeCell ref="D1307:F1307"/>
    <mergeCell ref="A1239:F1239"/>
    <mergeCell ref="H1239:K1239"/>
    <mergeCell ref="R1239:V1239"/>
    <mergeCell ref="D1251:F1251"/>
    <mergeCell ref="A1253:F1253"/>
    <mergeCell ref="H1253:K1253"/>
    <mergeCell ref="R1253:V1253"/>
    <mergeCell ref="D1265:F1265"/>
    <mergeCell ref="A1267:F1267"/>
    <mergeCell ref="H1267:K1267"/>
    <mergeCell ref="R1267:V1267"/>
    <mergeCell ref="D1209:F1209"/>
    <mergeCell ref="A1211:F1211"/>
    <mergeCell ref="H1211:K1211"/>
    <mergeCell ref="R1211:V1211"/>
    <mergeCell ref="D1223:F1223"/>
    <mergeCell ref="A1225:F1225"/>
    <mergeCell ref="H1225:K1225"/>
    <mergeCell ref="R1225:V1225"/>
    <mergeCell ref="D1237:F1237"/>
    <mergeCell ref="D1176:F1176"/>
    <mergeCell ref="A1178:F1178"/>
    <mergeCell ref="H1178:K1178"/>
    <mergeCell ref="R1178:V1178"/>
    <mergeCell ref="D1190:F1190"/>
    <mergeCell ref="A1191:F1191"/>
    <mergeCell ref="A1197:F1197"/>
    <mergeCell ref="H1197:K1197"/>
    <mergeCell ref="R1197:V1197"/>
    <mergeCell ref="A1136:F1136"/>
    <mergeCell ref="H1136:K1136"/>
    <mergeCell ref="R1136:V1136"/>
    <mergeCell ref="D1148:F1148"/>
    <mergeCell ref="A1150:F1150"/>
    <mergeCell ref="H1150:K1150"/>
    <mergeCell ref="R1150:V1150"/>
    <mergeCell ref="D1162:F1162"/>
    <mergeCell ref="A1164:F1164"/>
    <mergeCell ref="H1164:K1164"/>
    <mergeCell ref="R1164:V1164"/>
    <mergeCell ref="A1103:F1103"/>
    <mergeCell ref="H1103:K1103"/>
    <mergeCell ref="R1103:V1103"/>
    <mergeCell ref="D1115:F1115"/>
    <mergeCell ref="A1116:F1116"/>
    <mergeCell ref="A1122:F1122"/>
    <mergeCell ref="H1122:K1122"/>
    <mergeCell ref="R1122:V1122"/>
    <mergeCell ref="D1134:F1134"/>
    <mergeCell ref="D1073:F1073"/>
    <mergeCell ref="A1075:F1075"/>
    <mergeCell ref="H1075:K1075"/>
    <mergeCell ref="R1075:V1075"/>
    <mergeCell ref="D1087:F1087"/>
    <mergeCell ref="A1089:F1089"/>
    <mergeCell ref="H1089:K1089"/>
    <mergeCell ref="R1089:V1089"/>
    <mergeCell ref="D1101:F1101"/>
    <mergeCell ref="D1035:F1035"/>
    <mergeCell ref="A1036:F1036"/>
    <mergeCell ref="A1042:F1042"/>
    <mergeCell ref="H1042:K1042"/>
    <mergeCell ref="R1042:V1042"/>
    <mergeCell ref="D1054:F1054"/>
    <mergeCell ref="A1055:F1055"/>
    <mergeCell ref="A1061:F1061"/>
    <mergeCell ref="H1061:K1061"/>
    <mergeCell ref="R1061:V1061"/>
    <mergeCell ref="D1002:F1002"/>
    <mergeCell ref="A1004:F1004"/>
    <mergeCell ref="H1004:K1004"/>
    <mergeCell ref="R1004:V1004"/>
    <mergeCell ref="D1016:F1016"/>
    <mergeCell ref="A1017:F1017"/>
    <mergeCell ref="A1023:F1023"/>
    <mergeCell ref="H1023:K1023"/>
    <mergeCell ref="R1023:V1023"/>
    <mergeCell ref="D969:F969"/>
    <mergeCell ref="A970:F970"/>
    <mergeCell ref="A976:F976"/>
    <mergeCell ref="H976:K976"/>
    <mergeCell ref="R976:V976"/>
    <mergeCell ref="D988:F988"/>
    <mergeCell ref="A990:F990"/>
    <mergeCell ref="H990:K990"/>
    <mergeCell ref="R990:V990"/>
    <mergeCell ref="D936:F936"/>
    <mergeCell ref="A937:F937"/>
    <mergeCell ref="A943:F943"/>
    <mergeCell ref="H943:K943"/>
    <mergeCell ref="R943:V943"/>
    <mergeCell ref="D955:F955"/>
    <mergeCell ref="A957:F957"/>
    <mergeCell ref="H957:K957"/>
    <mergeCell ref="R957:V957"/>
    <mergeCell ref="D903:F903"/>
    <mergeCell ref="A905:F905"/>
    <mergeCell ref="H905:K905"/>
    <mergeCell ref="R905:V905"/>
    <mergeCell ref="D917:F917"/>
    <mergeCell ref="A918:F918"/>
    <mergeCell ref="A924:F924"/>
    <mergeCell ref="H924:K924"/>
    <mergeCell ref="R924:V924"/>
    <mergeCell ref="D870:F870"/>
    <mergeCell ref="A871:F871"/>
    <mergeCell ref="A877:F877"/>
    <mergeCell ref="H877:K877"/>
    <mergeCell ref="R877:V877"/>
    <mergeCell ref="D889:F889"/>
    <mergeCell ref="A891:F891"/>
    <mergeCell ref="H891:K891"/>
    <mergeCell ref="R891:V891"/>
    <mergeCell ref="D832:F832"/>
    <mergeCell ref="A833:F833"/>
    <mergeCell ref="A839:F839"/>
    <mergeCell ref="H839:K839"/>
    <mergeCell ref="R839:V839"/>
    <mergeCell ref="D851:F851"/>
    <mergeCell ref="A852:F852"/>
    <mergeCell ref="A858:F858"/>
    <mergeCell ref="H858:K858"/>
    <mergeCell ref="R858:V858"/>
    <mergeCell ref="D794:F794"/>
    <mergeCell ref="A795:F795"/>
    <mergeCell ref="A801:F801"/>
    <mergeCell ref="H801:K801"/>
    <mergeCell ref="R801:V801"/>
    <mergeCell ref="D813:F813"/>
    <mergeCell ref="A814:F814"/>
    <mergeCell ref="A820:F820"/>
    <mergeCell ref="H820:K820"/>
    <mergeCell ref="R820:V820"/>
    <mergeCell ref="D756:F756"/>
    <mergeCell ref="A757:F757"/>
    <mergeCell ref="A763:F763"/>
    <mergeCell ref="H763:K763"/>
    <mergeCell ref="R763:V763"/>
    <mergeCell ref="D775:F775"/>
    <mergeCell ref="A776:F776"/>
    <mergeCell ref="A782:F782"/>
    <mergeCell ref="H782:K782"/>
    <mergeCell ref="R782:V782"/>
    <mergeCell ref="D718:F718"/>
    <mergeCell ref="A719:F719"/>
    <mergeCell ref="A725:F725"/>
    <mergeCell ref="H725:K725"/>
    <mergeCell ref="R725:V725"/>
    <mergeCell ref="D737:F737"/>
    <mergeCell ref="A738:F738"/>
    <mergeCell ref="A744:F744"/>
    <mergeCell ref="H744:K744"/>
    <mergeCell ref="R744:V744"/>
    <mergeCell ref="D680:F680"/>
    <mergeCell ref="A681:F681"/>
    <mergeCell ref="A687:F687"/>
    <mergeCell ref="H687:K687"/>
    <mergeCell ref="R687:V687"/>
    <mergeCell ref="D699:F699"/>
    <mergeCell ref="A700:F700"/>
    <mergeCell ref="A706:F706"/>
    <mergeCell ref="H706:K706"/>
    <mergeCell ref="R706:V706"/>
    <mergeCell ref="D642:F642"/>
    <mergeCell ref="A643:F643"/>
    <mergeCell ref="A649:F649"/>
    <mergeCell ref="H649:K649"/>
    <mergeCell ref="R649:V649"/>
    <mergeCell ref="D661:F661"/>
    <mergeCell ref="A662:F662"/>
    <mergeCell ref="A668:F668"/>
    <mergeCell ref="H668:K668"/>
    <mergeCell ref="R668:V668"/>
    <mergeCell ref="D604:F604"/>
    <mergeCell ref="A605:F605"/>
    <mergeCell ref="A611:F611"/>
    <mergeCell ref="H611:K611"/>
    <mergeCell ref="R611:V611"/>
    <mergeCell ref="D623:F623"/>
    <mergeCell ref="A624:F624"/>
    <mergeCell ref="A630:F630"/>
    <mergeCell ref="H630:K630"/>
    <mergeCell ref="R630:V630"/>
    <mergeCell ref="D571:F571"/>
    <mergeCell ref="A572:F572"/>
    <mergeCell ref="A578:F578"/>
    <mergeCell ref="H578:K578"/>
    <mergeCell ref="R578:V578"/>
    <mergeCell ref="D590:F590"/>
    <mergeCell ref="A592:F592"/>
    <mergeCell ref="H592:K592"/>
    <mergeCell ref="R592:V592"/>
    <mergeCell ref="D533:F533"/>
    <mergeCell ref="A534:F534"/>
    <mergeCell ref="A540:F540"/>
    <mergeCell ref="H540:K540"/>
    <mergeCell ref="R540:V540"/>
    <mergeCell ref="D552:F552"/>
    <mergeCell ref="A553:F553"/>
    <mergeCell ref="A559:F559"/>
    <mergeCell ref="H559:K559"/>
    <mergeCell ref="R559:V559"/>
    <mergeCell ref="D495:F495"/>
    <mergeCell ref="A496:F496"/>
    <mergeCell ref="A502:F502"/>
    <mergeCell ref="H502:K502"/>
    <mergeCell ref="R502:V502"/>
    <mergeCell ref="D514:F514"/>
    <mergeCell ref="A515:F515"/>
    <mergeCell ref="A521:F521"/>
    <mergeCell ref="H521:K521"/>
    <mergeCell ref="R521:V521"/>
    <mergeCell ref="D457:F457"/>
    <mergeCell ref="A458:F458"/>
    <mergeCell ref="A464:F464"/>
    <mergeCell ref="H464:K464"/>
    <mergeCell ref="R464:V464"/>
    <mergeCell ref="D476:F476"/>
    <mergeCell ref="A477:F477"/>
    <mergeCell ref="A483:F483"/>
    <mergeCell ref="H483:K483"/>
    <mergeCell ref="R483:V483"/>
    <mergeCell ref="D419:F419"/>
    <mergeCell ref="A420:F420"/>
    <mergeCell ref="A426:F426"/>
    <mergeCell ref="H426:K426"/>
    <mergeCell ref="R426:V426"/>
    <mergeCell ref="D438:F438"/>
    <mergeCell ref="A439:F439"/>
    <mergeCell ref="A445:F445"/>
    <mergeCell ref="H445:K445"/>
    <mergeCell ref="R445:V445"/>
    <mergeCell ref="D386:F386"/>
    <mergeCell ref="A388:F388"/>
    <mergeCell ref="H388:K388"/>
    <mergeCell ref="R388:V388"/>
    <mergeCell ref="D400:F400"/>
    <mergeCell ref="A401:F401"/>
    <mergeCell ref="A407:F407"/>
    <mergeCell ref="H407:K407"/>
    <mergeCell ref="R407:V407"/>
    <mergeCell ref="D348:F348"/>
    <mergeCell ref="A349:F349"/>
    <mergeCell ref="A355:F355"/>
    <mergeCell ref="H355:K355"/>
    <mergeCell ref="R355:V355"/>
    <mergeCell ref="D367:F367"/>
    <mergeCell ref="A368:F368"/>
    <mergeCell ref="A374:F374"/>
    <mergeCell ref="H374:K374"/>
    <mergeCell ref="R374:V374"/>
    <mergeCell ref="D315:F315"/>
    <mergeCell ref="A317:F317"/>
    <mergeCell ref="H317:K317"/>
    <mergeCell ref="R317:V317"/>
    <mergeCell ref="D329:F329"/>
    <mergeCell ref="A330:F330"/>
    <mergeCell ref="A336:F336"/>
    <mergeCell ref="H336:K336"/>
    <mergeCell ref="R336:V336"/>
    <mergeCell ref="D277:F277"/>
    <mergeCell ref="A278:F278"/>
    <mergeCell ref="A284:F284"/>
    <mergeCell ref="H284:K284"/>
    <mergeCell ref="R284:V284"/>
    <mergeCell ref="D296:F296"/>
    <mergeCell ref="A297:F297"/>
    <mergeCell ref="A303:F303"/>
    <mergeCell ref="H303:K303"/>
    <mergeCell ref="R303:V303"/>
    <mergeCell ref="D244:F244"/>
    <mergeCell ref="A246:F246"/>
    <mergeCell ref="H246:K246"/>
    <mergeCell ref="R246:V246"/>
    <mergeCell ref="D258:F258"/>
    <mergeCell ref="A259:F259"/>
    <mergeCell ref="A265:F265"/>
    <mergeCell ref="H265:K265"/>
    <mergeCell ref="R265:V265"/>
    <mergeCell ref="D211:F211"/>
    <mergeCell ref="A212:F212"/>
    <mergeCell ref="A218:F218"/>
    <mergeCell ref="H218:K218"/>
    <mergeCell ref="R218:V218"/>
    <mergeCell ref="D230:F230"/>
    <mergeCell ref="A232:F232"/>
    <mergeCell ref="H232:K232"/>
    <mergeCell ref="R232:V232"/>
    <mergeCell ref="A171:F171"/>
    <mergeCell ref="H171:K171"/>
    <mergeCell ref="R171:V171"/>
    <mergeCell ref="D183:F183"/>
    <mergeCell ref="A185:F185"/>
    <mergeCell ref="H185:K185"/>
    <mergeCell ref="R185:V185"/>
    <mergeCell ref="D197:F197"/>
    <mergeCell ref="A199:F199"/>
    <mergeCell ref="H199:K199"/>
    <mergeCell ref="R199:V199"/>
    <mergeCell ref="D141:F141"/>
    <mergeCell ref="A143:F143"/>
    <mergeCell ref="H143:K143"/>
    <mergeCell ref="R143:V143"/>
    <mergeCell ref="D155:F155"/>
    <mergeCell ref="A157:F157"/>
    <mergeCell ref="H157:K157"/>
    <mergeCell ref="R157:V157"/>
    <mergeCell ref="D169:F169"/>
    <mergeCell ref="A101:F101"/>
    <mergeCell ref="H101:K101"/>
    <mergeCell ref="R101:V101"/>
    <mergeCell ref="D113:F113"/>
    <mergeCell ref="A115:F115"/>
    <mergeCell ref="H115:K115"/>
    <mergeCell ref="R115:V115"/>
    <mergeCell ref="D127:F127"/>
    <mergeCell ref="A129:F129"/>
    <mergeCell ref="H129:K129"/>
    <mergeCell ref="R129:V129"/>
    <mergeCell ref="D71:F71"/>
    <mergeCell ref="A73:F73"/>
    <mergeCell ref="H73:K73"/>
    <mergeCell ref="R73:V73"/>
    <mergeCell ref="D85:F85"/>
    <mergeCell ref="A87:F87"/>
    <mergeCell ref="H87:K87"/>
    <mergeCell ref="R87:V87"/>
    <mergeCell ref="D99:F99"/>
    <mergeCell ref="A31:F31"/>
    <mergeCell ref="H31:K31"/>
    <mergeCell ref="R31:V31"/>
    <mergeCell ref="D43:F43"/>
    <mergeCell ref="A45:F45"/>
    <mergeCell ref="H45:K45"/>
    <mergeCell ref="R45:V45"/>
    <mergeCell ref="D57:F57"/>
    <mergeCell ref="A59:F59"/>
    <mergeCell ref="H59:K59"/>
    <mergeCell ref="R59:V59"/>
    <mergeCell ref="A1:N1"/>
    <mergeCell ref="A3:F3"/>
    <mergeCell ref="H3:K3"/>
    <mergeCell ref="R3:V3"/>
    <mergeCell ref="D15:F15"/>
    <mergeCell ref="A17:F17"/>
    <mergeCell ref="H17:K17"/>
    <mergeCell ref="R17:V17"/>
    <mergeCell ref="D29:F29"/>
  </mergeCells>
  <pageMargins left="0.3" right="0.3" top="0.4" bottom="0.4" header="0.511811023622047" footer="0.511811023622047"/>
  <pageSetup fitToHeight="0" orientation="landscape" horizontalDpi="300" verticalDpi="300"/>
  <rowBreaks count="136" manualBreakCount="136">
    <brk id="16" max="16383" man="1"/>
    <brk id="30" max="16383" man="1"/>
    <brk id="44" max="16383" man="1"/>
    <brk id="58" max="16383" man="1"/>
    <brk id="72" max="16383" man="1"/>
    <brk id="86" max="16383" man="1"/>
    <brk id="100" max="16383" man="1"/>
    <brk id="114" max="16383" man="1"/>
    <brk id="128" max="16383" man="1"/>
    <brk id="142" max="16383" man="1"/>
    <brk id="156" max="16383" man="1"/>
    <brk id="170" max="16383" man="1"/>
    <brk id="184" max="16383" man="1"/>
    <brk id="198" max="16383" man="1"/>
    <brk id="217" max="16383" man="1"/>
    <brk id="231" max="16383" man="1"/>
    <brk id="245" max="16383" man="1"/>
    <brk id="264" max="16383" man="1"/>
    <brk id="283" max="16383" man="1"/>
    <brk id="302" max="16383" man="1"/>
    <brk id="316" max="16383" man="1"/>
    <brk id="335" max="16383" man="1"/>
    <brk id="354" max="16383" man="1"/>
    <brk id="373" max="16383" man="1"/>
    <brk id="387" max="16383" man="1"/>
    <brk id="406" max="16383" man="1"/>
    <brk id="425" max="16383" man="1"/>
    <brk id="444" max="16383" man="1"/>
    <brk id="463" max="16383" man="1"/>
    <brk id="482" max="16383" man="1"/>
    <brk id="501" max="16383" man="1"/>
    <brk id="520" max="16383" man="1"/>
    <brk id="539" max="16383" man="1"/>
    <brk id="558" max="16383" man="1"/>
    <brk id="577" max="16383" man="1"/>
    <brk id="591" max="16383" man="1"/>
    <brk id="610" max="16383" man="1"/>
    <brk id="629" max="16383" man="1"/>
    <brk id="648" max="16383" man="1"/>
    <brk id="667" max="16383" man="1"/>
    <brk id="686" max="16383" man="1"/>
    <brk id="705" max="16383" man="1"/>
    <brk id="724" max="16383" man="1"/>
    <brk id="743" max="16383" man="1"/>
    <brk id="762" max="16383" man="1"/>
    <brk id="781" max="16383" man="1"/>
    <brk id="800" max="16383" man="1"/>
    <brk id="819" max="16383" man="1"/>
    <brk id="838" max="16383" man="1"/>
    <brk id="857" max="16383" man="1"/>
    <brk id="876" max="16383" man="1"/>
    <brk id="890" max="16383" man="1"/>
    <brk id="904" max="16383" man="1"/>
    <brk id="923" max="16383" man="1"/>
    <brk id="942" max="16383" man="1"/>
    <brk id="956" max="16383" man="1"/>
    <brk id="975" max="16383" man="1"/>
    <brk id="989" max="16383" man="1"/>
    <brk id="1003" max="16383" man="1"/>
    <brk id="1022" max="16383" man="1"/>
    <brk id="1041" max="16383" man="1"/>
    <brk id="1060" max="16383" man="1"/>
    <brk id="1074" max="16383" man="1"/>
    <brk id="1088" max="16383" man="1"/>
    <brk id="1102" max="16383" man="1"/>
    <brk id="1121" max="16383" man="1"/>
    <brk id="1135" max="16383" man="1"/>
    <brk id="1149" max="16383" man="1"/>
    <brk id="1163" max="16383" man="1"/>
    <brk id="1177" max="16383" man="1"/>
    <brk id="1196" max="16383" man="1"/>
    <brk id="1210" max="16383" man="1"/>
    <brk id="1224" max="16383" man="1"/>
    <brk id="1238" max="16383" man="1"/>
    <brk id="1252" max="16383" man="1"/>
    <brk id="1266" max="16383" man="1"/>
    <brk id="1280" max="16383" man="1"/>
    <brk id="1294" max="16383" man="1"/>
    <brk id="1308" max="16383" man="1"/>
    <brk id="1322" max="16383" man="1"/>
    <brk id="1336" max="16383" man="1"/>
    <brk id="1350" max="16383" man="1"/>
    <brk id="1364" max="16383" man="1"/>
    <brk id="1378" max="16383" man="1"/>
    <brk id="1392" max="16383" man="1"/>
    <brk id="1406" max="16383" man="1"/>
    <brk id="1420" max="16383" man="1"/>
    <brk id="1434" max="16383" man="1"/>
    <brk id="1448" max="16383" man="1"/>
    <brk id="1462" max="16383" man="1"/>
    <brk id="1476" max="16383" man="1"/>
    <brk id="1490" max="16383" man="1"/>
    <brk id="1504" max="16383" man="1"/>
    <brk id="1518" max="16383" man="1"/>
    <brk id="1532" max="16383" man="1"/>
    <brk id="1546" max="16383" man="1"/>
    <brk id="1560" max="16383" man="1"/>
    <brk id="1574" max="16383" man="1"/>
    <brk id="1588" max="16383" man="1"/>
    <brk id="1602" max="16383" man="1"/>
    <brk id="1621" max="16383" man="1"/>
    <brk id="1635" max="16383" man="1"/>
    <brk id="1649" max="16383" man="1"/>
    <brk id="1663" max="16383" man="1"/>
    <brk id="1677" max="16383" man="1"/>
    <brk id="1691" max="16383" man="1"/>
    <brk id="1705" max="16383" man="1"/>
    <brk id="1719" max="16383" man="1"/>
    <brk id="1738" max="16383" man="1"/>
    <brk id="1752" max="16383" man="1"/>
    <brk id="1766" max="16383" man="1"/>
    <brk id="1780" max="16383" man="1"/>
    <brk id="1794" max="16383" man="1"/>
    <brk id="1808" max="16383" man="1"/>
    <brk id="1822" max="16383" man="1"/>
    <brk id="1836" max="16383" man="1"/>
    <brk id="1850" max="16383" man="1"/>
    <brk id="1864" max="16383" man="1"/>
    <brk id="1878" max="16383" man="1"/>
    <brk id="1892" max="16383" man="1"/>
    <brk id="1906" max="16383" man="1"/>
    <brk id="1920" max="16383" man="1"/>
    <brk id="1934" max="16383" man="1"/>
    <brk id="1948" max="16383" man="1"/>
    <brk id="1962" max="16383" man="1"/>
    <brk id="1976" max="16383" man="1"/>
    <brk id="1990" max="16383" man="1"/>
    <brk id="2004" max="16383" man="1"/>
    <brk id="2018" max="16383" man="1"/>
    <brk id="2032" max="16383" man="1"/>
    <brk id="2046" max="16383" man="1"/>
    <brk id="2060" max="16383" man="1"/>
    <brk id="2074" max="16383" man="1"/>
    <brk id="2088" max="16383" man="1"/>
    <brk id="2102" max="16383" man="1"/>
    <brk id="211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8"/>
  <sheetViews>
    <sheetView zoomScaleNormal="100" workbookViewId="0"/>
  </sheetViews>
  <sheetFormatPr baseColWidth="10" defaultColWidth="8.6640625" defaultRowHeight="15" x14ac:dyDescent="0.2"/>
  <sheetData>
    <row r="1" spans="1:25" ht="15" customHeight="1" x14ac:dyDescent="0.2">
      <c r="A1" t="s">
        <v>1483</v>
      </c>
      <c r="B1" t="s">
        <v>1484</v>
      </c>
      <c r="C1" t="s">
        <v>1485</v>
      </c>
      <c r="D1" t="s">
        <v>1486</v>
      </c>
      <c r="E1" t="s">
        <v>1487</v>
      </c>
      <c r="F1" t="s">
        <v>1488</v>
      </c>
      <c r="G1" t="s">
        <v>1489</v>
      </c>
      <c r="H1" t="s">
        <v>1490</v>
      </c>
      <c r="I1" t="s">
        <v>1491</v>
      </c>
      <c r="J1" t="s">
        <v>1492</v>
      </c>
      <c r="K1" t="s">
        <v>1493</v>
      </c>
      <c r="L1" t="s">
        <v>1494</v>
      </c>
      <c r="M1" t="s">
        <v>1495</v>
      </c>
      <c r="N1" t="s">
        <v>1496</v>
      </c>
      <c r="O1" t="s">
        <v>1497</v>
      </c>
      <c r="P1" t="s">
        <v>1498</v>
      </c>
      <c r="Q1" t="s">
        <v>1499</v>
      </c>
      <c r="R1" t="s">
        <v>1500</v>
      </c>
      <c r="S1" t="s">
        <v>1501</v>
      </c>
      <c r="T1" t="s">
        <v>1502</v>
      </c>
      <c r="U1" t="s">
        <v>1503</v>
      </c>
      <c r="V1" t="s">
        <v>1504</v>
      </c>
      <c r="W1" t="s">
        <v>1505</v>
      </c>
      <c r="X1" t="s">
        <v>1506</v>
      </c>
      <c r="Y1" t="s">
        <v>1507</v>
      </c>
    </row>
    <row r="2" spans="1:25" ht="15" customHeight="1" x14ac:dyDescent="0.2">
      <c r="A2" t="s">
        <v>27</v>
      </c>
      <c r="B2">
        <v>1823.2</v>
      </c>
      <c r="C2">
        <v>2200.79</v>
      </c>
      <c r="D2">
        <v>1506.86</v>
      </c>
      <c r="E2">
        <v>1294.73</v>
      </c>
      <c r="F2">
        <v>701.24</v>
      </c>
      <c r="G2">
        <v>2057.58</v>
      </c>
      <c r="H2">
        <v>704.65</v>
      </c>
      <c r="I2">
        <v>1131.33</v>
      </c>
      <c r="J2">
        <v>1195.22</v>
      </c>
      <c r="K2">
        <v>1397.39</v>
      </c>
      <c r="L2">
        <v>1489.78</v>
      </c>
      <c r="M2">
        <v>1604.92</v>
      </c>
      <c r="N2">
        <v>2264.6799999999998</v>
      </c>
      <c r="O2">
        <v>2392.2199999999998</v>
      </c>
      <c r="P2">
        <v>1906.5</v>
      </c>
      <c r="Q2">
        <v>1541.7</v>
      </c>
      <c r="R2">
        <v>1553.06</v>
      </c>
      <c r="S2">
        <v>1623.98</v>
      </c>
      <c r="T2">
        <v>1669.87</v>
      </c>
      <c r="U2">
        <v>1287.26</v>
      </c>
      <c r="V2">
        <v>1560.23</v>
      </c>
      <c r="W2">
        <v>1696.52</v>
      </c>
      <c r="X2">
        <v>1398.99</v>
      </c>
      <c r="Y2">
        <v>1699.39</v>
      </c>
    </row>
    <row r="3" spans="1:25" ht="15" customHeight="1" x14ac:dyDescent="0.2">
      <c r="A3" t="s">
        <v>31</v>
      </c>
      <c r="B3">
        <v>2278.23</v>
      </c>
      <c r="C3">
        <v>2606.4899999999998</v>
      </c>
      <c r="D3">
        <v>1372.78</v>
      </c>
      <c r="E3">
        <v>1218.04</v>
      </c>
      <c r="F3">
        <v>852.42</v>
      </c>
      <c r="G3">
        <v>892.96</v>
      </c>
      <c r="H3">
        <v>526.46</v>
      </c>
      <c r="I3">
        <v>703.02</v>
      </c>
      <c r="J3">
        <v>973.88</v>
      </c>
      <c r="K3">
        <v>1071.5</v>
      </c>
      <c r="L3">
        <v>1198.45</v>
      </c>
      <c r="M3">
        <v>1352.91</v>
      </c>
      <c r="N3">
        <v>2137.7800000000002</v>
      </c>
      <c r="O3">
        <v>2576.37</v>
      </c>
      <c r="P3">
        <v>1966.13</v>
      </c>
      <c r="Q3">
        <v>1508.21</v>
      </c>
      <c r="R3">
        <v>982.22</v>
      </c>
      <c r="S3">
        <v>980.76</v>
      </c>
      <c r="T3">
        <v>639.12</v>
      </c>
      <c r="U3">
        <v>1081.3900000000001</v>
      </c>
      <c r="V3">
        <v>1166.31</v>
      </c>
      <c r="W3">
        <v>1408.31</v>
      </c>
      <c r="X3">
        <v>1317.52</v>
      </c>
      <c r="Y3">
        <v>0</v>
      </c>
    </row>
    <row r="4" spans="1:25" ht="15" customHeight="1" x14ac:dyDescent="0.2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1625.21</v>
      </c>
      <c r="V4">
        <v>3262.26</v>
      </c>
      <c r="W4">
        <v>3637.92</v>
      </c>
      <c r="X4">
        <v>3747.07</v>
      </c>
      <c r="Y4">
        <v>0</v>
      </c>
    </row>
    <row r="5" spans="1:25" ht="15" customHeight="1" x14ac:dyDescent="0.2">
      <c r="A5" t="s">
        <v>37</v>
      </c>
      <c r="B5">
        <v>4696.57</v>
      </c>
      <c r="C5">
        <v>5119.32</v>
      </c>
      <c r="D5">
        <v>3940.09</v>
      </c>
      <c r="E5">
        <v>4434.05</v>
      </c>
      <c r="F5">
        <v>4230.84</v>
      </c>
      <c r="G5">
        <v>4056.83</v>
      </c>
      <c r="H5">
        <v>3691.35</v>
      </c>
      <c r="I5">
        <v>4434.05</v>
      </c>
      <c r="J5">
        <v>4606.2299999999996</v>
      </c>
      <c r="K5">
        <v>3691.35</v>
      </c>
      <c r="L5">
        <v>3472.32</v>
      </c>
      <c r="M5">
        <v>3278.22</v>
      </c>
      <c r="N5">
        <v>4267.4799999999996</v>
      </c>
      <c r="O5">
        <v>4424.0200000000004</v>
      </c>
      <c r="P5">
        <v>3939.03</v>
      </c>
      <c r="Q5">
        <v>3404.76</v>
      </c>
      <c r="R5">
        <v>3733.87</v>
      </c>
      <c r="S5">
        <v>3769.58</v>
      </c>
      <c r="T5">
        <v>2917.21</v>
      </c>
      <c r="U5">
        <v>3522.69</v>
      </c>
      <c r="V5">
        <v>3557.98</v>
      </c>
      <c r="W5">
        <v>3087.33</v>
      </c>
      <c r="X5">
        <v>3133.52</v>
      </c>
      <c r="Y5">
        <v>3743.04</v>
      </c>
    </row>
    <row r="6" spans="1:25" ht="15" customHeight="1" x14ac:dyDescent="0.2">
      <c r="A6" t="s">
        <v>41</v>
      </c>
      <c r="B6">
        <v>643.79</v>
      </c>
      <c r="C6">
        <v>476.53</v>
      </c>
      <c r="D6">
        <v>592.29999999999995</v>
      </c>
      <c r="E6">
        <v>631.05999999999995</v>
      </c>
      <c r="F6">
        <v>457.49</v>
      </c>
      <c r="G6">
        <v>578.16</v>
      </c>
      <c r="H6">
        <v>596.33000000000004</v>
      </c>
      <c r="I6">
        <v>602.79</v>
      </c>
      <c r="J6">
        <v>791.23</v>
      </c>
      <c r="K6">
        <v>624.49</v>
      </c>
      <c r="L6">
        <v>601.33000000000004</v>
      </c>
      <c r="M6">
        <v>711.31</v>
      </c>
      <c r="N6">
        <v>738.16</v>
      </c>
      <c r="O6">
        <v>605.42999999999995</v>
      </c>
      <c r="P6">
        <v>803.47</v>
      </c>
      <c r="Q6">
        <v>816.36</v>
      </c>
      <c r="R6">
        <v>572.69000000000005</v>
      </c>
      <c r="S6">
        <v>690.5</v>
      </c>
      <c r="T6">
        <v>712.22</v>
      </c>
      <c r="U6">
        <v>695.09</v>
      </c>
      <c r="V6">
        <v>791.23</v>
      </c>
      <c r="W6">
        <v>741.17</v>
      </c>
      <c r="X6">
        <v>782.58</v>
      </c>
      <c r="Y6">
        <v>755.25</v>
      </c>
    </row>
    <row r="7" spans="1:25" ht="15" customHeight="1" x14ac:dyDescent="0.2">
      <c r="A7" t="s">
        <v>44</v>
      </c>
      <c r="B7">
        <v>632.44000000000005</v>
      </c>
      <c r="C7">
        <v>592.69000000000005</v>
      </c>
      <c r="D7">
        <v>610.04</v>
      </c>
      <c r="E7">
        <v>632.66</v>
      </c>
      <c r="F7">
        <v>637.17999999999995</v>
      </c>
      <c r="G7">
        <v>207.37</v>
      </c>
      <c r="H7">
        <v>706.19</v>
      </c>
      <c r="I7">
        <v>645.52</v>
      </c>
      <c r="J7">
        <v>899.33</v>
      </c>
      <c r="K7">
        <v>591.1</v>
      </c>
      <c r="L7">
        <v>643.89</v>
      </c>
      <c r="M7">
        <v>696.92</v>
      </c>
      <c r="N7">
        <v>731.73</v>
      </c>
      <c r="O7">
        <v>688.65</v>
      </c>
      <c r="P7">
        <v>794.97</v>
      </c>
      <c r="Q7">
        <v>824.16</v>
      </c>
      <c r="R7">
        <v>684.8</v>
      </c>
      <c r="S7">
        <v>331.28</v>
      </c>
      <c r="T7">
        <v>819.21</v>
      </c>
      <c r="U7">
        <v>753.83</v>
      </c>
      <c r="V7">
        <v>1018.62</v>
      </c>
      <c r="W7">
        <v>685.61</v>
      </c>
      <c r="X7">
        <v>741.79</v>
      </c>
      <c r="Y7">
        <v>789.76</v>
      </c>
    </row>
    <row r="8" spans="1:25" ht="15" customHeight="1" x14ac:dyDescent="0.2">
      <c r="A8" t="s">
        <v>46</v>
      </c>
      <c r="B8">
        <v>524.5</v>
      </c>
      <c r="C8">
        <v>166.78</v>
      </c>
      <c r="D8">
        <v>444.46</v>
      </c>
      <c r="E8">
        <v>345.59</v>
      </c>
      <c r="F8">
        <v>0</v>
      </c>
      <c r="G8">
        <v>233.91</v>
      </c>
      <c r="H8">
        <v>294.11</v>
      </c>
      <c r="I8">
        <v>270.48</v>
      </c>
      <c r="J8">
        <v>383.23</v>
      </c>
      <c r="K8">
        <v>290.33</v>
      </c>
      <c r="L8">
        <v>336.88</v>
      </c>
      <c r="M8">
        <v>502.61</v>
      </c>
      <c r="N8">
        <v>634.9</v>
      </c>
      <c r="O8">
        <v>239.55</v>
      </c>
      <c r="P8">
        <v>628.5</v>
      </c>
      <c r="Q8">
        <v>440.92</v>
      </c>
      <c r="R8">
        <v>411.49</v>
      </c>
      <c r="S8">
        <v>407.39</v>
      </c>
      <c r="T8">
        <v>420.96</v>
      </c>
      <c r="U8">
        <v>391.83</v>
      </c>
      <c r="V8">
        <v>427.24</v>
      </c>
      <c r="W8">
        <v>354.48</v>
      </c>
      <c r="X8">
        <v>412.63</v>
      </c>
      <c r="Y8">
        <v>593.22</v>
      </c>
    </row>
    <row r="9" spans="1:25" ht="15" customHeight="1" x14ac:dyDescent="0.2">
      <c r="A9" t="s">
        <v>48</v>
      </c>
      <c r="B9">
        <v>4475.16</v>
      </c>
      <c r="C9">
        <v>4612.54</v>
      </c>
      <c r="D9">
        <v>3701.38</v>
      </c>
      <c r="E9">
        <v>4561.47</v>
      </c>
      <c r="F9">
        <v>3334.09</v>
      </c>
      <c r="G9">
        <v>3216.6</v>
      </c>
      <c r="H9">
        <v>2924.41</v>
      </c>
      <c r="I9">
        <v>2743.54</v>
      </c>
      <c r="J9">
        <v>3702.5</v>
      </c>
      <c r="K9">
        <v>3817.43</v>
      </c>
      <c r="L9">
        <v>3300.04</v>
      </c>
      <c r="M9">
        <v>2798.1</v>
      </c>
      <c r="N9">
        <v>3784.48</v>
      </c>
      <c r="O9">
        <v>3716.14</v>
      </c>
      <c r="P9">
        <v>3334.45</v>
      </c>
      <c r="Q9">
        <v>3275.16</v>
      </c>
      <c r="R9">
        <v>3190.07</v>
      </c>
      <c r="S9">
        <v>2956.24</v>
      </c>
      <c r="T9">
        <v>2736.06</v>
      </c>
      <c r="U9">
        <v>2890.35</v>
      </c>
      <c r="V9">
        <v>3365.79</v>
      </c>
      <c r="W9">
        <v>2721.04</v>
      </c>
      <c r="X9">
        <v>2640.22</v>
      </c>
      <c r="Y9">
        <v>3260.09</v>
      </c>
    </row>
    <row r="10" spans="1:25" ht="15" customHeight="1" x14ac:dyDescent="0.2">
      <c r="A10" t="s">
        <v>51</v>
      </c>
      <c r="B10">
        <v>151.82</v>
      </c>
      <c r="C10">
        <v>199.06</v>
      </c>
      <c r="D10">
        <v>183.84</v>
      </c>
      <c r="E10">
        <v>178.12</v>
      </c>
      <c r="F10">
        <v>184.03</v>
      </c>
      <c r="G10">
        <v>163.02000000000001</v>
      </c>
      <c r="H10">
        <v>136.55000000000001</v>
      </c>
      <c r="I10">
        <v>104.41</v>
      </c>
      <c r="J10">
        <v>98.7</v>
      </c>
      <c r="K10">
        <v>40.049999999999997</v>
      </c>
      <c r="L10">
        <v>67.349999999999994</v>
      </c>
      <c r="M10">
        <v>65.709999999999994</v>
      </c>
      <c r="N10">
        <v>361.06</v>
      </c>
      <c r="O10">
        <v>201.13</v>
      </c>
      <c r="P10">
        <v>85.6</v>
      </c>
      <c r="Q10">
        <v>63.93</v>
      </c>
      <c r="R10">
        <v>60.72</v>
      </c>
      <c r="S10">
        <v>51.57</v>
      </c>
      <c r="T10">
        <v>43.55</v>
      </c>
      <c r="U10">
        <v>40.369999999999997</v>
      </c>
      <c r="V10">
        <v>82.31</v>
      </c>
      <c r="W10">
        <v>38.53</v>
      </c>
      <c r="X10">
        <v>39.81</v>
      </c>
      <c r="Y10">
        <v>0</v>
      </c>
    </row>
    <row r="11" spans="1:25" ht="15" customHeight="1" x14ac:dyDescent="0.2">
      <c r="A11" t="s">
        <v>54</v>
      </c>
      <c r="B11">
        <v>1167.19</v>
      </c>
      <c r="C11">
        <v>1131.8599999999999</v>
      </c>
      <c r="D11">
        <v>610.86</v>
      </c>
      <c r="E11">
        <v>553.94000000000005</v>
      </c>
      <c r="F11">
        <v>544.65</v>
      </c>
      <c r="G11">
        <v>727.09</v>
      </c>
      <c r="H11">
        <v>952.35</v>
      </c>
      <c r="I11">
        <v>581.27</v>
      </c>
      <c r="J11">
        <v>746.2</v>
      </c>
      <c r="K11">
        <v>543.77</v>
      </c>
      <c r="L11">
        <v>442.06</v>
      </c>
      <c r="M11">
        <v>643.80999999999995</v>
      </c>
      <c r="N11">
        <v>881.89</v>
      </c>
      <c r="O11">
        <v>963.15</v>
      </c>
      <c r="P11">
        <v>800.92</v>
      </c>
      <c r="Q11">
        <v>588.39</v>
      </c>
      <c r="R11">
        <v>478.95</v>
      </c>
      <c r="S11">
        <v>812.61</v>
      </c>
      <c r="T11">
        <v>783.67</v>
      </c>
      <c r="U11">
        <v>595.95000000000005</v>
      </c>
      <c r="V11">
        <v>634.87</v>
      </c>
      <c r="W11">
        <v>433.2</v>
      </c>
      <c r="X11">
        <v>544.11</v>
      </c>
      <c r="Y11">
        <v>0</v>
      </c>
    </row>
    <row r="12" spans="1:25" ht="15" customHeight="1" x14ac:dyDescent="0.2">
      <c r="A12" t="s">
        <v>58</v>
      </c>
      <c r="B12">
        <v>128.85</v>
      </c>
      <c r="C12">
        <v>119.74</v>
      </c>
      <c r="D12">
        <v>120.37</v>
      </c>
      <c r="E12">
        <v>126</v>
      </c>
      <c r="F12">
        <v>121.75</v>
      </c>
      <c r="G12">
        <v>129.12</v>
      </c>
      <c r="H12">
        <v>118.2</v>
      </c>
      <c r="I12">
        <v>116.61</v>
      </c>
      <c r="J12">
        <v>118.21</v>
      </c>
      <c r="K12">
        <v>118.11</v>
      </c>
      <c r="L12">
        <v>120.31</v>
      </c>
      <c r="M12">
        <v>110.46</v>
      </c>
      <c r="N12">
        <v>126.3</v>
      </c>
      <c r="O12">
        <v>120.84</v>
      </c>
      <c r="P12">
        <v>118.41</v>
      </c>
      <c r="Q12">
        <v>110.34</v>
      </c>
      <c r="R12">
        <v>143.28</v>
      </c>
      <c r="S12">
        <v>123.63</v>
      </c>
      <c r="T12">
        <v>117.54</v>
      </c>
      <c r="U12">
        <v>119.84</v>
      </c>
      <c r="V12">
        <v>122.01</v>
      </c>
      <c r="W12">
        <v>115.84</v>
      </c>
      <c r="X12">
        <v>0</v>
      </c>
      <c r="Y12">
        <v>0</v>
      </c>
    </row>
    <row r="13" spans="1:25" ht="15" customHeight="1" x14ac:dyDescent="0.2">
      <c r="A13" t="s">
        <v>61</v>
      </c>
      <c r="B13">
        <v>1506.8</v>
      </c>
      <c r="C13">
        <v>1792.99</v>
      </c>
      <c r="D13">
        <v>833.07</v>
      </c>
      <c r="E13">
        <v>766.01</v>
      </c>
      <c r="F13">
        <v>194.02</v>
      </c>
      <c r="G13">
        <v>665.19</v>
      </c>
      <c r="H13">
        <v>676.36</v>
      </c>
      <c r="I13">
        <v>603.95000000000005</v>
      </c>
      <c r="J13">
        <v>730.96</v>
      </c>
      <c r="K13">
        <v>678.97</v>
      </c>
      <c r="L13">
        <v>774.09</v>
      </c>
      <c r="M13">
        <v>774.72</v>
      </c>
      <c r="N13">
        <v>1594.97</v>
      </c>
      <c r="O13">
        <v>1863.52</v>
      </c>
      <c r="P13">
        <v>1379.87</v>
      </c>
      <c r="Q13">
        <v>902.28</v>
      </c>
      <c r="R13">
        <v>243.48</v>
      </c>
      <c r="S13">
        <v>790.46</v>
      </c>
      <c r="T13">
        <v>762.17</v>
      </c>
      <c r="U13">
        <v>615.97</v>
      </c>
      <c r="V13">
        <v>542.6</v>
      </c>
      <c r="W13">
        <v>641.55999999999995</v>
      </c>
      <c r="X13">
        <v>747.69</v>
      </c>
      <c r="Y13">
        <v>0</v>
      </c>
    </row>
    <row r="14" spans="1:25" ht="15" customHeight="1" x14ac:dyDescent="0.2">
      <c r="A14" t="s">
        <v>64</v>
      </c>
      <c r="B14">
        <v>693.23</v>
      </c>
      <c r="C14">
        <v>552.9</v>
      </c>
      <c r="D14">
        <v>433.72</v>
      </c>
      <c r="E14">
        <v>362.57</v>
      </c>
      <c r="F14">
        <v>340.99</v>
      </c>
      <c r="G14">
        <v>389.79</v>
      </c>
      <c r="H14">
        <v>446.52</v>
      </c>
      <c r="I14">
        <v>418.69</v>
      </c>
      <c r="J14">
        <v>387.06</v>
      </c>
      <c r="K14">
        <v>287.83999999999997</v>
      </c>
      <c r="L14">
        <v>309.27999999999997</v>
      </c>
      <c r="M14">
        <v>360.8</v>
      </c>
      <c r="N14">
        <v>523.09</v>
      </c>
      <c r="O14">
        <v>475.61</v>
      </c>
      <c r="P14">
        <v>414.61</v>
      </c>
      <c r="Q14">
        <v>335.53</v>
      </c>
      <c r="R14">
        <v>354.84</v>
      </c>
      <c r="S14">
        <v>421.51</v>
      </c>
      <c r="T14">
        <v>502.41</v>
      </c>
      <c r="U14">
        <v>454.39</v>
      </c>
      <c r="V14">
        <v>353.18</v>
      </c>
      <c r="W14">
        <v>161.47</v>
      </c>
      <c r="X14">
        <v>302.83999999999997</v>
      </c>
      <c r="Y14">
        <v>0</v>
      </c>
    </row>
    <row r="15" spans="1:25" ht="15" customHeight="1" x14ac:dyDescent="0.2">
      <c r="A15" t="s">
        <v>67</v>
      </c>
      <c r="B15">
        <v>153.99</v>
      </c>
      <c r="C15">
        <v>163.34</v>
      </c>
      <c r="D15">
        <v>87.39</v>
      </c>
      <c r="E15">
        <v>84.32</v>
      </c>
      <c r="F15">
        <v>56.29</v>
      </c>
      <c r="G15">
        <v>72.5</v>
      </c>
      <c r="H15">
        <v>86.78</v>
      </c>
      <c r="I15">
        <v>75.95</v>
      </c>
      <c r="J15">
        <v>62.51</v>
      </c>
      <c r="K15">
        <v>89.8</v>
      </c>
      <c r="L15">
        <v>102.08</v>
      </c>
      <c r="M15">
        <v>160.63</v>
      </c>
      <c r="N15">
        <v>240.96</v>
      </c>
      <c r="O15">
        <v>176.31</v>
      </c>
      <c r="P15">
        <v>154.65</v>
      </c>
      <c r="Q15">
        <v>105.42</v>
      </c>
      <c r="R15">
        <v>106.51</v>
      </c>
      <c r="S15">
        <v>147.06</v>
      </c>
      <c r="T15">
        <v>201.1</v>
      </c>
      <c r="U15">
        <v>180.88</v>
      </c>
      <c r="V15">
        <v>134.57</v>
      </c>
      <c r="W15">
        <v>119.32</v>
      </c>
      <c r="X15">
        <v>107.6</v>
      </c>
      <c r="Y15">
        <v>0</v>
      </c>
    </row>
    <row r="16" spans="1:25" ht="15" customHeight="1" x14ac:dyDescent="0.2">
      <c r="A16" t="s">
        <v>70</v>
      </c>
      <c r="B16">
        <v>603.54</v>
      </c>
      <c r="C16">
        <v>655.43</v>
      </c>
      <c r="D16">
        <v>506.31</v>
      </c>
      <c r="E16">
        <v>465.23</v>
      </c>
      <c r="F16">
        <v>409.29</v>
      </c>
      <c r="G16">
        <v>548.46</v>
      </c>
      <c r="H16">
        <v>492.1</v>
      </c>
      <c r="I16">
        <v>491.6</v>
      </c>
      <c r="J16">
        <v>623.9</v>
      </c>
      <c r="K16">
        <v>695.32</v>
      </c>
      <c r="L16">
        <v>685.39</v>
      </c>
      <c r="M16">
        <v>604.64</v>
      </c>
      <c r="N16">
        <v>607.41</v>
      </c>
      <c r="O16">
        <v>743.97</v>
      </c>
      <c r="P16">
        <v>563.07000000000005</v>
      </c>
      <c r="Q16">
        <v>543.73</v>
      </c>
      <c r="R16">
        <v>537.26</v>
      </c>
      <c r="S16">
        <v>451.19</v>
      </c>
      <c r="T16">
        <v>441.06</v>
      </c>
      <c r="U16">
        <v>574.27</v>
      </c>
      <c r="V16">
        <v>531.25</v>
      </c>
      <c r="W16">
        <v>552.85</v>
      </c>
      <c r="X16">
        <v>562.65</v>
      </c>
      <c r="Y16">
        <v>0</v>
      </c>
    </row>
    <row r="17" spans="1:25" ht="15" customHeight="1" x14ac:dyDescent="0.2">
      <c r="A17" t="s">
        <v>73</v>
      </c>
      <c r="B17">
        <v>151.82</v>
      </c>
      <c r="C17">
        <v>199.06</v>
      </c>
      <c r="D17">
        <v>183.84</v>
      </c>
      <c r="E17">
        <v>178.12</v>
      </c>
      <c r="F17">
        <v>184.03</v>
      </c>
      <c r="G17">
        <v>163.02000000000001</v>
      </c>
      <c r="H17">
        <v>136.55000000000001</v>
      </c>
      <c r="I17">
        <v>104.41</v>
      </c>
      <c r="J17">
        <v>98.7</v>
      </c>
      <c r="K17">
        <v>40.049999999999997</v>
      </c>
      <c r="L17">
        <v>67.349999999999994</v>
      </c>
      <c r="M17">
        <v>65.709999999999994</v>
      </c>
      <c r="N17">
        <v>361.06</v>
      </c>
      <c r="O17">
        <v>201.13</v>
      </c>
      <c r="P17">
        <v>85.6</v>
      </c>
      <c r="Q17">
        <v>63.93</v>
      </c>
      <c r="R17">
        <v>60.72</v>
      </c>
      <c r="S17">
        <v>51.57</v>
      </c>
      <c r="T17">
        <v>43.55</v>
      </c>
      <c r="U17">
        <v>40.369999999999997</v>
      </c>
      <c r="V17">
        <v>82.31</v>
      </c>
      <c r="W17">
        <v>38.53</v>
      </c>
      <c r="X17">
        <v>39.81</v>
      </c>
      <c r="Y17">
        <v>0</v>
      </c>
    </row>
    <row r="18" spans="1:25" ht="15" customHeight="1" x14ac:dyDescent="0.2">
      <c r="A18" t="s">
        <v>74</v>
      </c>
      <c r="B18">
        <v>0</v>
      </c>
      <c r="C18">
        <v>0</v>
      </c>
      <c r="D18">
        <v>0</v>
      </c>
      <c r="E18">
        <v>0</v>
      </c>
      <c r="F18">
        <v>262.87</v>
      </c>
      <c r="G18">
        <v>272.44</v>
      </c>
      <c r="H18">
        <v>322.45</v>
      </c>
      <c r="I18">
        <v>279.82</v>
      </c>
      <c r="J18">
        <v>300.62</v>
      </c>
      <c r="K18">
        <v>288.22000000000003</v>
      </c>
      <c r="L18">
        <v>286.45999999999998</v>
      </c>
      <c r="M18">
        <v>299.16000000000003</v>
      </c>
      <c r="N18">
        <v>319.89</v>
      </c>
      <c r="O18">
        <v>367.14</v>
      </c>
      <c r="P18">
        <v>403.18</v>
      </c>
      <c r="Q18">
        <v>340.89</v>
      </c>
      <c r="R18">
        <v>356.84</v>
      </c>
      <c r="S18">
        <v>348.94</v>
      </c>
      <c r="T18">
        <v>345.34</v>
      </c>
      <c r="U18">
        <v>292.45999999999998</v>
      </c>
      <c r="V18">
        <v>297.24</v>
      </c>
      <c r="W18">
        <v>246.51</v>
      </c>
      <c r="X18">
        <v>267.24</v>
      </c>
      <c r="Y18">
        <v>0</v>
      </c>
    </row>
    <row r="19" spans="1:25" ht="15" customHeight="1" x14ac:dyDescent="0.2">
      <c r="A19" t="s">
        <v>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52.43</v>
      </c>
      <c r="K19">
        <v>0</v>
      </c>
      <c r="L19">
        <v>138.43</v>
      </c>
      <c r="M19">
        <v>311.64</v>
      </c>
      <c r="N19">
        <v>556.61</v>
      </c>
      <c r="O19">
        <v>757.4</v>
      </c>
      <c r="P19">
        <v>410.48</v>
      </c>
      <c r="Q19">
        <v>353.17</v>
      </c>
      <c r="R19">
        <v>352.08</v>
      </c>
      <c r="S19">
        <v>375.43</v>
      </c>
      <c r="T19">
        <v>373</v>
      </c>
      <c r="U19">
        <v>233.07</v>
      </c>
      <c r="V19">
        <v>257.63</v>
      </c>
      <c r="W19">
        <v>219.48</v>
      </c>
      <c r="X19">
        <v>351.08</v>
      </c>
      <c r="Y19">
        <v>0</v>
      </c>
    </row>
    <row r="20" spans="1:25" ht="15" customHeight="1" x14ac:dyDescent="0.2">
      <c r="A20" t="s">
        <v>80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290.76</v>
      </c>
      <c r="R20">
        <v>292.51</v>
      </c>
      <c r="S20">
        <v>370.75</v>
      </c>
      <c r="T20">
        <v>527.61</v>
      </c>
      <c r="U20">
        <v>407.96</v>
      </c>
      <c r="V20">
        <v>350.57</v>
      </c>
      <c r="W20">
        <v>256.73</v>
      </c>
      <c r="X20">
        <v>259.83999999999997</v>
      </c>
      <c r="Y20">
        <v>0</v>
      </c>
    </row>
    <row r="21" spans="1:25" ht="15" customHeight="1" x14ac:dyDescent="0.2">
      <c r="A21" t="s">
        <v>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713.4</v>
      </c>
      <c r="V21">
        <v>890.51</v>
      </c>
      <c r="W21">
        <v>1016.59</v>
      </c>
      <c r="X21">
        <v>1223.71</v>
      </c>
      <c r="Y21">
        <v>0</v>
      </c>
    </row>
    <row r="22" spans="1:25" ht="15" customHeight="1" x14ac:dyDescent="0.2">
      <c r="A22" t="s">
        <v>86</v>
      </c>
      <c r="B22">
        <v>1586.36</v>
      </c>
      <c r="C22">
        <v>1774.61</v>
      </c>
      <c r="D22">
        <v>1038.58</v>
      </c>
      <c r="E22">
        <v>830.95</v>
      </c>
      <c r="F22">
        <v>967.97</v>
      </c>
      <c r="G22">
        <v>983.43</v>
      </c>
      <c r="H22">
        <v>1124.1199999999999</v>
      </c>
      <c r="I22">
        <v>888.12</v>
      </c>
      <c r="J22">
        <v>897.79</v>
      </c>
      <c r="K22">
        <v>1150.8900000000001</v>
      </c>
      <c r="L22">
        <v>1197.48</v>
      </c>
      <c r="M22">
        <v>1168.1199999999999</v>
      </c>
      <c r="N22">
        <v>1373.89</v>
      </c>
      <c r="O22">
        <v>1831.06</v>
      </c>
      <c r="P22">
        <v>1409.07</v>
      </c>
      <c r="Q22">
        <v>987.45</v>
      </c>
      <c r="R22">
        <v>669.16</v>
      </c>
      <c r="S22">
        <v>663.77</v>
      </c>
      <c r="T22">
        <v>576.33000000000004</v>
      </c>
      <c r="U22">
        <v>938.81</v>
      </c>
      <c r="V22">
        <v>734.17</v>
      </c>
      <c r="W22">
        <v>1087.6400000000001</v>
      </c>
      <c r="X22">
        <v>1113.9000000000001</v>
      </c>
      <c r="Y22">
        <v>0</v>
      </c>
    </row>
    <row r="23" spans="1:25" ht="15" customHeight="1" x14ac:dyDescent="0.2">
      <c r="A23" t="s">
        <v>89</v>
      </c>
      <c r="B23">
        <v>359</v>
      </c>
      <c r="C23">
        <v>684</v>
      </c>
      <c r="D23">
        <v>504.63</v>
      </c>
      <c r="E23">
        <v>495.2</v>
      </c>
      <c r="F23">
        <v>615.4</v>
      </c>
      <c r="G23">
        <v>932.48</v>
      </c>
      <c r="H23">
        <v>853.3</v>
      </c>
      <c r="I23">
        <v>734.18</v>
      </c>
      <c r="J23">
        <v>890.6</v>
      </c>
      <c r="K23">
        <v>616.77</v>
      </c>
      <c r="L23">
        <v>412.22</v>
      </c>
      <c r="M23">
        <v>490.79</v>
      </c>
      <c r="N23">
        <v>630.26</v>
      </c>
      <c r="O23">
        <v>602.20000000000005</v>
      </c>
      <c r="P23">
        <v>484.8</v>
      </c>
      <c r="Q23">
        <v>460.05</v>
      </c>
      <c r="R23">
        <v>639.86</v>
      </c>
      <c r="S23">
        <v>814.18</v>
      </c>
      <c r="T23">
        <v>866.3</v>
      </c>
      <c r="U23">
        <v>766.65</v>
      </c>
      <c r="V23">
        <v>747.83</v>
      </c>
      <c r="W23">
        <v>532.64</v>
      </c>
      <c r="X23">
        <v>308.79000000000002</v>
      </c>
      <c r="Y23">
        <v>0</v>
      </c>
    </row>
    <row r="24" spans="1:25" ht="15" customHeight="1" x14ac:dyDescent="0.2">
      <c r="A24" t="s">
        <v>92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849.63</v>
      </c>
      <c r="W24">
        <v>2476.17</v>
      </c>
      <c r="X24">
        <v>2528.89</v>
      </c>
      <c r="Y24">
        <v>0</v>
      </c>
    </row>
    <row r="25" spans="1:25" ht="15" customHeight="1" x14ac:dyDescent="0.2">
      <c r="A25" t="s">
        <v>95</v>
      </c>
      <c r="B25">
        <v>1468.85</v>
      </c>
      <c r="C25">
        <v>2411.23</v>
      </c>
      <c r="D25">
        <v>1830.72</v>
      </c>
      <c r="E25">
        <v>1647.5</v>
      </c>
      <c r="F25">
        <v>1116.8499999999999</v>
      </c>
      <c r="G25">
        <v>299.01</v>
      </c>
      <c r="H25">
        <v>279.7</v>
      </c>
      <c r="I25">
        <v>556.32000000000005</v>
      </c>
      <c r="J25">
        <v>1059.32</v>
      </c>
      <c r="K25">
        <v>1129.73</v>
      </c>
      <c r="L25">
        <v>1346.5</v>
      </c>
      <c r="M25">
        <v>1270.52</v>
      </c>
      <c r="N25">
        <v>1606.67</v>
      </c>
      <c r="O25">
        <v>1821.93</v>
      </c>
      <c r="P25">
        <v>1618.31</v>
      </c>
      <c r="Q25">
        <v>1377.08</v>
      </c>
      <c r="R25">
        <v>1116.96</v>
      </c>
      <c r="S25">
        <v>333.7</v>
      </c>
      <c r="T25">
        <v>348.77</v>
      </c>
      <c r="U25">
        <v>555.02</v>
      </c>
      <c r="V25">
        <v>979.12</v>
      </c>
      <c r="W25">
        <v>1157.1400000000001</v>
      </c>
      <c r="X25">
        <v>1221.5899999999999</v>
      </c>
      <c r="Y25">
        <v>0</v>
      </c>
    </row>
    <row r="26" spans="1:25" ht="15" customHeight="1" x14ac:dyDescent="0.2">
      <c r="A26" t="s">
        <v>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913.59</v>
      </c>
      <c r="J26">
        <v>934.6</v>
      </c>
      <c r="K26">
        <v>820.23</v>
      </c>
      <c r="L26">
        <v>902.11</v>
      </c>
      <c r="M26">
        <v>800.93</v>
      </c>
      <c r="N26">
        <v>979.94</v>
      </c>
      <c r="O26">
        <v>942.5</v>
      </c>
      <c r="P26">
        <v>836.15</v>
      </c>
      <c r="Q26">
        <v>893.99</v>
      </c>
      <c r="R26">
        <v>853.1</v>
      </c>
      <c r="S26">
        <v>916.2</v>
      </c>
      <c r="T26">
        <v>839.02</v>
      </c>
      <c r="U26">
        <v>989.25</v>
      </c>
      <c r="V26">
        <v>1077.25</v>
      </c>
      <c r="W26">
        <v>1061.1600000000001</v>
      </c>
      <c r="X26">
        <v>1072.8699999999999</v>
      </c>
      <c r="Y26">
        <v>0</v>
      </c>
    </row>
    <row r="27" spans="1:25" ht="15" customHeight="1" x14ac:dyDescent="0.2">
      <c r="A27" t="s">
        <v>101</v>
      </c>
      <c r="B27">
        <v>1935</v>
      </c>
      <c r="C27">
        <v>3017.05</v>
      </c>
      <c r="D27">
        <v>1800.37</v>
      </c>
      <c r="E27">
        <v>1926.12</v>
      </c>
      <c r="F27">
        <v>2041.87</v>
      </c>
      <c r="G27">
        <v>1259.3</v>
      </c>
      <c r="H27">
        <v>2058.91</v>
      </c>
      <c r="I27">
        <v>1147.24</v>
      </c>
      <c r="J27">
        <v>2067.9</v>
      </c>
      <c r="K27">
        <v>1486.46</v>
      </c>
      <c r="L27">
        <v>1642.22</v>
      </c>
      <c r="M27">
        <v>2912.65</v>
      </c>
      <c r="N27">
        <v>2992.54</v>
      </c>
      <c r="O27">
        <v>3368.21</v>
      </c>
      <c r="P27">
        <v>2212.5</v>
      </c>
      <c r="Q27">
        <v>1960.19</v>
      </c>
      <c r="R27">
        <v>1921.61</v>
      </c>
      <c r="S27">
        <v>1263.1300000000001</v>
      </c>
      <c r="T27">
        <v>1600.1</v>
      </c>
      <c r="U27">
        <v>1414.77</v>
      </c>
      <c r="V27">
        <v>1990.19</v>
      </c>
      <c r="W27">
        <v>1763.94</v>
      </c>
      <c r="X27">
        <v>1455.49</v>
      </c>
      <c r="Y27">
        <v>0</v>
      </c>
    </row>
    <row r="28" spans="1:25" ht="15" customHeight="1" x14ac:dyDescent="0.2">
      <c r="A28" t="s">
        <v>104</v>
      </c>
      <c r="B28">
        <v>0</v>
      </c>
      <c r="C28">
        <v>0</v>
      </c>
      <c r="D28">
        <v>0</v>
      </c>
      <c r="E28">
        <v>0</v>
      </c>
      <c r="F28">
        <v>1197.18</v>
      </c>
      <c r="G28">
        <v>1865.97</v>
      </c>
      <c r="H28">
        <v>1723.16</v>
      </c>
      <c r="I28">
        <v>1570.31</v>
      </c>
      <c r="J28">
        <v>1432.73</v>
      </c>
      <c r="K28">
        <v>1817.32</v>
      </c>
      <c r="L28">
        <v>1955.83</v>
      </c>
      <c r="M28">
        <v>2235.4699999999998</v>
      </c>
      <c r="N28">
        <v>2825.24</v>
      </c>
      <c r="O28">
        <v>3443.22</v>
      </c>
      <c r="P28">
        <v>3178.08</v>
      </c>
      <c r="Q28">
        <v>2134.16</v>
      </c>
      <c r="R28">
        <v>1883.16</v>
      </c>
      <c r="S28">
        <v>1916.12</v>
      </c>
      <c r="T28">
        <v>1372.39</v>
      </c>
      <c r="U28">
        <v>2844.42</v>
      </c>
      <c r="V28">
        <v>2594.23</v>
      </c>
      <c r="W28">
        <v>2436.29</v>
      </c>
      <c r="X28">
        <v>2434.85</v>
      </c>
      <c r="Y28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37"/>
  <sheetViews>
    <sheetView zoomScaleNormal="100" workbookViewId="0"/>
  </sheetViews>
  <sheetFormatPr baseColWidth="10" defaultColWidth="8.6640625" defaultRowHeight="15" x14ac:dyDescent="0.2"/>
  <sheetData>
    <row r="1" spans="1:25" x14ac:dyDescent="0.2">
      <c r="A1" t="s">
        <v>1483</v>
      </c>
      <c r="B1" t="s">
        <v>1484</v>
      </c>
      <c r="C1" t="s">
        <v>1485</v>
      </c>
      <c r="D1" t="s">
        <v>1486</v>
      </c>
      <c r="E1" t="s">
        <v>1487</v>
      </c>
      <c r="F1" t="s">
        <v>1488</v>
      </c>
      <c r="G1" t="s">
        <v>1489</v>
      </c>
      <c r="H1" t="s">
        <v>1490</v>
      </c>
      <c r="I1" t="s">
        <v>1491</v>
      </c>
      <c r="J1" t="s">
        <v>1492</v>
      </c>
      <c r="K1" t="s">
        <v>1493</v>
      </c>
      <c r="L1" t="s">
        <v>1494</v>
      </c>
      <c r="M1" t="s">
        <v>1495</v>
      </c>
      <c r="N1" t="s">
        <v>1496</v>
      </c>
      <c r="O1" t="s">
        <v>1497</v>
      </c>
      <c r="P1" t="s">
        <v>1498</v>
      </c>
      <c r="Q1" t="s">
        <v>1499</v>
      </c>
      <c r="R1" t="s">
        <v>1500</v>
      </c>
      <c r="S1" t="s">
        <v>1501</v>
      </c>
      <c r="T1" t="s">
        <v>1502</v>
      </c>
      <c r="U1" t="s">
        <v>1503</v>
      </c>
      <c r="V1" t="s">
        <v>1504</v>
      </c>
      <c r="W1" t="s">
        <v>1505</v>
      </c>
      <c r="X1" t="s">
        <v>1506</v>
      </c>
      <c r="Y1" t="s">
        <v>1507</v>
      </c>
    </row>
    <row r="2" spans="1:25" x14ac:dyDescent="0.2">
      <c r="A2">
        <v>8550</v>
      </c>
      <c r="B2">
        <v>0</v>
      </c>
      <c r="C2">
        <v>0</v>
      </c>
      <c r="D2">
        <v>0</v>
      </c>
      <c r="E2">
        <v>0</v>
      </c>
      <c r="F2">
        <v>0</v>
      </c>
      <c r="G2">
        <v>67.849999999999994</v>
      </c>
      <c r="H2">
        <v>291.23</v>
      </c>
      <c r="I2">
        <v>212.91</v>
      </c>
      <c r="J2">
        <v>183.41</v>
      </c>
      <c r="K2">
        <v>146.93</v>
      </c>
      <c r="L2">
        <v>240.12</v>
      </c>
      <c r="M2">
        <v>360.36</v>
      </c>
      <c r="N2">
        <v>489.63</v>
      </c>
      <c r="O2">
        <v>103.62</v>
      </c>
      <c r="P2">
        <v>664.91</v>
      </c>
      <c r="Q2">
        <v>334.22</v>
      </c>
      <c r="R2">
        <v>254.97</v>
      </c>
      <c r="S2">
        <v>121.53</v>
      </c>
      <c r="T2">
        <v>392.65</v>
      </c>
      <c r="U2">
        <v>287.51</v>
      </c>
      <c r="V2">
        <v>349.44</v>
      </c>
      <c r="W2">
        <v>199.21</v>
      </c>
      <c r="X2">
        <v>273.87</v>
      </c>
      <c r="Y2">
        <v>430.03</v>
      </c>
    </row>
    <row r="3" spans="1:25" x14ac:dyDescent="0.2">
      <c r="A3">
        <v>8551</v>
      </c>
      <c r="B3">
        <v>0</v>
      </c>
      <c r="C3">
        <v>0</v>
      </c>
      <c r="D3">
        <v>0</v>
      </c>
      <c r="E3">
        <v>0</v>
      </c>
      <c r="F3">
        <v>0</v>
      </c>
      <c r="G3">
        <v>122.79</v>
      </c>
      <c r="H3">
        <v>257.60000000000002</v>
      </c>
      <c r="I3">
        <v>149.88999999999999</v>
      </c>
      <c r="J3">
        <v>179.34</v>
      </c>
      <c r="K3">
        <v>133.56</v>
      </c>
      <c r="L3">
        <v>217.18</v>
      </c>
      <c r="M3">
        <v>255.1</v>
      </c>
      <c r="N3">
        <v>355.24</v>
      </c>
      <c r="O3">
        <v>132.59</v>
      </c>
      <c r="P3">
        <v>333.79</v>
      </c>
      <c r="Q3">
        <v>306.02</v>
      </c>
      <c r="R3">
        <v>209.78</v>
      </c>
      <c r="S3">
        <v>189.38</v>
      </c>
      <c r="T3">
        <v>339.72</v>
      </c>
      <c r="U3">
        <v>188.55</v>
      </c>
      <c r="V3">
        <v>237.18</v>
      </c>
      <c r="W3">
        <v>186.2</v>
      </c>
      <c r="X3">
        <v>276</v>
      </c>
      <c r="Y3">
        <v>343.77</v>
      </c>
    </row>
    <row r="4" spans="1:25" x14ac:dyDescent="0.2">
      <c r="A4">
        <v>8552</v>
      </c>
      <c r="B4">
        <v>0</v>
      </c>
      <c r="C4">
        <v>0</v>
      </c>
      <c r="D4">
        <v>0</v>
      </c>
      <c r="E4">
        <v>0</v>
      </c>
      <c r="F4">
        <v>0</v>
      </c>
      <c r="G4">
        <v>240.78</v>
      </c>
      <c r="H4">
        <v>270.33</v>
      </c>
      <c r="I4">
        <v>122.02</v>
      </c>
      <c r="J4">
        <v>156.75</v>
      </c>
      <c r="K4">
        <v>185.58</v>
      </c>
      <c r="L4">
        <v>220.94</v>
      </c>
      <c r="M4">
        <v>589.63</v>
      </c>
      <c r="N4">
        <v>626.48</v>
      </c>
      <c r="O4">
        <v>164.89</v>
      </c>
      <c r="P4">
        <v>386.56</v>
      </c>
      <c r="Q4">
        <v>382.69</v>
      </c>
      <c r="R4">
        <v>261.89999999999998</v>
      </c>
      <c r="S4">
        <v>330.96</v>
      </c>
      <c r="T4">
        <v>371.28</v>
      </c>
      <c r="U4">
        <v>169.53</v>
      </c>
      <c r="V4">
        <v>214.78</v>
      </c>
      <c r="W4">
        <v>271.98</v>
      </c>
      <c r="X4">
        <v>271.88</v>
      </c>
      <c r="Y4">
        <v>692.94</v>
      </c>
    </row>
    <row r="5" spans="1:25" x14ac:dyDescent="0.2">
      <c r="A5">
        <v>8553</v>
      </c>
      <c r="B5">
        <v>0</v>
      </c>
      <c r="C5">
        <v>0</v>
      </c>
      <c r="D5">
        <v>0</v>
      </c>
      <c r="E5">
        <v>0</v>
      </c>
      <c r="F5">
        <v>0</v>
      </c>
      <c r="G5">
        <v>143.34</v>
      </c>
      <c r="H5">
        <v>255.18</v>
      </c>
      <c r="I5">
        <v>122.89</v>
      </c>
      <c r="J5">
        <v>228.55</v>
      </c>
      <c r="K5">
        <v>175.12</v>
      </c>
      <c r="L5">
        <v>270.51</v>
      </c>
      <c r="M5">
        <v>388.07</v>
      </c>
      <c r="N5">
        <v>574.82000000000005</v>
      </c>
      <c r="O5">
        <v>154.53</v>
      </c>
      <c r="P5">
        <v>359.42</v>
      </c>
      <c r="Q5">
        <v>352.4</v>
      </c>
      <c r="R5">
        <v>177.06</v>
      </c>
      <c r="S5">
        <v>261.13</v>
      </c>
      <c r="T5">
        <v>337.12</v>
      </c>
      <c r="U5">
        <v>149.41999999999999</v>
      </c>
      <c r="V5">
        <v>232.63</v>
      </c>
      <c r="W5">
        <v>279.54000000000002</v>
      </c>
      <c r="X5">
        <v>333.42</v>
      </c>
      <c r="Y5">
        <v>462.7</v>
      </c>
    </row>
    <row r="6" spans="1:25" x14ac:dyDescent="0.2">
      <c r="A6">
        <v>8554</v>
      </c>
      <c r="B6">
        <v>0</v>
      </c>
      <c r="C6">
        <v>0</v>
      </c>
      <c r="D6">
        <v>0</v>
      </c>
      <c r="E6">
        <v>0</v>
      </c>
      <c r="F6">
        <v>0</v>
      </c>
      <c r="G6">
        <v>181.06</v>
      </c>
      <c r="H6">
        <v>235.48</v>
      </c>
      <c r="I6">
        <v>115.38</v>
      </c>
      <c r="J6">
        <v>164.69</v>
      </c>
      <c r="K6">
        <v>208.48</v>
      </c>
      <c r="L6">
        <v>620.36</v>
      </c>
      <c r="M6">
        <v>776.69</v>
      </c>
      <c r="N6">
        <v>910.68</v>
      </c>
      <c r="O6">
        <v>276.39999999999998</v>
      </c>
      <c r="P6">
        <v>777.08</v>
      </c>
      <c r="Q6">
        <v>555.30999999999995</v>
      </c>
      <c r="R6">
        <v>267.98</v>
      </c>
      <c r="S6">
        <v>240.42</v>
      </c>
      <c r="T6">
        <v>316.77999999999997</v>
      </c>
      <c r="U6">
        <v>165.48</v>
      </c>
      <c r="V6">
        <v>218.11</v>
      </c>
      <c r="W6">
        <v>311.55</v>
      </c>
      <c r="X6">
        <v>651.30999999999995</v>
      </c>
      <c r="Y6">
        <v>839.16</v>
      </c>
    </row>
    <row r="7" spans="1:25" x14ac:dyDescent="0.2">
      <c r="A7">
        <v>8555</v>
      </c>
      <c r="B7">
        <v>0</v>
      </c>
      <c r="C7">
        <v>0</v>
      </c>
      <c r="D7">
        <v>0</v>
      </c>
      <c r="E7">
        <v>0</v>
      </c>
      <c r="F7">
        <v>0</v>
      </c>
      <c r="G7">
        <v>98.79</v>
      </c>
      <c r="H7">
        <v>169.59</v>
      </c>
      <c r="I7">
        <v>113.34</v>
      </c>
      <c r="J7">
        <v>142.41999999999999</v>
      </c>
      <c r="K7">
        <v>111.81</v>
      </c>
      <c r="L7">
        <v>150.31</v>
      </c>
      <c r="M7">
        <v>280.5</v>
      </c>
      <c r="N7">
        <v>374.5</v>
      </c>
      <c r="O7">
        <v>130.26</v>
      </c>
      <c r="P7">
        <v>333.66</v>
      </c>
      <c r="Q7">
        <v>240.63</v>
      </c>
      <c r="R7">
        <v>117.47</v>
      </c>
      <c r="S7">
        <v>166.39</v>
      </c>
      <c r="T7">
        <v>229.98</v>
      </c>
      <c r="U7">
        <v>152.99</v>
      </c>
      <c r="V7">
        <v>196.1</v>
      </c>
      <c r="W7">
        <v>164.11</v>
      </c>
      <c r="X7">
        <v>189.25</v>
      </c>
      <c r="Y7">
        <v>351.03</v>
      </c>
    </row>
    <row r="8" spans="1:25" x14ac:dyDescent="0.2">
      <c r="A8">
        <v>8556</v>
      </c>
      <c r="B8">
        <v>0</v>
      </c>
      <c r="C8">
        <v>0</v>
      </c>
      <c r="D8">
        <v>0</v>
      </c>
      <c r="E8">
        <v>0</v>
      </c>
      <c r="F8">
        <v>0</v>
      </c>
      <c r="G8">
        <v>170.28</v>
      </c>
      <c r="H8">
        <v>258.52</v>
      </c>
      <c r="I8">
        <v>181.42</v>
      </c>
      <c r="J8">
        <v>255.74</v>
      </c>
      <c r="K8">
        <v>242.83</v>
      </c>
      <c r="L8">
        <v>303.68</v>
      </c>
      <c r="M8">
        <v>367.91</v>
      </c>
      <c r="N8">
        <v>611.02</v>
      </c>
      <c r="O8">
        <v>163.33000000000001</v>
      </c>
      <c r="P8">
        <v>392.33</v>
      </c>
      <c r="Q8">
        <v>376.51</v>
      </c>
      <c r="R8">
        <v>126.21</v>
      </c>
      <c r="S8">
        <v>230.73</v>
      </c>
      <c r="T8">
        <v>340.4</v>
      </c>
      <c r="U8">
        <v>259.70999999999998</v>
      </c>
      <c r="V8">
        <v>311.91000000000003</v>
      </c>
      <c r="W8">
        <v>314.39</v>
      </c>
      <c r="X8">
        <v>371.77</v>
      </c>
      <c r="Y8">
        <v>505.17</v>
      </c>
    </row>
    <row r="9" spans="1:25" x14ac:dyDescent="0.2">
      <c r="A9">
        <v>8557</v>
      </c>
      <c r="B9">
        <v>0</v>
      </c>
      <c r="C9">
        <v>0</v>
      </c>
      <c r="D9">
        <v>0</v>
      </c>
      <c r="E9">
        <v>0</v>
      </c>
      <c r="F9">
        <v>0</v>
      </c>
      <c r="G9">
        <v>193.05</v>
      </c>
      <c r="H9">
        <v>309.11</v>
      </c>
      <c r="I9">
        <v>197.99</v>
      </c>
      <c r="J9">
        <v>256.8</v>
      </c>
      <c r="K9">
        <v>114.01</v>
      </c>
      <c r="L9">
        <v>245.88</v>
      </c>
      <c r="M9">
        <v>405.6</v>
      </c>
      <c r="N9">
        <v>510.83</v>
      </c>
      <c r="O9">
        <v>181.08</v>
      </c>
      <c r="P9">
        <v>334.97</v>
      </c>
      <c r="Q9">
        <v>263.33999999999997</v>
      </c>
      <c r="R9">
        <v>146.93</v>
      </c>
      <c r="S9">
        <v>251.21</v>
      </c>
      <c r="T9">
        <v>411.51</v>
      </c>
      <c r="U9">
        <v>292.86</v>
      </c>
      <c r="V9">
        <v>309.02999999999997</v>
      </c>
      <c r="W9">
        <v>166.4</v>
      </c>
      <c r="X9">
        <v>321.26</v>
      </c>
      <c r="Y9">
        <v>473.59</v>
      </c>
    </row>
    <row r="10" spans="1:25" x14ac:dyDescent="0.2">
      <c r="A10">
        <v>8558</v>
      </c>
      <c r="B10">
        <v>0</v>
      </c>
      <c r="C10">
        <v>0</v>
      </c>
      <c r="D10">
        <v>0</v>
      </c>
      <c r="E10">
        <v>0</v>
      </c>
      <c r="F10">
        <v>0</v>
      </c>
      <c r="G10">
        <v>131.4</v>
      </c>
      <c r="H10">
        <v>332.79</v>
      </c>
      <c r="I10">
        <v>154.85</v>
      </c>
      <c r="J10">
        <v>172.58</v>
      </c>
      <c r="K10">
        <v>151.87</v>
      </c>
      <c r="L10">
        <v>305.89</v>
      </c>
      <c r="M10">
        <v>454</v>
      </c>
      <c r="N10">
        <v>499.25</v>
      </c>
      <c r="O10">
        <v>117.75</v>
      </c>
      <c r="P10">
        <v>483.02</v>
      </c>
      <c r="Q10">
        <v>456.69</v>
      </c>
      <c r="R10">
        <v>281.62</v>
      </c>
      <c r="S10">
        <v>195.74</v>
      </c>
      <c r="T10">
        <v>435.76</v>
      </c>
      <c r="U10">
        <v>244.72</v>
      </c>
      <c r="V10">
        <v>225.93</v>
      </c>
      <c r="W10">
        <v>215.79</v>
      </c>
      <c r="X10">
        <v>358.91</v>
      </c>
      <c r="Y10">
        <v>525.02</v>
      </c>
    </row>
    <row r="11" spans="1:25" x14ac:dyDescent="0.2">
      <c r="A11">
        <v>8559</v>
      </c>
      <c r="B11">
        <v>0</v>
      </c>
      <c r="C11">
        <v>0</v>
      </c>
      <c r="D11">
        <v>0</v>
      </c>
      <c r="E11">
        <v>0</v>
      </c>
      <c r="F11">
        <v>0</v>
      </c>
      <c r="G11">
        <v>85.02</v>
      </c>
      <c r="H11">
        <v>92.48</v>
      </c>
      <c r="I11">
        <v>67.3</v>
      </c>
      <c r="J11">
        <v>63.22</v>
      </c>
      <c r="K11">
        <v>67.94</v>
      </c>
      <c r="L11">
        <v>131.71</v>
      </c>
      <c r="M11">
        <v>173.41</v>
      </c>
      <c r="N11">
        <v>247.92</v>
      </c>
      <c r="O11">
        <v>108.06</v>
      </c>
      <c r="P11">
        <v>101.19</v>
      </c>
      <c r="Q11">
        <v>77.36</v>
      </c>
      <c r="R11">
        <v>93.5</v>
      </c>
      <c r="S11">
        <v>135.59</v>
      </c>
      <c r="T11">
        <v>150.61000000000001</v>
      </c>
      <c r="U11">
        <v>101.26</v>
      </c>
      <c r="V11">
        <v>83.58</v>
      </c>
      <c r="W11">
        <v>92.95</v>
      </c>
      <c r="X11">
        <v>164.49</v>
      </c>
      <c r="Y11">
        <v>244.04</v>
      </c>
    </row>
    <row r="12" spans="1:25" x14ac:dyDescent="0.2">
      <c r="A12">
        <v>8560</v>
      </c>
      <c r="B12">
        <v>0</v>
      </c>
      <c r="C12">
        <v>0</v>
      </c>
      <c r="D12">
        <v>0</v>
      </c>
      <c r="E12">
        <v>0</v>
      </c>
      <c r="F12">
        <v>0</v>
      </c>
      <c r="G12">
        <v>51.19</v>
      </c>
      <c r="H12">
        <v>153.54</v>
      </c>
      <c r="I12">
        <v>125.01</v>
      </c>
      <c r="J12">
        <v>130.52000000000001</v>
      </c>
      <c r="K12">
        <v>91.61</v>
      </c>
      <c r="L12">
        <v>150.09</v>
      </c>
      <c r="M12">
        <v>209.74</v>
      </c>
      <c r="N12">
        <v>185.37</v>
      </c>
      <c r="O12">
        <v>131.51</v>
      </c>
      <c r="P12">
        <v>105.59</v>
      </c>
      <c r="Q12">
        <v>72.64</v>
      </c>
      <c r="R12">
        <v>89.99</v>
      </c>
      <c r="S12">
        <v>123.52</v>
      </c>
      <c r="T12">
        <v>213.59</v>
      </c>
      <c r="U12">
        <v>175.89</v>
      </c>
      <c r="V12">
        <v>185.75</v>
      </c>
      <c r="W12">
        <v>115.98</v>
      </c>
      <c r="X12">
        <v>187.53</v>
      </c>
      <c r="Y12">
        <v>400.32</v>
      </c>
    </row>
    <row r="13" spans="1:25" x14ac:dyDescent="0.2">
      <c r="A13">
        <v>8561</v>
      </c>
      <c r="B13">
        <v>0</v>
      </c>
      <c r="C13">
        <v>0</v>
      </c>
      <c r="D13">
        <v>0</v>
      </c>
      <c r="E13">
        <v>0</v>
      </c>
      <c r="F13">
        <v>0</v>
      </c>
      <c r="G13">
        <v>114.46</v>
      </c>
      <c r="H13">
        <v>156.19999999999999</v>
      </c>
      <c r="I13">
        <v>110.71</v>
      </c>
      <c r="J13">
        <v>260.77</v>
      </c>
      <c r="K13">
        <v>179.33</v>
      </c>
      <c r="L13">
        <v>224.35</v>
      </c>
      <c r="M13">
        <v>412.73</v>
      </c>
      <c r="N13">
        <v>606.87</v>
      </c>
      <c r="O13">
        <v>152.72999999999999</v>
      </c>
      <c r="P13">
        <v>491.2</v>
      </c>
      <c r="Q13">
        <v>404.96</v>
      </c>
      <c r="R13">
        <v>240.01</v>
      </c>
      <c r="S13">
        <v>180.49</v>
      </c>
      <c r="T13">
        <v>212.19</v>
      </c>
      <c r="U13">
        <v>175.43</v>
      </c>
      <c r="V13">
        <v>339.01</v>
      </c>
      <c r="W13">
        <v>251.07</v>
      </c>
      <c r="X13">
        <v>287</v>
      </c>
      <c r="Y13">
        <v>499.04</v>
      </c>
    </row>
    <row r="14" spans="1:25" x14ac:dyDescent="0.2">
      <c r="A14">
        <v>8562</v>
      </c>
      <c r="B14">
        <v>0</v>
      </c>
      <c r="C14">
        <v>0</v>
      </c>
      <c r="D14">
        <v>0</v>
      </c>
      <c r="E14">
        <v>0</v>
      </c>
      <c r="F14">
        <v>0</v>
      </c>
      <c r="G14">
        <v>74.36</v>
      </c>
      <c r="H14">
        <v>212.65</v>
      </c>
      <c r="I14">
        <v>196.15</v>
      </c>
      <c r="J14">
        <v>271.38</v>
      </c>
      <c r="K14">
        <v>232.4</v>
      </c>
      <c r="L14">
        <v>267.24</v>
      </c>
      <c r="M14">
        <v>355.82</v>
      </c>
      <c r="N14">
        <v>442.68</v>
      </c>
      <c r="O14">
        <v>117.14</v>
      </c>
      <c r="P14">
        <v>501.52</v>
      </c>
      <c r="Q14">
        <v>378.61</v>
      </c>
      <c r="R14">
        <v>286.56</v>
      </c>
      <c r="S14">
        <v>128.80000000000001</v>
      </c>
      <c r="T14">
        <v>271.26</v>
      </c>
      <c r="U14">
        <v>269.14</v>
      </c>
      <c r="V14">
        <v>401.39</v>
      </c>
      <c r="W14">
        <v>298.92</v>
      </c>
      <c r="X14">
        <v>330.2</v>
      </c>
      <c r="Y14">
        <v>399.6</v>
      </c>
    </row>
    <row r="15" spans="1:25" x14ac:dyDescent="0.2">
      <c r="A15">
        <v>8563</v>
      </c>
      <c r="B15">
        <v>0</v>
      </c>
      <c r="C15">
        <v>0</v>
      </c>
      <c r="D15">
        <v>0</v>
      </c>
      <c r="E15">
        <v>0</v>
      </c>
      <c r="F15">
        <v>0</v>
      </c>
      <c r="G15">
        <v>80.489999999999995</v>
      </c>
      <c r="H15">
        <v>305.08999999999997</v>
      </c>
      <c r="I15">
        <v>247.72</v>
      </c>
      <c r="J15">
        <v>457.79</v>
      </c>
      <c r="K15">
        <v>280.07</v>
      </c>
      <c r="L15">
        <v>373.47</v>
      </c>
      <c r="M15">
        <v>467.85</v>
      </c>
      <c r="N15">
        <v>609.1</v>
      </c>
      <c r="O15">
        <v>125.46</v>
      </c>
      <c r="P15">
        <v>424.54</v>
      </c>
      <c r="Q15">
        <v>524.58000000000004</v>
      </c>
      <c r="R15">
        <v>411.31</v>
      </c>
      <c r="S15">
        <v>134.32</v>
      </c>
      <c r="T15">
        <v>403.13</v>
      </c>
      <c r="U15">
        <v>345.53</v>
      </c>
      <c r="V15">
        <v>523.95000000000005</v>
      </c>
      <c r="W15">
        <v>345.87</v>
      </c>
      <c r="X15">
        <v>442.35</v>
      </c>
      <c r="Y15">
        <v>522.52</v>
      </c>
    </row>
    <row r="16" spans="1:25" x14ac:dyDescent="0.2">
      <c r="A16">
        <v>8568</v>
      </c>
      <c r="B16">
        <v>0</v>
      </c>
      <c r="C16">
        <v>0</v>
      </c>
      <c r="D16">
        <v>0</v>
      </c>
      <c r="E16">
        <v>0</v>
      </c>
      <c r="F16">
        <v>0</v>
      </c>
      <c r="G16">
        <v>197.21</v>
      </c>
      <c r="H16">
        <v>107.96</v>
      </c>
      <c r="I16">
        <v>57.75</v>
      </c>
      <c r="J16">
        <v>57.76</v>
      </c>
      <c r="K16">
        <v>156.47999999999999</v>
      </c>
      <c r="L16">
        <v>109.34</v>
      </c>
      <c r="M16">
        <v>81.96</v>
      </c>
      <c r="N16">
        <v>104.55</v>
      </c>
      <c r="O16">
        <v>64.709999999999994</v>
      </c>
      <c r="P16">
        <v>144.05000000000001</v>
      </c>
      <c r="Q16">
        <v>114.68</v>
      </c>
      <c r="R16">
        <v>57.95</v>
      </c>
      <c r="S16">
        <v>155.66999999999999</v>
      </c>
      <c r="T16">
        <v>95.69</v>
      </c>
      <c r="U16">
        <v>73.010000000000005</v>
      </c>
      <c r="V16">
        <v>131.63999999999999</v>
      </c>
      <c r="W16">
        <v>214.16</v>
      </c>
      <c r="X16">
        <v>0</v>
      </c>
      <c r="Y16">
        <v>0</v>
      </c>
    </row>
    <row r="17" spans="1:25" x14ac:dyDescent="0.2">
      <c r="A17">
        <v>8569</v>
      </c>
      <c r="B17">
        <v>0</v>
      </c>
      <c r="C17">
        <v>0</v>
      </c>
      <c r="D17">
        <v>0</v>
      </c>
      <c r="E17">
        <v>0</v>
      </c>
      <c r="F17">
        <v>0</v>
      </c>
      <c r="G17">
        <v>242.74</v>
      </c>
      <c r="H17">
        <v>219.19</v>
      </c>
      <c r="I17">
        <v>209.34</v>
      </c>
      <c r="J17">
        <v>210.33</v>
      </c>
      <c r="K17">
        <v>189.9</v>
      </c>
      <c r="L17">
        <v>190.38</v>
      </c>
      <c r="M17">
        <v>193.93</v>
      </c>
      <c r="N17">
        <v>203.58</v>
      </c>
      <c r="O17">
        <v>205.73</v>
      </c>
      <c r="P17">
        <v>206.28</v>
      </c>
      <c r="Q17">
        <v>209.82</v>
      </c>
      <c r="R17">
        <v>233.02</v>
      </c>
      <c r="S17">
        <v>237.28</v>
      </c>
      <c r="T17">
        <v>266.33</v>
      </c>
      <c r="U17">
        <v>225.34</v>
      </c>
      <c r="V17">
        <v>236</v>
      </c>
      <c r="W17">
        <v>204.34</v>
      </c>
      <c r="X17">
        <v>0</v>
      </c>
      <c r="Y17">
        <v>0</v>
      </c>
    </row>
    <row r="18" spans="1:25" x14ac:dyDescent="0.2">
      <c r="A18">
        <v>8570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237.82</v>
      </c>
      <c r="J18">
        <v>194.8</v>
      </c>
      <c r="K18">
        <v>152.69999999999999</v>
      </c>
      <c r="L18">
        <v>84.08</v>
      </c>
      <c r="M18">
        <v>156.38</v>
      </c>
      <c r="N18">
        <v>191.84</v>
      </c>
      <c r="O18">
        <v>247.16</v>
      </c>
      <c r="P18">
        <v>137.84</v>
      </c>
      <c r="Q18">
        <v>112.15</v>
      </c>
      <c r="R18">
        <v>186.88</v>
      </c>
      <c r="S18">
        <v>247.21</v>
      </c>
      <c r="T18">
        <v>287.01</v>
      </c>
      <c r="U18">
        <v>230.81</v>
      </c>
      <c r="V18">
        <v>276.44</v>
      </c>
      <c r="W18">
        <v>139.84</v>
      </c>
      <c r="X18">
        <v>0</v>
      </c>
      <c r="Y18">
        <v>0</v>
      </c>
    </row>
    <row r="19" spans="1:25" x14ac:dyDescent="0.2">
      <c r="A19">
        <v>8571</v>
      </c>
      <c r="B19">
        <v>0</v>
      </c>
      <c r="C19">
        <v>0</v>
      </c>
      <c r="D19">
        <v>0</v>
      </c>
      <c r="E19">
        <v>0</v>
      </c>
      <c r="F19">
        <v>0</v>
      </c>
      <c r="G19">
        <v>48.8</v>
      </c>
      <c r="H19">
        <v>87.84</v>
      </c>
      <c r="I19">
        <v>47.65</v>
      </c>
      <c r="J19">
        <v>56.89</v>
      </c>
      <c r="K19">
        <v>54.07</v>
      </c>
      <c r="L19">
        <v>53.92</v>
      </c>
      <c r="M19">
        <v>76.540000000000006</v>
      </c>
      <c r="N19">
        <v>42.09</v>
      </c>
      <c r="O19">
        <v>39.380000000000003</v>
      </c>
      <c r="P19">
        <v>74.06</v>
      </c>
      <c r="Q19">
        <v>82.16</v>
      </c>
      <c r="R19">
        <v>50.76</v>
      </c>
      <c r="S19">
        <v>68.319999999999993</v>
      </c>
      <c r="T19">
        <v>74.95</v>
      </c>
      <c r="U19">
        <v>74.28</v>
      </c>
      <c r="V19">
        <v>67.62</v>
      </c>
      <c r="W19">
        <v>68.56</v>
      </c>
      <c r="X19">
        <v>0</v>
      </c>
      <c r="Y19">
        <v>0</v>
      </c>
    </row>
    <row r="20" spans="1:25" x14ac:dyDescent="0.2">
      <c r="A20">
        <v>8572</v>
      </c>
      <c r="B20">
        <v>0</v>
      </c>
      <c r="C20">
        <v>0</v>
      </c>
      <c r="D20">
        <v>0</v>
      </c>
      <c r="E20">
        <v>0</v>
      </c>
      <c r="F20">
        <v>0</v>
      </c>
      <c r="G20">
        <v>142.69999999999999</v>
      </c>
      <c r="H20">
        <v>158.03</v>
      </c>
      <c r="I20">
        <v>104.93</v>
      </c>
      <c r="J20">
        <v>109.06</v>
      </c>
      <c r="K20">
        <v>62.3</v>
      </c>
      <c r="L20">
        <v>62.29</v>
      </c>
      <c r="M20">
        <v>157.80000000000001</v>
      </c>
      <c r="N20">
        <v>198.54</v>
      </c>
      <c r="O20">
        <v>134.88999999999999</v>
      </c>
      <c r="P20">
        <v>110.65</v>
      </c>
      <c r="Q20">
        <v>105.97</v>
      </c>
      <c r="R20">
        <v>117.91</v>
      </c>
      <c r="S20">
        <v>123.7</v>
      </c>
      <c r="T20">
        <v>98.87</v>
      </c>
      <c r="U20">
        <v>105.2</v>
      </c>
      <c r="V20">
        <v>90.93</v>
      </c>
      <c r="W20">
        <v>57.95</v>
      </c>
      <c r="X20">
        <v>0</v>
      </c>
      <c r="Y20">
        <v>0</v>
      </c>
    </row>
    <row r="21" spans="1:25" x14ac:dyDescent="0.2">
      <c r="A21">
        <v>8573</v>
      </c>
      <c r="B21">
        <v>0</v>
      </c>
      <c r="C21">
        <v>0</v>
      </c>
      <c r="D21">
        <v>0</v>
      </c>
      <c r="E21">
        <v>0</v>
      </c>
      <c r="F21">
        <v>0</v>
      </c>
      <c r="G21">
        <v>47.1</v>
      </c>
      <c r="H21">
        <v>102.36</v>
      </c>
      <c r="I21">
        <v>78.98</v>
      </c>
      <c r="J21">
        <v>99.58</v>
      </c>
      <c r="K21">
        <v>74.5</v>
      </c>
      <c r="L21">
        <v>68.430000000000007</v>
      </c>
      <c r="M21">
        <v>74.5</v>
      </c>
      <c r="N21">
        <v>105.08</v>
      </c>
      <c r="O21">
        <v>138.22</v>
      </c>
      <c r="P21">
        <v>106.65</v>
      </c>
      <c r="Q21">
        <v>83.05</v>
      </c>
      <c r="R21">
        <v>64.55</v>
      </c>
      <c r="S21">
        <v>76.489999999999995</v>
      </c>
      <c r="T21">
        <v>91.62</v>
      </c>
      <c r="U21">
        <v>58.77</v>
      </c>
      <c r="V21">
        <v>58.18</v>
      </c>
      <c r="W21">
        <v>55.48</v>
      </c>
      <c r="X21">
        <v>0</v>
      </c>
      <c r="Y21">
        <v>0</v>
      </c>
    </row>
    <row r="22" spans="1:25" x14ac:dyDescent="0.2">
      <c r="A22">
        <v>8574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62.66</v>
      </c>
      <c r="V22">
        <v>52.63</v>
      </c>
      <c r="W22">
        <v>53.78</v>
      </c>
      <c r="X22">
        <v>0</v>
      </c>
      <c r="Y22">
        <v>0</v>
      </c>
    </row>
    <row r="23" spans="1:25" x14ac:dyDescent="0.2">
      <c r="A23">
        <v>8575</v>
      </c>
      <c r="B23">
        <v>0</v>
      </c>
      <c r="C23">
        <v>0</v>
      </c>
      <c r="D23">
        <v>0</v>
      </c>
      <c r="E23">
        <v>0</v>
      </c>
      <c r="F23">
        <v>0</v>
      </c>
      <c r="G23">
        <v>40.130000000000003</v>
      </c>
      <c r="H23">
        <v>113.72</v>
      </c>
      <c r="I23">
        <v>75.180000000000007</v>
      </c>
      <c r="J23">
        <v>54.02</v>
      </c>
      <c r="K23">
        <v>53.3</v>
      </c>
      <c r="L23">
        <v>53.49</v>
      </c>
      <c r="M23">
        <v>66.13</v>
      </c>
      <c r="N23">
        <v>53.49</v>
      </c>
      <c r="O23">
        <v>53.49</v>
      </c>
      <c r="P23">
        <v>53.49</v>
      </c>
      <c r="Q23">
        <v>59.64</v>
      </c>
      <c r="R23">
        <v>53.49</v>
      </c>
      <c r="S23">
        <v>53.49</v>
      </c>
      <c r="T23">
        <v>53.49</v>
      </c>
      <c r="U23">
        <v>84.44</v>
      </c>
      <c r="V23">
        <v>86.3</v>
      </c>
      <c r="W23">
        <v>53.49</v>
      </c>
      <c r="X23">
        <v>0</v>
      </c>
      <c r="Y23">
        <v>0</v>
      </c>
    </row>
    <row r="24" spans="1:25" x14ac:dyDescent="0.2">
      <c r="A24">
        <v>8579</v>
      </c>
      <c r="B24">
        <v>0</v>
      </c>
      <c r="C24">
        <v>0</v>
      </c>
      <c r="D24">
        <v>0</v>
      </c>
      <c r="E24">
        <v>0</v>
      </c>
      <c r="F24">
        <v>0</v>
      </c>
      <c r="G24">
        <v>4.17</v>
      </c>
      <c r="H24">
        <v>38.81</v>
      </c>
      <c r="I24">
        <v>29.88</v>
      </c>
      <c r="J24">
        <v>29.89</v>
      </c>
      <c r="K24">
        <v>29.89</v>
      </c>
      <c r="L24">
        <v>30.08</v>
      </c>
      <c r="M24">
        <v>30.08</v>
      </c>
      <c r="N24">
        <v>30.08</v>
      </c>
      <c r="O24">
        <v>41.58</v>
      </c>
      <c r="P24">
        <v>32.89</v>
      </c>
      <c r="Q24">
        <v>35.43</v>
      </c>
      <c r="R24">
        <v>30.08</v>
      </c>
      <c r="S24">
        <v>59.76</v>
      </c>
      <c r="T24">
        <v>45.3</v>
      </c>
      <c r="U24">
        <v>30.07</v>
      </c>
      <c r="V24">
        <v>30.27</v>
      </c>
      <c r="W24">
        <v>30.08</v>
      </c>
      <c r="X24">
        <v>0</v>
      </c>
      <c r="Y24">
        <v>0</v>
      </c>
    </row>
    <row r="25" spans="1:25" x14ac:dyDescent="0.2">
      <c r="A25">
        <v>8580</v>
      </c>
      <c r="B25">
        <v>0</v>
      </c>
      <c r="C25">
        <v>0</v>
      </c>
      <c r="D25">
        <v>0</v>
      </c>
      <c r="E25">
        <v>0</v>
      </c>
      <c r="F25">
        <v>0</v>
      </c>
      <c r="G25">
        <v>57.56</v>
      </c>
      <c r="H25">
        <v>84.21</v>
      </c>
      <c r="I25">
        <v>44.54</v>
      </c>
      <c r="J25">
        <v>79.599999999999994</v>
      </c>
      <c r="K25">
        <v>44.55</v>
      </c>
      <c r="L25">
        <v>44.74</v>
      </c>
      <c r="M25">
        <v>50.05</v>
      </c>
      <c r="N25">
        <v>68.03</v>
      </c>
      <c r="O25">
        <v>100.62</v>
      </c>
      <c r="P25">
        <v>68.28</v>
      </c>
      <c r="Q25">
        <v>74.86</v>
      </c>
      <c r="R25">
        <v>98.21</v>
      </c>
      <c r="S25">
        <v>185.93</v>
      </c>
      <c r="T25">
        <v>227.02</v>
      </c>
      <c r="U25">
        <v>130.44999999999999</v>
      </c>
      <c r="V25">
        <v>129.43</v>
      </c>
      <c r="W25">
        <v>68.319999999999993</v>
      </c>
      <c r="X25">
        <v>0</v>
      </c>
      <c r="Y25">
        <v>0</v>
      </c>
    </row>
    <row r="26" spans="1:25" x14ac:dyDescent="0.2">
      <c r="A26">
        <v>8581</v>
      </c>
      <c r="B26">
        <v>0</v>
      </c>
      <c r="C26">
        <v>0</v>
      </c>
      <c r="D26">
        <v>0</v>
      </c>
      <c r="E26">
        <v>0</v>
      </c>
      <c r="F26">
        <v>0</v>
      </c>
      <c r="G26">
        <v>184.43</v>
      </c>
      <c r="H26">
        <v>228.2</v>
      </c>
      <c r="I26">
        <v>253.06</v>
      </c>
      <c r="J26">
        <v>162.55000000000001</v>
      </c>
      <c r="K26">
        <v>99.76</v>
      </c>
      <c r="L26">
        <v>93.71</v>
      </c>
      <c r="M26">
        <v>151.01</v>
      </c>
      <c r="N26">
        <v>123.8</v>
      </c>
      <c r="O26">
        <v>89.88</v>
      </c>
      <c r="P26">
        <v>110.76</v>
      </c>
      <c r="Q26">
        <v>115.59</v>
      </c>
      <c r="R26">
        <v>181.22</v>
      </c>
      <c r="S26">
        <v>196.25</v>
      </c>
      <c r="T26">
        <v>0</v>
      </c>
      <c r="U26">
        <v>123.89</v>
      </c>
      <c r="V26">
        <v>110.69</v>
      </c>
      <c r="W26">
        <v>82.16</v>
      </c>
      <c r="X26">
        <v>0</v>
      </c>
      <c r="Y26">
        <v>0</v>
      </c>
    </row>
    <row r="27" spans="1:25" x14ac:dyDescent="0.2">
      <c r="A27">
        <v>8584</v>
      </c>
      <c r="B27">
        <v>0</v>
      </c>
      <c r="C27">
        <v>0</v>
      </c>
      <c r="D27">
        <v>0</v>
      </c>
      <c r="E27">
        <v>0</v>
      </c>
      <c r="F27">
        <v>0</v>
      </c>
      <c r="G27">
        <v>290.70999999999998</v>
      </c>
      <c r="H27">
        <v>324.27999999999997</v>
      </c>
      <c r="I27">
        <v>271.18</v>
      </c>
      <c r="J27">
        <v>294.10000000000002</v>
      </c>
      <c r="K27">
        <v>305.38</v>
      </c>
      <c r="L27">
        <v>240.86</v>
      </c>
      <c r="M27">
        <v>379.37</v>
      </c>
      <c r="N27">
        <v>463.88</v>
      </c>
      <c r="O27">
        <v>533.80999999999995</v>
      </c>
      <c r="P27">
        <v>372.47</v>
      </c>
      <c r="Q27">
        <v>384.38</v>
      </c>
      <c r="R27">
        <v>309.32</v>
      </c>
      <c r="S27">
        <v>368.67</v>
      </c>
      <c r="T27">
        <v>343.52</v>
      </c>
      <c r="U27">
        <v>280.31</v>
      </c>
      <c r="V27">
        <v>335.76</v>
      </c>
      <c r="W27">
        <v>67.209999999999994</v>
      </c>
      <c r="X27">
        <v>0</v>
      </c>
      <c r="Y27">
        <v>0</v>
      </c>
    </row>
    <row r="28" spans="1:25" x14ac:dyDescent="0.2">
      <c r="A28">
        <v>8585</v>
      </c>
      <c r="B28">
        <v>0</v>
      </c>
      <c r="C28">
        <v>0</v>
      </c>
      <c r="D28">
        <v>0</v>
      </c>
      <c r="E28">
        <v>0</v>
      </c>
      <c r="F28">
        <v>0</v>
      </c>
      <c r="G28">
        <v>42.64</v>
      </c>
      <c r="H28">
        <v>52.53</v>
      </c>
      <c r="I28">
        <v>52.52</v>
      </c>
      <c r="J28">
        <v>52.53</v>
      </c>
      <c r="K28">
        <v>96.36</v>
      </c>
      <c r="L28">
        <v>158.5</v>
      </c>
      <c r="M28">
        <v>323.81</v>
      </c>
      <c r="N28">
        <v>532.71</v>
      </c>
      <c r="O28">
        <v>651.11</v>
      </c>
      <c r="P28">
        <v>444.67</v>
      </c>
      <c r="Q28">
        <v>119.88</v>
      </c>
      <c r="R28">
        <v>48.59</v>
      </c>
      <c r="S28">
        <v>48.59</v>
      </c>
      <c r="T28">
        <v>48.59</v>
      </c>
      <c r="U28">
        <v>48.58</v>
      </c>
      <c r="V28">
        <v>48.59</v>
      </c>
      <c r="W28">
        <v>111.27</v>
      </c>
      <c r="X28">
        <v>0</v>
      </c>
      <c r="Y28">
        <v>0</v>
      </c>
    </row>
    <row r="29" spans="1:25" x14ac:dyDescent="0.2">
      <c r="A29">
        <v>8586</v>
      </c>
      <c r="B29">
        <v>0</v>
      </c>
      <c r="C29">
        <v>0</v>
      </c>
      <c r="D29">
        <v>0</v>
      </c>
      <c r="E29">
        <v>0</v>
      </c>
      <c r="F29">
        <v>0</v>
      </c>
      <c r="G29">
        <v>57.56</v>
      </c>
      <c r="H29">
        <v>84.21</v>
      </c>
      <c r="I29">
        <v>44.54</v>
      </c>
      <c r="J29">
        <v>79.599999999999994</v>
      </c>
      <c r="K29">
        <v>44.55</v>
      </c>
      <c r="L29">
        <v>44.74</v>
      </c>
      <c r="M29">
        <v>50.05</v>
      </c>
      <c r="N29">
        <v>68.03</v>
      </c>
      <c r="O29">
        <v>100.62</v>
      </c>
      <c r="P29">
        <v>68.28</v>
      </c>
      <c r="Q29">
        <v>74.86</v>
      </c>
      <c r="R29">
        <v>98.21</v>
      </c>
      <c r="S29">
        <v>185.93</v>
      </c>
      <c r="T29">
        <v>227.02</v>
      </c>
      <c r="U29">
        <v>130.44999999999999</v>
      </c>
      <c r="V29">
        <v>129.43</v>
      </c>
      <c r="W29">
        <v>68.319999999999993</v>
      </c>
      <c r="X29">
        <v>0</v>
      </c>
      <c r="Y29">
        <v>0</v>
      </c>
    </row>
    <row r="30" spans="1:25" x14ac:dyDescent="0.2">
      <c r="A30">
        <v>8588</v>
      </c>
      <c r="B30">
        <v>0</v>
      </c>
      <c r="C30">
        <v>0</v>
      </c>
      <c r="D30">
        <v>0</v>
      </c>
      <c r="E30">
        <v>0</v>
      </c>
      <c r="F30">
        <v>0</v>
      </c>
      <c r="G30">
        <v>109.99</v>
      </c>
      <c r="H30">
        <v>103.64</v>
      </c>
      <c r="I30">
        <v>88.68</v>
      </c>
      <c r="J30">
        <v>82.9</v>
      </c>
      <c r="K30">
        <v>70.77</v>
      </c>
      <c r="L30">
        <v>60.15</v>
      </c>
      <c r="M30">
        <v>65.72</v>
      </c>
      <c r="N30">
        <v>71.95</v>
      </c>
      <c r="O30">
        <v>80.73</v>
      </c>
      <c r="P30">
        <v>75.31</v>
      </c>
      <c r="Q30">
        <v>94.24</v>
      </c>
      <c r="R30">
        <v>100.13</v>
      </c>
      <c r="S30">
        <v>79.2</v>
      </c>
      <c r="T30">
        <v>54.04</v>
      </c>
      <c r="U30">
        <v>45.11</v>
      </c>
      <c r="V30">
        <v>44.24</v>
      </c>
      <c r="W30">
        <v>41.17</v>
      </c>
      <c r="X30">
        <v>0</v>
      </c>
      <c r="Y30">
        <v>0</v>
      </c>
    </row>
    <row r="31" spans="1:25" x14ac:dyDescent="0.2">
      <c r="A31">
        <v>8589</v>
      </c>
      <c r="B31">
        <v>0</v>
      </c>
      <c r="C31">
        <v>0</v>
      </c>
      <c r="D31">
        <v>0</v>
      </c>
      <c r="E31">
        <v>0</v>
      </c>
      <c r="F31">
        <v>0</v>
      </c>
      <c r="G31">
        <v>205.47</v>
      </c>
      <c r="H31">
        <v>180.57</v>
      </c>
      <c r="I31">
        <v>117.27</v>
      </c>
      <c r="J31">
        <v>110.2</v>
      </c>
      <c r="K31">
        <v>156.35</v>
      </c>
      <c r="L31">
        <v>119.87</v>
      </c>
      <c r="M31">
        <v>107.22</v>
      </c>
      <c r="N31">
        <v>95.46</v>
      </c>
      <c r="O31">
        <v>96.08</v>
      </c>
      <c r="P31">
        <v>120.23</v>
      </c>
      <c r="Q31">
        <v>147.18</v>
      </c>
      <c r="R31">
        <v>119.33</v>
      </c>
      <c r="S31">
        <v>180.97</v>
      </c>
      <c r="T31">
        <v>141.69</v>
      </c>
      <c r="U31">
        <v>112.85</v>
      </c>
      <c r="V31">
        <v>113.52</v>
      </c>
      <c r="W31">
        <v>101.6</v>
      </c>
      <c r="X31">
        <v>0</v>
      </c>
      <c r="Y31">
        <v>0</v>
      </c>
    </row>
    <row r="32" spans="1:25" x14ac:dyDescent="0.2">
      <c r="A32">
        <v>8590</v>
      </c>
      <c r="B32">
        <v>0</v>
      </c>
      <c r="C32">
        <v>0</v>
      </c>
      <c r="D32">
        <v>0</v>
      </c>
      <c r="E32">
        <v>0</v>
      </c>
      <c r="F32">
        <v>0</v>
      </c>
      <c r="G32">
        <v>140.66</v>
      </c>
      <c r="H32">
        <v>134.18</v>
      </c>
      <c r="I32">
        <v>89.76</v>
      </c>
      <c r="J32">
        <v>109.97</v>
      </c>
      <c r="K32">
        <v>103.97</v>
      </c>
      <c r="L32">
        <v>101.4</v>
      </c>
      <c r="M32">
        <v>119.43</v>
      </c>
      <c r="N32">
        <v>157.59</v>
      </c>
      <c r="O32">
        <v>113.58</v>
      </c>
      <c r="P32">
        <v>111.7</v>
      </c>
      <c r="Q32">
        <v>107.47</v>
      </c>
      <c r="R32">
        <v>104.65</v>
      </c>
      <c r="S32">
        <v>129.96</v>
      </c>
      <c r="T32">
        <v>127.07</v>
      </c>
      <c r="U32">
        <v>121.45</v>
      </c>
      <c r="V32">
        <v>103.58</v>
      </c>
      <c r="W32">
        <v>78.2</v>
      </c>
      <c r="X32">
        <v>0</v>
      </c>
      <c r="Y32">
        <v>0</v>
      </c>
    </row>
    <row r="33" spans="1:25" x14ac:dyDescent="0.2">
      <c r="A33">
        <v>8593</v>
      </c>
      <c r="B33">
        <v>0</v>
      </c>
      <c r="C33">
        <v>0</v>
      </c>
      <c r="D33">
        <v>0</v>
      </c>
      <c r="E33">
        <v>0</v>
      </c>
      <c r="F33">
        <v>0</v>
      </c>
      <c r="G33">
        <v>250.33</v>
      </c>
      <c r="H33">
        <v>300.47000000000003</v>
      </c>
      <c r="I33">
        <v>153.37</v>
      </c>
      <c r="J33">
        <v>98.05</v>
      </c>
      <c r="K33">
        <v>46.76</v>
      </c>
      <c r="L33">
        <v>46.95</v>
      </c>
      <c r="M33">
        <v>66.989999999999995</v>
      </c>
      <c r="N33">
        <v>80.47</v>
      </c>
      <c r="O33">
        <v>46.95</v>
      </c>
      <c r="P33">
        <v>46.95</v>
      </c>
      <c r="Q33">
        <v>47.59</v>
      </c>
      <c r="R33">
        <v>50.27</v>
      </c>
      <c r="S33">
        <v>81.56</v>
      </c>
      <c r="T33">
        <v>86.93</v>
      </c>
      <c r="U33">
        <v>118.72</v>
      </c>
      <c r="V33">
        <v>137.71</v>
      </c>
      <c r="W33">
        <v>70.260000000000005</v>
      </c>
      <c r="X33">
        <v>0</v>
      </c>
      <c r="Y33">
        <v>0</v>
      </c>
    </row>
    <row r="34" spans="1:25" x14ac:dyDescent="0.2">
      <c r="A34">
        <v>8594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151.13999999999999</v>
      </c>
      <c r="I34">
        <v>0</v>
      </c>
      <c r="J34">
        <v>0</v>
      </c>
      <c r="K34">
        <v>0</v>
      </c>
      <c r="L34">
        <v>0</v>
      </c>
      <c r="M34">
        <v>0</v>
      </c>
      <c r="N34">
        <v>95.38</v>
      </c>
      <c r="O34">
        <v>123.9</v>
      </c>
      <c r="P34">
        <v>69.87</v>
      </c>
      <c r="Q34">
        <v>49.33</v>
      </c>
      <c r="R34">
        <v>0</v>
      </c>
      <c r="S34">
        <v>42.49</v>
      </c>
      <c r="T34">
        <v>111.24</v>
      </c>
      <c r="U34">
        <v>93.63</v>
      </c>
      <c r="V34">
        <v>97.9</v>
      </c>
      <c r="W34">
        <v>42.2</v>
      </c>
      <c r="X34">
        <v>0</v>
      </c>
      <c r="Y34">
        <v>0</v>
      </c>
    </row>
    <row r="35" spans="1:25" x14ac:dyDescent="0.2">
      <c r="A35">
        <v>8597</v>
      </c>
      <c r="B35">
        <v>0</v>
      </c>
      <c r="C35">
        <v>0</v>
      </c>
      <c r="D35">
        <v>0</v>
      </c>
      <c r="E35">
        <v>0</v>
      </c>
      <c r="F35">
        <v>0</v>
      </c>
      <c r="G35">
        <v>183.99</v>
      </c>
      <c r="H35">
        <v>208.66</v>
      </c>
      <c r="I35">
        <v>164.96</v>
      </c>
      <c r="J35">
        <v>184.6</v>
      </c>
      <c r="K35">
        <v>105.48</v>
      </c>
      <c r="L35">
        <v>99.48</v>
      </c>
      <c r="M35">
        <v>125.01</v>
      </c>
      <c r="N35">
        <v>160.11000000000001</v>
      </c>
      <c r="O35">
        <v>158.62</v>
      </c>
      <c r="P35">
        <v>121.02</v>
      </c>
      <c r="Q35">
        <v>144.5</v>
      </c>
      <c r="R35">
        <v>171.88</v>
      </c>
      <c r="S35">
        <v>180.64</v>
      </c>
      <c r="T35">
        <v>279.86</v>
      </c>
      <c r="U35">
        <v>154.99</v>
      </c>
      <c r="V35">
        <v>162.32</v>
      </c>
      <c r="W35">
        <v>116.13</v>
      </c>
      <c r="X35">
        <v>0</v>
      </c>
      <c r="Y35">
        <v>0</v>
      </c>
    </row>
    <row r="36" spans="1:25" x14ac:dyDescent="0.2">
      <c r="A36">
        <v>8599</v>
      </c>
      <c r="B36">
        <v>0</v>
      </c>
      <c r="C36">
        <v>0</v>
      </c>
      <c r="D36">
        <v>0</v>
      </c>
      <c r="E36">
        <v>0</v>
      </c>
      <c r="F36">
        <v>0</v>
      </c>
      <c r="G36">
        <v>34.93</v>
      </c>
      <c r="H36">
        <v>40.56</v>
      </c>
      <c r="I36">
        <v>28.45</v>
      </c>
      <c r="J36">
        <v>32.65</v>
      </c>
      <c r="K36">
        <v>28.32</v>
      </c>
      <c r="L36">
        <v>24.49</v>
      </c>
      <c r="M36">
        <v>38.799999999999997</v>
      </c>
      <c r="N36">
        <v>35.69</v>
      </c>
      <c r="O36">
        <v>36.82</v>
      </c>
      <c r="P36">
        <v>32.56</v>
      </c>
      <c r="Q36">
        <v>39.99</v>
      </c>
      <c r="R36">
        <v>36.5</v>
      </c>
      <c r="S36">
        <v>41.24</v>
      </c>
      <c r="T36">
        <v>45.72</v>
      </c>
      <c r="U36">
        <v>29.07</v>
      </c>
      <c r="V36">
        <v>32.75</v>
      </c>
      <c r="W36">
        <v>28.68</v>
      </c>
      <c r="X36">
        <v>0</v>
      </c>
      <c r="Y36">
        <v>0</v>
      </c>
    </row>
    <row r="37" spans="1:25" x14ac:dyDescent="0.2">
      <c r="A37">
        <v>8600</v>
      </c>
      <c r="B37">
        <v>0</v>
      </c>
      <c r="C37">
        <v>0</v>
      </c>
      <c r="D37">
        <v>0</v>
      </c>
      <c r="E37">
        <v>177.12</v>
      </c>
      <c r="F37">
        <v>204.62</v>
      </c>
      <c r="G37">
        <v>217.29</v>
      </c>
      <c r="H37">
        <v>120.17</v>
      </c>
      <c r="I37">
        <v>215.39</v>
      </c>
      <c r="J37">
        <v>192.67</v>
      </c>
      <c r="K37">
        <v>186.75</v>
      </c>
      <c r="L37">
        <v>256.60000000000002</v>
      </c>
      <c r="M37">
        <v>320.88</v>
      </c>
      <c r="N37">
        <v>513.52</v>
      </c>
      <c r="O37">
        <v>434.38</v>
      </c>
      <c r="P37">
        <v>379.45</v>
      </c>
      <c r="Q37">
        <v>311.35000000000002</v>
      </c>
      <c r="R37">
        <v>170.8</v>
      </c>
      <c r="S37">
        <v>165</v>
      </c>
      <c r="T37">
        <v>160.49</v>
      </c>
      <c r="U37">
        <v>211.41</v>
      </c>
      <c r="V37">
        <v>194.07</v>
      </c>
      <c r="W37">
        <v>204.35</v>
      </c>
      <c r="X37">
        <v>0</v>
      </c>
      <c r="Y37">
        <v>0</v>
      </c>
    </row>
    <row r="38" spans="1:25" x14ac:dyDescent="0.2">
      <c r="A38">
        <v>8601</v>
      </c>
      <c r="B38">
        <v>0</v>
      </c>
      <c r="C38">
        <v>0</v>
      </c>
      <c r="D38">
        <v>0</v>
      </c>
      <c r="E38">
        <v>0</v>
      </c>
      <c r="F38">
        <v>0</v>
      </c>
      <c r="G38">
        <v>48.8</v>
      </c>
      <c r="H38">
        <v>87.84</v>
      </c>
      <c r="I38">
        <v>47.65</v>
      </c>
      <c r="J38">
        <v>56.89</v>
      </c>
      <c r="K38">
        <v>54.07</v>
      </c>
      <c r="L38">
        <v>53.92</v>
      </c>
      <c r="M38">
        <v>76.540000000000006</v>
      </c>
      <c r="N38">
        <v>42.09</v>
      </c>
      <c r="O38">
        <v>39.380000000000003</v>
      </c>
      <c r="P38">
        <v>74.06</v>
      </c>
      <c r="Q38">
        <v>82.16</v>
      </c>
      <c r="R38">
        <v>50.76</v>
      </c>
      <c r="S38">
        <v>68.319999999999993</v>
      </c>
      <c r="T38">
        <v>74.95</v>
      </c>
      <c r="U38">
        <v>74.28</v>
      </c>
      <c r="V38">
        <v>67.62</v>
      </c>
      <c r="W38">
        <v>68.56</v>
      </c>
      <c r="X38">
        <v>0</v>
      </c>
      <c r="Y38">
        <v>0</v>
      </c>
    </row>
    <row r="39" spans="1:25" x14ac:dyDescent="0.2">
      <c r="A39">
        <v>8604</v>
      </c>
      <c r="B39">
        <v>0</v>
      </c>
      <c r="C39">
        <v>0</v>
      </c>
      <c r="D39">
        <v>0</v>
      </c>
      <c r="E39">
        <v>0</v>
      </c>
      <c r="F39">
        <v>0</v>
      </c>
      <c r="G39">
        <v>101.08</v>
      </c>
      <c r="H39">
        <v>100.46</v>
      </c>
      <c r="I39">
        <v>67.75</v>
      </c>
      <c r="J39">
        <v>70.88</v>
      </c>
      <c r="K39">
        <v>33.21</v>
      </c>
      <c r="L39">
        <v>46.03</v>
      </c>
      <c r="M39">
        <v>63.22</v>
      </c>
      <c r="N39">
        <v>43.54</v>
      </c>
      <c r="O39">
        <v>97.03</v>
      </c>
      <c r="P39">
        <v>53.97</v>
      </c>
      <c r="Q39">
        <v>70.02</v>
      </c>
      <c r="R39">
        <v>65.2</v>
      </c>
      <c r="S39">
        <v>75.989999999999995</v>
      </c>
      <c r="T39">
        <v>74.930000000000007</v>
      </c>
      <c r="U39">
        <v>73.78</v>
      </c>
      <c r="V39">
        <v>153.96</v>
      </c>
      <c r="W39">
        <v>66.73</v>
      </c>
      <c r="X39">
        <v>0</v>
      </c>
      <c r="Y39">
        <v>0</v>
      </c>
    </row>
    <row r="40" spans="1:25" x14ac:dyDescent="0.2">
      <c r="A40">
        <v>8605</v>
      </c>
      <c r="B40">
        <v>0</v>
      </c>
      <c r="C40">
        <v>0</v>
      </c>
      <c r="D40">
        <v>0</v>
      </c>
      <c r="E40">
        <v>0</v>
      </c>
      <c r="F40">
        <v>0</v>
      </c>
      <c r="G40">
        <v>89.75</v>
      </c>
      <c r="H40">
        <v>108.92</v>
      </c>
      <c r="I40">
        <v>73.59</v>
      </c>
      <c r="J40">
        <v>77.8</v>
      </c>
      <c r="K40">
        <v>61.24</v>
      </c>
      <c r="L40">
        <v>63.51</v>
      </c>
      <c r="M40">
        <v>96.98</v>
      </c>
      <c r="N40">
        <v>81.790000000000006</v>
      </c>
      <c r="O40">
        <v>88.77</v>
      </c>
      <c r="P40">
        <v>74.94</v>
      </c>
      <c r="Q40">
        <v>73.06</v>
      </c>
      <c r="R40">
        <v>77.56</v>
      </c>
      <c r="S40">
        <v>93.16</v>
      </c>
      <c r="T40">
        <v>91.18</v>
      </c>
      <c r="U40">
        <v>67.790000000000006</v>
      </c>
      <c r="V40">
        <v>75.66</v>
      </c>
      <c r="W40">
        <v>57.57</v>
      </c>
      <c r="X40">
        <v>0</v>
      </c>
      <c r="Y40">
        <v>0</v>
      </c>
    </row>
    <row r="41" spans="1:25" x14ac:dyDescent="0.2">
      <c r="A41">
        <v>8606</v>
      </c>
      <c r="B41">
        <v>0</v>
      </c>
      <c r="C41">
        <v>0</v>
      </c>
      <c r="D41">
        <v>0</v>
      </c>
      <c r="E41">
        <v>0</v>
      </c>
      <c r="F41">
        <v>0</v>
      </c>
      <c r="G41">
        <v>90.02</v>
      </c>
      <c r="H41">
        <v>133.35</v>
      </c>
      <c r="I41">
        <v>87.14</v>
      </c>
      <c r="J41">
        <v>80.25</v>
      </c>
      <c r="K41">
        <v>53.25</v>
      </c>
      <c r="L41">
        <v>42.98</v>
      </c>
      <c r="M41">
        <v>51.71</v>
      </c>
      <c r="N41">
        <v>75.05</v>
      </c>
      <c r="O41">
        <v>105.46</v>
      </c>
      <c r="P41">
        <v>67.14</v>
      </c>
      <c r="Q41">
        <v>65.41</v>
      </c>
      <c r="R41">
        <v>70.95</v>
      </c>
      <c r="S41">
        <v>61.44</v>
      </c>
      <c r="T41">
        <v>55.79</v>
      </c>
      <c r="U41">
        <v>58.96</v>
      </c>
      <c r="V41">
        <v>59.58</v>
      </c>
      <c r="W41">
        <v>31.76</v>
      </c>
      <c r="X41">
        <v>0</v>
      </c>
      <c r="Y41">
        <v>0</v>
      </c>
    </row>
    <row r="42" spans="1:25" x14ac:dyDescent="0.2">
      <c r="A42">
        <v>8607</v>
      </c>
      <c r="B42">
        <v>0</v>
      </c>
      <c r="C42">
        <v>0</v>
      </c>
      <c r="D42">
        <v>0</v>
      </c>
      <c r="E42">
        <v>0</v>
      </c>
      <c r="F42">
        <v>0</v>
      </c>
      <c r="G42">
        <v>206.38</v>
      </c>
      <c r="H42">
        <v>195.81</v>
      </c>
      <c r="I42">
        <v>143.12</v>
      </c>
      <c r="J42">
        <v>105.5</v>
      </c>
      <c r="K42">
        <v>61.13</v>
      </c>
      <c r="L42">
        <v>55.64</v>
      </c>
      <c r="M42">
        <v>2296.4</v>
      </c>
      <c r="N42">
        <v>68.33</v>
      </c>
      <c r="O42">
        <v>73.64</v>
      </c>
      <c r="P42">
        <v>67.28</v>
      </c>
      <c r="Q42">
        <v>71.22</v>
      </c>
      <c r="R42">
        <v>115.97</v>
      </c>
      <c r="S42">
        <v>141.81</v>
      </c>
      <c r="T42">
        <v>189.29</v>
      </c>
      <c r="U42">
        <v>147.97999999999999</v>
      </c>
      <c r="V42">
        <v>177.84</v>
      </c>
      <c r="W42">
        <v>107.11</v>
      </c>
      <c r="X42">
        <v>0</v>
      </c>
      <c r="Y42">
        <v>0</v>
      </c>
    </row>
    <row r="43" spans="1:25" x14ac:dyDescent="0.2">
      <c r="A43">
        <v>8611</v>
      </c>
      <c r="B43">
        <v>0</v>
      </c>
      <c r="C43">
        <v>0</v>
      </c>
      <c r="D43">
        <v>0</v>
      </c>
      <c r="E43">
        <v>0</v>
      </c>
      <c r="F43">
        <v>0</v>
      </c>
      <c r="G43">
        <v>40.130000000000003</v>
      </c>
      <c r="H43">
        <v>113.72</v>
      </c>
      <c r="I43">
        <v>75.180000000000007</v>
      </c>
      <c r="J43">
        <v>54.02</v>
      </c>
      <c r="K43">
        <v>53.3</v>
      </c>
      <c r="L43">
        <v>53.49</v>
      </c>
      <c r="M43">
        <v>66.13</v>
      </c>
      <c r="N43">
        <v>53.49</v>
      </c>
      <c r="O43">
        <v>53.49</v>
      </c>
      <c r="P43">
        <v>53.49</v>
      </c>
      <c r="Q43">
        <v>59.64</v>
      </c>
      <c r="R43">
        <v>53.49</v>
      </c>
      <c r="S43">
        <v>53.49</v>
      </c>
      <c r="T43">
        <v>53.49</v>
      </c>
      <c r="U43">
        <v>84.44</v>
      </c>
      <c r="V43">
        <v>86.3</v>
      </c>
      <c r="W43">
        <v>53.49</v>
      </c>
      <c r="X43">
        <v>0</v>
      </c>
      <c r="Y43">
        <v>0</v>
      </c>
    </row>
    <row r="44" spans="1:25" x14ac:dyDescent="0.2">
      <c r="A44">
        <v>8612</v>
      </c>
      <c r="B44">
        <v>0</v>
      </c>
      <c r="C44">
        <v>0</v>
      </c>
      <c r="D44">
        <v>0</v>
      </c>
      <c r="E44">
        <v>0</v>
      </c>
      <c r="F44">
        <v>0</v>
      </c>
      <c r="G44">
        <v>347.11</v>
      </c>
      <c r="H44">
        <v>371.75</v>
      </c>
      <c r="I44">
        <v>300.62</v>
      </c>
      <c r="J44">
        <v>294.73</v>
      </c>
      <c r="K44">
        <v>169.66</v>
      </c>
      <c r="L44">
        <v>79.89</v>
      </c>
      <c r="M44">
        <v>63.9</v>
      </c>
      <c r="N44">
        <v>53.49</v>
      </c>
      <c r="O44">
        <v>83.14</v>
      </c>
      <c r="P44">
        <v>68.13</v>
      </c>
      <c r="Q44">
        <v>65.56</v>
      </c>
      <c r="R44">
        <v>165.45</v>
      </c>
      <c r="S44">
        <v>344.09</v>
      </c>
      <c r="T44">
        <v>343.37</v>
      </c>
      <c r="U44">
        <v>215.59</v>
      </c>
      <c r="V44">
        <v>339.06</v>
      </c>
      <c r="W44">
        <v>133.97</v>
      </c>
      <c r="X44">
        <v>0</v>
      </c>
      <c r="Y44">
        <v>0</v>
      </c>
    </row>
    <row r="45" spans="1:25" x14ac:dyDescent="0.2">
      <c r="A45">
        <v>8613</v>
      </c>
      <c r="B45">
        <v>0</v>
      </c>
      <c r="C45">
        <v>0</v>
      </c>
      <c r="D45">
        <v>0</v>
      </c>
      <c r="E45">
        <v>0</v>
      </c>
      <c r="F45">
        <v>0</v>
      </c>
      <c r="G45">
        <v>118.49</v>
      </c>
      <c r="H45">
        <v>154.22</v>
      </c>
      <c r="I45">
        <v>87.47</v>
      </c>
      <c r="J45">
        <v>83.49</v>
      </c>
      <c r="K45">
        <v>78.650000000000006</v>
      </c>
      <c r="L45">
        <v>78.84</v>
      </c>
      <c r="M45">
        <v>121.87</v>
      </c>
      <c r="N45">
        <v>124.02</v>
      </c>
      <c r="O45">
        <v>93.77</v>
      </c>
      <c r="P45">
        <v>93.31</v>
      </c>
      <c r="Q45">
        <v>94.56</v>
      </c>
      <c r="R45">
        <v>93.5</v>
      </c>
      <c r="S45">
        <v>165.13</v>
      </c>
      <c r="T45">
        <v>175.03</v>
      </c>
      <c r="U45">
        <v>121.96</v>
      </c>
      <c r="V45">
        <v>78.84</v>
      </c>
      <c r="W45">
        <v>78.84</v>
      </c>
      <c r="X45">
        <v>0</v>
      </c>
      <c r="Y45">
        <v>0</v>
      </c>
    </row>
    <row r="46" spans="1:25" x14ac:dyDescent="0.2">
      <c r="A46">
        <v>8614</v>
      </c>
      <c r="B46">
        <v>0</v>
      </c>
      <c r="C46">
        <v>0</v>
      </c>
      <c r="D46">
        <v>0</v>
      </c>
      <c r="E46">
        <v>0</v>
      </c>
      <c r="F46">
        <v>0</v>
      </c>
      <c r="G46">
        <v>39.85</v>
      </c>
      <c r="H46">
        <v>51.78</v>
      </c>
      <c r="I46">
        <v>37.33</v>
      </c>
      <c r="J46">
        <v>41.41</v>
      </c>
      <c r="K46">
        <v>97.03</v>
      </c>
      <c r="L46">
        <v>0</v>
      </c>
      <c r="M46">
        <v>0</v>
      </c>
      <c r="N46">
        <v>42.75</v>
      </c>
      <c r="O46">
        <v>31.97</v>
      </c>
      <c r="P46">
        <v>0</v>
      </c>
      <c r="Q46">
        <v>52.56</v>
      </c>
      <c r="R46">
        <v>44.32</v>
      </c>
      <c r="S46">
        <v>39.840000000000003</v>
      </c>
      <c r="T46">
        <v>45.55</v>
      </c>
      <c r="U46">
        <v>44.05</v>
      </c>
      <c r="V46">
        <v>37.65</v>
      </c>
      <c r="W46">
        <v>36.42</v>
      </c>
      <c r="X46">
        <v>0</v>
      </c>
      <c r="Y46">
        <v>0</v>
      </c>
    </row>
    <row r="47" spans="1:25" x14ac:dyDescent="0.2">
      <c r="A47">
        <v>8617</v>
      </c>
      <c r="B47">
        <v>0</v>
      </c>
      <c r="C47">
        <v>0</v>
      </c>
      <c r="D47">
        <v>0</v>
      </c>
      <c r="E47">
        <v>0</v>
      </c>
      <c r="F47">
        <v>0</v>
      </c>
      <c r="G47">
        <v>24.44</v>
      </c>
      <c r="H47">
        <v>103.27</v>
      </c>
      <c r="I47">
        <v>38.119999999999997</v>
      </c>
      <c r="J47">
        <v>30.84</v>
      </c>
      <c r="K47">
        <v>62.64</v>
      </c>
      <c r="L47">
        <v>48.65</v>
      </c>
      <c r="M47">
        <v>38.22</v>
      </c>
      <c r="N47">
        <v>30.61</v>
      </c>
      <c r="O47">
        <v>30.61</v>
      </c>
      <c r="P47">
        <v>30.61</v>
      </c>
      <c r="Q47">
        <v>30.61</v>
      </c>
      <c r="R47">
        <v>46.48</v>
      </c>
      <c r="S47">
        <v>34.29</v>
      </c>
      <c r="T47">
        <v>31.16</v>
      </c>
      <c r="U47">
        <v>30.6</v>
      </c>
      <c r="V47">
        <v>30.61</v>
      </c>
      <c r="W47">
        <v>30.61</v>
      </c>
      <c r="X47">
        <v>0</v>
      </c>
      <c r="Y47">
        <v>0</v>
      </c>
    </row>
    <row r="48" spans="1:25" x14ac:dyDescent="0.2">
      <c r="A48">
        <v>8618</v>
      </c>
      <c r="B48">
        <v>0</v>
      </c>
      <c r="C48">
        <v>0</v>
      </c>
      <c r="D48">
        <v>0</v>
      </c>
      <c r="E48">
        <v>0</v>
      </c>
      <c r="F48">
        <v>0</v>
      </c>
      <c r="G48">
        <v>142.69999999999999</v>
      </c>
      <c r="H48">
        <v>158.03</v>
      </c>
      <c r="I48">
        <v>104.93</v>
      </c>
      <c r="J48">
        <v>109.06</v>
      </c>
      <c r="K48">
        <v>62.3</v>
      </c>
      <c r="L48">
        <v>62.29</v>
      </c>
      <c r="M48">
        <v>157.80000000000001</v>
      </c>
      <c r="N48">
        <v>198.54</v>
      </c>
      <c r="O48">
        <v>134.88999999999999</v>
      </c>
      <c r="P48">
        <v>110.65</v>
      </c>
      <c r="Q48">
        <v>105.97</v>
      </c>
      <c r="R48">
        <v>117.91</v>
      </c>
      <c r="S48">
        <v>123.7</v>
      </c>
      <c r="T48">
        <v>98.87</v>
      </c>
      <c r="U48">
        <v>105.2</v>
      </c>
      <c r="V48">
        <v>90.93</v>
      </c>
      <c r="W48">
        <v>57.95</v>
      </c>
      <c r="X48">
        <v>0</v>
      </c>
      <c r="Y48">
        <v>0</v>
      </c>
    </row>
    <row r="49" spans="1:25" x14ac:dyDescent="0.2">
      <c r="A49">
        <v>8620</v>
      </c>
      <c r="B49">
        <v>0</v>
      </c>
      <c r="C49">
        <v>0</v>
      </c>
      <c r="D49">
        <v>0</v>
      </c>
      <c r="E49">
        <v>0</v>
      </c>
      <c r="F49">
        <v>0</v>
      </c>
      <c r="G49">
        <v>36.64</v>
      </c>
      <c r="H49">
        <v>50.58</v>
      </c>
      <c r="I49">
        <v>40.659999999999997</v>
      </c>
      <c r="J49">
        <v>36.229999999999997</v>
      </c>
      <c r="K49">
        <v>56.58</v>
      </c>
      <c r="L49">
        <v>36.42</v>
      </c>
      <c r="M49">
        <v>73.55</v>
      </c>
      <c r="N49">
        <v>129.06</v>
      </c>
      <c r="O49">
        <v>123.92</v>
      </c>
      <c r="P49">
        <v>91.35</v>
      </c>
      <c r="Q49">
        <v>61.86</v>
      </c>
      <c r="R49">
        <v>36.42</v>
      </c>
      <c r="S49">
        <v>36.42</v>
      </c>
      <c r="T49">
        <v>36.42</v>
      </c>
      <c r="U49">
        <v>36.409999999999997</v>
      </c>
      <c r="V49">
        <v>36.42</v>
      </c>
      <c r="W49">
        <v>36.42</v>
      </c>
      <c r="X49">
        <v>0</v>
      </c>
      <c r="Y49">
        <v>0</v>
      </c>
    </row>
    <row r="50" spans="1:25" x14ac:dyDescent="0.2">
      <c r="A50">
        <v>8621</v>
      </c>
      <c r="B50">
        <v>0</v>
      </c>
      <c r="C50">
        <v>0</v>
      </c>
      <c r="D50">
        <v>0</v>
      </c>
      <c r="E50">
        <v>0</v>
      </c>
      <c r="F50">
        <v>0</v>
      </c>
      <c r="G50">
        <v>4.17</v>
      </c>
      <c r="H50">
        <v>38.81</v>
      </c>
      <c r="I50">
        <v>29.88</v>
      </c>
      <c r="J50">
        <v>29.89</v>
      </c>
      <c r="K50">
        <v>29.89</v>
      </c>
      <c r="L50">
        <v>30.08</v>
      </c>
      <c r="M50">
        <v>30.08</v>
      </c>
      <c r="N50">
        <v>30.08</v>
      </c>
      <c r="O50">
        <v>41.58</v>
      </c>
      <c r="P50">
        <v>32.89</v>
      </c>
      <c r="Q50">
        <v>35.43</v>
      </c>
      <c r="R50">
        <v>30.08</v>
      </c>
      <c r="S50">
        <v>59.76</v>
      </c>
      <c r="T50">
        <v>45.3</v>
      </c>
      <c r="U50">
        <v>30.07</v>
      </c>
      <c r="V50">
        <v>30.27</v>
      </c>
      <c r="W50">
        <v>30.08</v>
      </c>
      <c r="X50">
        <v>0</v>
      </c>
      <c r="Y50">
        <v>0</v>
      </c>
    </row>
    <row r="51" spans="1:25" x14ac:dyDescent="0.2">
      <c r="A51">
        <v>8622</v>
      </c>
      <c r="B51">
        <v>0</v>
      </c>
      <c r="C51">
        <v>0</v>
      </c>
      <c r="D51">
        <v>0</v>
      </c>
      <c r="E51">
        <v>0</v>
      </c>
      <c r="F51">
        <v>0</v>
      </c>
      <c r="G51">
        <v>187.37</v>
      </c>
      <c r="H51">
        <v>356.58</v>
      </c>
      <c r="I51">
        <v>235.43</v>
      </c>
      <c r="J51">
        <v>209.2</v>
      </c>
      <c r="K51">
        <v>182.14</v>
      </c>
      <c r="L51">
        <v>207.52</v>
      </c>
      <c r="M51">
        <v>386.58</v>
      </c>
      <c r="N51">
        <v>538.58000000000004</v>
      </c>
      <c r="O51">
        <v>419.91</v>
      </c>
      <c r="P51">
        <v>343.48</v>
      </c>
      <c r="Q51">
        <v>342.43</v>
      </c>
      <c r="R51">
        <v>233.64</v>
      </c>
      <c r="S51">
        <v>286.64</v>
      </c>
      <c r="T51">
        <v>392.56</v>
      </c>
      <c r="U51">
        <v>325.89</v>
      </c>
      <c r="V51">
        <v>280.12</v>
      </c>
      <c r="W51">
        <v>251.73</v>
      </c>
      <c r="X51">
        <v>0</v>
      </c>
      <c r="Y51">
        <v>0</v>
      </c>
    </row>
    <row r="52" spans="1:25" x14ac:dyDescent="0.2">
      <c r="A52">
        <v>8623</v>
      </c>
      <c r="B52">
        <v>0</v>
      </c>
      <c r="C52">
        <v>0</v>
      </c>
      <c r="D52">
        <v>0</v>
      </c>
      <c r="E52">
        <v>0</v>
      </c>
      <c r="F52">
        <v>0</v>
      </c>
      <c r="G52">
        <v>197.21</v>
      </c>
      <c r="H52">
        <v>107.96</v>
      </c>
      <c r="I52">
        <v>57.75</v>
      </c>
      <c r="J52">
        <v>57.76</v>
      </c>
      <c r="K52">
        <v>156.47999999999999</v>
      </c>
      <c r="L52">
        <v>109.34</v>
      </c>
      <c r="M52">
        <v>81.96</v>
      </c>
      <c r="N52">
        <v>104.55</v>
      </c>
      <c r="O52">
        <v>64.709999999999994</v>
      </c>
      <c r="P52">
        <v>144.05000000000001</v>
      </c>
      <c r="Q52">
        <v>114.68</v>
      </c>
      <c r="R52">
        <v>57.95</v>
      </c>
      <c r="S52">
        <v>155.66999999999999</v>
      </c>
      <c r="T52">
        <v>95.69</v>
      </c>
      <c r="U52">
        <v>73.010000000000005</v>
      </c>
      <c r="V52">
        <v>131.63999999999999</v>
      </c>
      <c r="W52">
        <v>214.16</v>
      </c>
      <c r="X52">
        <v>0</v>
      </c>
      <c r="Y52">
        <v>0</v>
      </c>
    </row>
    <row r="53" spans="1:25" x14ac:dyDescent="0.2">
      <c r="A53">
        <v>8624</v>
      </c>
      <c r="B53">
        <v>0</v>
      </c>
      <c r="C53">
        <v>0</v>
      </c>
      <c r="D53">
        <v>0</v>
      </c>
      <c r="E53">
        <v>0</v>
      </c>
      <c r="F53">
        <v>0</v>
      </c>
      <c r="G53">
        <v>180.47</v>
      </c>
      <c r="H53">
        <v>158.91</v>
      </c>
      <c r="I53">
        <v>141.13</v>
      </c>
      <c r="J53">
        <v>152.97999999999999</v>
      </c>
      <c r="K53">
        <v>157.74</v>
      </c>
      <c r="L53">
        <v>113.65</v>
      </c>
      <c r="M53">
        <v>193.9</v>
      </c>
      <c r="N53">
        <v>208.65</v>
      </c>
      <c r="O53">
        <v>154.35</v>
      </c>
      <c r="P53">
        <v>155.61000000000001</v>
      </c>
      <c r="Q53">
        <v>97.8</v>
      </c>
      <c r="R53">
        <v>151.27000000000001</v>
      </c>
      <c r="S53">
        <v>251.03</v>
      </c>
      <c r="T53">
        <v>157.49</v>
      </c>
      <c r="U53">
        <v>190.46</v>
      </c>
      <c r="V53">
        <v>136.69</v>
      </c>
      <c r="W53">
        <v>63.08</v>
      </c>
      <c r="X53">
        <v>0</v>
      </c>
      <c r="Y53">
        <v>0</v>
      </c>
    </row>
    <row r="54" spans="1:25" x14ac:dyDescent="0.2">
      <c r="A54">
        <v>8625</v>
      </c>
      <c r="B54">
        <v>0</v>
      </c>
      <c r="C54">
        <v>0</v>
      </c>
      <c r="D54">
        <v>0</v>
      </c>
      <c r="E54">
        <v>0</v>
      </c>
      <c r="F54">
        <v>0</v>
      </c>
      <c r="G54">
        <v>69.319999999999993</v>
      </c>
      <c r="H54">
        <v>68.180000000000007</v>
      </c>
      <c r="I54">
        <v>67.91</v>
      </c>
      <c r="J54">
        <v>65.5</v>
      </c>
      <c r="K54">
        <v>63</v>
      </c>
      <c r="L54">
        <v>66.739999999999995</v>
      </c>
      <c r="M54">
        <v>76.22</v>
      </c>
      <c r="N54">
        <v>103.09</v>
      </c>
      <c r="O54">
        <v>113.81</v>
      </c>
      <c r="P54">
        <v>63.43</v>
      </c>
      <c r="Q54">
        <v>65.430000000000007</v>
      </c>
      <c r="R54">
        <v>70.010000000000005</v>
      </c>
      <c r="S54">
        <v>68.52</v>
      </c>
      <c r="T54">
        <v>70.37</v>
      </c>
      <c r="U54">
        <v>71.34</v>
      </c>
      <c r="V54">
        <v>69.790000000000006</v>
      </c>
      <c r="W54">
        <v>67.31</v>
      </c>
      <c r="X54">
        <v>0</v>
      </c>
      <c r="Y54">
        <v>0</v>
      </c>
    </row>
    <row r="55" spans="1:25" x14ac:dyDescent="0.2">
      <c r="A55">
        <v>8626</v>
      </c>
      <c r="B55">
        <v>0</v>
      </c>
      <c r="C55">
        <v>0</v>
      </c>
      <c r="D55">
        <v>0</v>
      </c>
      <c r="E55">
        <v>0</v>
      </c>
      <c r="F55">
        <v>0</v>
      </c>
      <c r="G55">
        <v>47.83</v>
      </c>
      <c r="H55">
        <v>50.78</v>
      </c>
      <c r="I55">
        <v>50.77</v>
      </c>
      <c r="J55">
        <v>50.78</v>
      </c>
      <c r="K55">
        <v>50.78</v>
      </c>
      <c r="L55">
        <v>50.97</v>
      </c>
      <c r="M55">
        <v>65.400000000000006</v>
      </c>
      <c r="N55">
        <v>50.97</v>
      </c>
      <c r="O55">
        <v>50.97</v>
      </c>
      <c r="P55">
        <v>50.97</v>
      </c>
      <c r="Q55">
        <v>66.67</v>
      </c>
      <c r="R55">
        <v>64.709999999999994</v>
      </c>
      <c r="S55">
        <v>50.97</v>
      </c>
      <c r="T55">
        <v>50.97</v>
      </c>
      <c r="U55">
        <v>50.96</v>
      </c>
      <c r="V55">
        <v>50.97</v>
      </c>
      <c r="W55">
        <v>50.97</v>
      </c>
      <c r="X55">
        <v>0</v>
      </c>
      <c r="Y55">
        <v>0</v>
      </c>
    </row>
    <row r="56" spans="1:25" x14ac:dyDescent="0.2">
      <c r="A56">
        <v>8627</v>
      </c>
      <c r="B56">
        <v>0</v>
      </c>
      <c r="C56">
        <v>0</v>
      </c>
      <c r="D56">
        <v>0</v>
      </c>
      <c r="E56">
        <v>0</v>
      </c>
      <c r="F56">
        <v>0</v>
      </c>
      <c r="G56">
        <v>30.2</v>
      </c>
      <c r="H56">
        <v>34.090000000000003</v>
      </c>
      <c r="I56">
        <v>59.75</v>
      </c>
      <c r="J56">
        <v>34.51</v>
      </c>
      <c r="K56">
        <v>39.85</v>
      </c>
      <c r="L56">
        <v>53.43</v>
      </c>
      <c r="M56">
        <v>116.93</v>
      </c>
      <c r="N56">
        <v>93.33</v>
      </c>
      <c r="O56">
        <v>112.19</v>
      </c>
      <c r="P56">
        <v>101.59</v>
      </c>
      <c r="Q56">
        <v>86.7</v>
      </c>
      <c r="R56">
        <v>120.39</v>
      </c>
      <c r="S56">
        <v>129.97</v>
      </c>
      <c r="T56">
        <v>202.95</v>
      </c>
      <c r="U56">
        <v>104.89</v>
      </c>
      <c r="V56">
        <v>100.84</v>
      </c>
      <c r="W56">
        <v>34.700000000000003</v>
      </c>
      <c r="X56">
        <v>0</v>
      </c>
      <c r="Y56">
        <v>0</v>
      </c>
    </row>
    <row r="57" spans="1:25" x14ac:dyDescent="0.2">
      <c r="A57">
        <v>8628</v>
      </c>
      <c r="B57">
        <v>0</v>
      </c>
      <c r="C57">
        <v>0</v>
      </c>
      <c r="D57">
        <v>0</v>
      </c>
      <c r="E57">
        <v>0</v>
      </c>
      <c r="F57">
        <v>0</v>
      </c>
      <c r="G57">
        <v>152.30000000000001</v>
      </c>
      <c r="H57">
        <v>155.74</v>
      </c>
      <c r="I57">
        <v>135.53</v>
      </c>
      <c r="J57">
        <v>151.44999999999999</v>
      </c>
      <c r="K57">
        <v>121.1</v>
      </c>
      <c r="L57">
        <v>117.22</v>
      </c>
      <c r="M57">
        <v>135.4</v>
      </c>
      <c r="N57">
        <v>157.11000000000001</v>
      </c>
      <c r="O57">
        <v>145.6</v>
      </c>
      <c r="P57">
        <v>133.59</v>
      </c>
      <c r="Q57">
        <v>124.12</v>
      </c>
      <c r="R57">
        <v>141.72</v>
      </c>
      <c r="S57">
        <v>181.57</v>
      </c>
      <c r="T57">
        <v>190.85</v>
      </c>
      <c r="U57">
        <v>144.71</v>
      </c>
      <c r="V57">
        <v>140.88</v>
      </c>
      <c r="W57">
        <v>121.29</v>
      </c>
      <c r="X57">
        <v>0</v>
      </c>
      <c r="Y57">
        <v>0</v>
      </c>
    </row>
    <row r="58" spans="1:25" x14ac:dyDescent="0.2">
      <c r="A58">
        <v>8630</v>
      </c>
      <c r="B58">
        <v>0</v>
      </c>
      <c r="C58">
        <v>0</v>
      </c>
      <c r="D58">
        <v>0</v>
      </c>
      <c r="E58">
        <v>0</v>
      </c>
      <c r="F58">
        <v>0</v>
      </c>
      <c r="G58">
        <v>192.1</v>
      </c>
      <c r="H58">
        <v>178.04</v>
      </c>
      <c r="I58">
        <v>145.32</v>
      </c>
      <c r="J58">
        <v>133.88999999999999</v>
      </c>
      <c r="K58">
        <v>81.14</v>
      </c>
      <c r="L58">
        <v>70.790000000000006</v>
      </c>
      <c r="M58">
        <v>85.31</v>
      </c>
      <c r="N58">
        <v>127.02</v>
      </c>
      <c r="O58">
        <v>106.87</v>
      </c>
      <c r="P58">
        <v>97.92</v>
      </c>
      <c r="Q58">
        <v>105.82</v>
      </c>
      <c r="R58">
        <v>139.47999999999999</v>
      </c>
      <c r="S58">
        <v>194.34</v>
      </c>
      <c r="T58">
        <v>242.11</v>
      </c>
      <c r="U58">
        <v>171.01</v>
      </c>
      <c r="V58">
        <v>177.95</v>
      </c>
      <c r="W58">
        <v>93.5</v>
      </c>
      <c r="X58">
        <v>0</v>
      </c>
      <c r="Y58">
        <v>0</v>
      </c>
    </row>
    <row r="59" spans="1:25" x14ac:dyDescent="0.2">
      <c r="A59">
        <v>8631</v>
      </c>
      <c r="B59">
        <v>0</v>
      </c>
      <c r="C59">
        <v>0</v>
      </c>
      <c r="D59">
        <v>0</v>
      </c>
      <c r="E59">
        <v>0</v>
      </c>
      <c r="F59">
        <v>0</v>
      </c>
      <c r="G59">
        <v>488.65</v>
      </c>
      <c r="H59">
        <v>537.73</v>
      </c>
      <c r="I59">
        <v>494.3</v>
      </c>
      <c r="J59">
        <v>528.99</v>
      </c>
      <c r="K59">
        <v>544.83000000000004</v>
      </c>
      <c r="L59">
        <v>537.04999999999995</v>
      </c>
      <c r="M59">
        <v>563.32000000000005</v>
      </c>
      <c r="N59">
        <v>575.52</v>
      </c>
      <c r="O59">
        <v>644.98</v>
      </c>
      <c r="P59">
        <v>529.15</v>
      </c>
      <c r="Q59">
        <v>488.22</v>
      </c>
      <c r="R59">
        <v>454.74</v>
      </c>
      <c r="S59">
        <v>450</v>
      </c>
      <c r="T59">
        <v>440.38</v>
      </c>
      <c r="U59">
        <v>457.36</v>
      </c>
      <c r="V59">
        <v>398.64</v>
      </c>
      <c r="W59">
        <v>437.08</v>
      </c>
      <c r="X59">
        <v>0</v>
      </c>
      <c r="Y59">
        <v>0</v>
      </c>
    </row>
    <row r="60" spans="1:25" x14ac:dyDescent="0.2">
      <c r="A60">
        <v>8632</v>
      </c>
      <c r="B60">
        <v>0</v>
      </c>
      <c r="C60">
        <v>0</v>
      </c>
      <c r="D60">
        <v>0</v>
      </c>
      <c r="E60">
        <v>0</v>
      </c>
      <c r="F60">
        <v>0</v>
      </c>
      <c r="G60">
        <v>94.92</v>
      </c>
      <c r="H60">
        <v>86.01</v>
      </c>
      <c r="I60">
        <v>79.349999999999994</v>
      </c>
      <c r="J60">
        <v>78.97</v>
      </c>
      <c r="K60">
        <v>65.97</v>
      </c>
      <c r="L60">
        <v>67.69</v>
      </c>
      <c r="M60">
        <v>103.82</v>
      </c>
      <c r="N60">
        <v>132.38</v>
      </c>
      <c r="O60">
        <v>136.19</v>
      </c>
      <c r="P60">
        <v>77.819999999999993</v>
      </c>
      <c r="Q60">
        <v>64.73</v>
      </c>
      <c r="R60">
        <v>71.67</v>
      </c>
      <c r="S60">
        <v>82.72</v>
      </c>
      <c r="T60">
        <v>96.29</v>
      </c>
      <c r="U60">
        <v>71.930000000000007</v>
      </c>
      <c r="V60">
        <v>86.07</v>
      </c>
      <c r="W60">
        <v>73.45</v>
      </c>
      <c r="X60">
        <v>0</v>
      </c>
      <c r="Y60">
        <v>0</v>
      </c>
    </row>
    <row r="61" spans="1:25" x14ac:dyDescent="0.2">
      <c r="A61">
        <v>8633</v>
      </c>
      <c r="B61">
        <v>0</v>
      </c>
      <c r="C61">
        <v>0</v>
      </c>
      <c r="D61">
        <v>0</v>
      </c>
      <c r="E61">
        <v>0</v>
      </c>
      <c r="F61">
        <v>0</v>
      </c>
      <c r="G61">
        <v>153.30000000000001</v>
      </c>
      <c r="H61">
        <v>235.52</v>
      </c>
      <c r="I61">
        <v>144.81</v>
      </c>
      <c r="J61">
        <v>170.73</v>
      </c>
      <c r="K61">
        <v>107.14</v>
      </c>
      <c r="L61">
        <v>64.89</v>
      </c>
      <c r="M61">
        <v>74.86</v>
      </c>
      <c r="N61">
        <v>64.900000000000006</v>
      </c>
      <c r="O61">
        <v>73.650000000000006</v>
      </c>
      <c r="P61">
        <v>68.86</v>
      </c>
      <c r="Q61">
        <v>64.900000000000006</v>
      </c>
      <c r="R61">
        <v>98.52</v>
      </c>
      <c r="S61">
        <v>222.19</v>
      </c>
      <c r="T61">
        <v>204.15</v>
      </c>
      <c r="U61">
        <v>117.32</v>
      </c>
      <c r="V61">
        <v>122.82</v>
      </c>
      <c r="W61">
        <v>64.900000000000006</v>
      </c>
      <c r="X61">
        <v>0</v>
      </c>
      <c r="Y61">
        <v>0</v>
      </c>
    </row>
    <row r="62" spans="1:25" x14ac:dyDescent="0.2">
      <c r="A62">
        <v>8634</v>
      </c>
      <c r="B62">
        <v>0</v>
      </c>
      <c r="C62">
        <v>0</v>
      </c>
      <c r="D62">
        <v>0</v>
      </c>
      <c r="E62">
        <v>0</v>
      </c>
      <c r="F62">
        <v>0</v>
      </c>
      <c r="G62">
        <v>25.51</v>
      </c>
      <c r="H62">
        <v>36.229999999999997</v>
      </c>
      <c r="I62">
        <v>36.22</v>
      </c>
      <c r="J62">
        <v>36.229999999999997</v>
      </c>
      <c r="K62">
        <v>36.229999999999997</v>
      </c>
      <c r="L62">
        <v>36.42</v>
      </c>
      <c r="M62">
        <v>39.14</v>
      </c>
      <c r="N62">
        <v>36.42</v>
      </c>
      <c r="O62">
        <v>69.209999999999994</v>
      </c>
      <c r="P62">
        <v>36.42</v>
      </c>
      <c r="Q62">
        <v>36.42</v>
      </c>
      <c r="R62">
        <v>36.42</v>
      </c>
      <c r="S62">
        <v>36.42</v>
      </c>
      <c r="T62">
        <v>36.42</v>
      </c>
      <c r="U62">
        <v>36.409999999999997</v>
      </c>
      <c r="V62">
        <v>36.42</v>
      </c>
      <c r="W62">
        <v>36.42</v>
      </c>
      <c r="X62">
        <v>0</v>
      </c>
      <c r="Y62">
        <v>0</v>
      </c>
    </row>
    <row r="63" spans="1:25" x14ac:dyDescent="0.2">
      <c r="A63">
        <v>8636</v>
      </c>
      <c r="B63">
        <v>0</v>
      </c>
      <c r="C63">
        <v>0</v>
      </c>
      <c r="D63">
        <v>0</v>
      </c>
      <c r="E63">
        <v>0</v>
      </c>
      <c r="F63">
        <v>0</v>
      </c>
      <c r="G63">
        <v>84.84</v>
      </c>
      <c r="H63">
        <v>87.6</v>
      </c>
      <c r="I63">
        <v>102.13</v>
      </c>
      <c r="J63">
        <v>112.73</v>
      </c>
      <c r="K63">
        <v>67.239999999999995</v>
      </c>
      <c r="L63">
        <v>70.09</v>
      </c>
      <c r="M63">
        <v>176.45</v>
      </c>
      <c r="N63">
        <v>216.18</v>
      </c>
      <c r="O63">
        <v>228.49</v>
      </c>
      <c r="P63">
        <v>167.21</v>
      </c>
      <c r="Q63">
        <v>89.58</v>
      </c>
      <c r="R63">
        <v>53.52</v>
      </c>
      <c r="S63">
        <v>94.91</v>
      </c>
      <c r="T63">
        <v>68.69</v>
      </c>
      <c r="U63">
        <v>52.1</v>
      </c>
      <c r="V63">
        <v>65.48</v>
      </c>
      <c r="W63">
        <v>54.69</v>
      </c>
      <c r="X63">
        <v>0</v>
      </c>
      <c r="Y63">
        <v>0</v>
      </c>
    </row>
    <row r="64" spans="1:25" x14ac:dyDescent="0.2">
      <c r="A64">
        <v>8637</v>
      </c>
      <c r="B64">
        <v>0</v>
      </c>
      <c r="C64">
        <v>0</v>
      </c>
      <c r="D64">
        <v>0</v>
      </c>
      <c r="E64">
        <v>0</v>
      </c>
      <c r="F64">
        <v>0</v>
      </c>
      <c r="G64">
        <v>210.17</v>
      </c>
      <c r="H64">
        <v>158.22999999999999</v>
      </c>
      <c r="I64">
        <v>144.91</v>
      </c>
      <c r="J64">
        <v>177.92</v>
      </c>
      <c r="K64">
        <v>203.1</v>
      </c>
      <c r="L64">
        <v>248.87</v>
      </c>
      <c r="M64">
        <v>311.27999999999997</v>
      </c>
      <c r="N64">
        <v>316.33999999999997</v>
      </c>
      <c r="O64">
        <v>459.23</v>
      </c>
      <c r="P64">
        <v>343.62</v>
      </c>
      <c r="Q64">
        <v>268.93</v>
      </c>
      <c r="R64">
        <v>208.6</v>
      </c>
      <c r="S64">
        <v>225.91</v>
      </c>
      <c r="T64">
        <v>206.38</v>
      </c>
      <c r="U64">
        <v>249.36</v>
      </c>
      <c r="V64">
        <v>234.85</v>
      </c>
      <c r="W64">
        <v>245.83</v>
      </c>
      <c r="X64">
        <v>0</v>
      </c>
      <c r="Y64">
        <v>0</v>
      </c>
    </row>
    <row r="65" spans="1:25" x14ac:dyDescent="0.2">
      <c r="A65">
        <v>8639</v>
      </c>
      <c r="B65">
        <v>0</v>
      </c>
      <c r="C65">
        <v>0</v>
      </c>
      <c r="D65">
        <v>0</v>
      </c>
      <c r="E65">
        <v>0</v>
      </c>
      <c r="F65">
        <v>0</v>
      </c>
      <c r="G65">
        <v>102.46</v>
      </c>
      <c r="H65">
        <v>89.21</v>
      </c>
      <c r="I65">
        <v>83.15</v>
      </c>
      <c r="J65">
        <v>72.06</v>
      </c>
      <c r="K65">
        <v>80.989999999999995</v>
      </c>
      <c r="L65">
        <v>82.21</v>
      </c>
      <c r="M65">
        <v>98.36</v>
      </c>
      <c r="N65">
        <v>101.02</v>
      </c>
      <c r="O65">
        <v>102.55</v>
      </c>
      <c r="P65">
        <v>85.84</v>
      </c>
      <c r="Q65">
        <v>73.62</v>
      </c>
      <c r="R65">
        <v>75.209999999999994</v>
      </c>
      <c r="S65">
        <v>82.48</v>
      </c>
      <c r="T65">
        <v>82.8</v>
      </c>
      <c r="U65">
        <v>76.5</v>
      </c>
      <c r="V65">
        <v>89.98</v>
      </c>
      <c r="W65">
        <v>96.87</v>
      </c>
      <c r="X65">
        <v>0</v>
      </c>
      <c r="Y65">
        <v>0</v>
      </c>
    </row>
    <row r="66" spans="1:25" x14ac:dyDescent="0.2">
      <c r="A66">
        <v>8640</v>
      </c>
      <c r="B66">
        <v>0</v>
      </c>
      <c r="C66">
        <v>0</v>
      </c>
      <c r="D66">
        <v>0</v>
      </c>
      <c r="E66">
        <v>0</v>
      </c>
      <c r="F66">
        <v>449.11</v>
      </c>
      <c r="G66">
        <v>662.18</v>
      </c>
      <c r="H66">
        <v>474.49</v>
      </c>
      <c r="I66">
        <v>515.45000000000005</v>
      </c>
      <c r="J66">
        <v>71.209999999999994</v>
      </c>
      <c r="K66">
        <v>492.58</v>
      </c>
      <c r="L66">
        <v>493.06</v>
      </c>
      <c r="M66">
        <v>616.1</v>
      </c>
      <c r="N66">
        <v>1183.1099999999999</v>
      </c>
      <c r="O66">
        <v>1678.46</v>
      </c>
      <c r="P66">
        <v>0</v>
      </c>
      <c r="Q66">
        <v>417.31</v>
      </c>
      <c r="R66">
        <v>248.18</v>
      </c>
      <c r="S66">
        <v>405.59</v>
      </c>
      <c r="T66">
        <v>379.31</v>
      </c>
      <c r="U66">
        <v>351.58</v>
      </c>
      <c r="V66">
        <v>359.92</v>
      </c>
      <c r="W66">
        <v>452.06</v>
      </c>
      <c r="X66">
        <v>0</v>
      </c>
      <c r="Y66">
        <v>0</v>
      </c>
    </row>
    <row r="67" spans="1:25" x14ac:dyDescent="0.2">
      <c r="A67">
        <v>8642</v>
      </c>
      <c r="B67">
        <v>0</v>
      </c>
      <c r="C67">
        <v>0</v>
      </c>
      <c r="D67">
        <v>0</v>
      </c>
      <c r="E67">
        <v>0</v>
      </c>
      <c r="F67">
        <v>0</v>
      </c>
      <c r="G67">
        <v>85.15</v>
      </c>
      <c r="H67">
        <v>120.77</v>
      </c>
      <c r="I67">
        <v>92.2</v>
      </c>
      <c r="J67">
        <v>68.44</v>
      </c>
      <c r="K67">
        <v>57.76</v>
      </c>
      <c r="L67">
        <v>57.95</v>
      </c>
      <c r="M67">
        <v>84.98</v>
      </c>
      <c r="N67">
        <v>61.44</v>
      </c>
      <c r="O67">
        <v>101.42</v>
      </c>
      <c r="P67">
        <v>70.84</v>
      </c>
      <c r="Q67">
        <v>84.57</v>
      </c>
      <c r="R67">
        <v>67.08</v>
      </c>
      <c r="S67">
        <v>70.83</v>
      </c>
      <c r="T67">
        <v>70.11</v>
      </c>
      <c r="U67">
        <v>132.36000000000001</v>
      </c>
      <c r="V67">
        <v>104.69</v>
      </c>
      <c r="W67">
        <v>57.95</v>
      </c>
      <c r="X67">
        <v>0</v>
      </c>
      <c r="Y67">
        <v>0</v>
      </c>
    </row>
    <row r="68" spans="1:25" x14ac:dyDescent="0.2">
      <c r="A68">
        <v>8645</v>
      </c>
      <c r="B68">
        <v>0</v>
      </c>
      <c r="C68">
        <v>0</v>
      </c>
      <c r="D68">
        <v>0</v>
      </c>
      <c r="E68">
        <v>0</v>
      </c>
      <c r="F68">
        <v>0</v>
      </c>
      <c r="G68">
        <v>41.66</v>
      </c>
      <c r="H68">
        <v>35.049999999999997</v>
      </c>
      <c r="I68">
        <v>34.81</v>
      </c>
      <c r="J68">
        <v>35.950000000000003</v>
      </c>
      <c r="K68">
        <v>31.75</v>
      </c>
      <c r="L68">
        <v>29.2</v>
      </c>
      <c r="M68">
        <v>31.73</v>
      </c>
      <c r="N68">
        <v>33.85</v>
      </c>
      <c r="O68">
        <v>33.049999999999997</v>
      </c>
      <c r="P68">
        <v>31.61</v>
      </c>
      <c r="Q68">
        <v>29.11</v>
      </c>
      <c r="R68">
        <v>28.47</v>
      </c>
      <c r="S68">
        <v>31.87</v>
      </c>
      <c r="T68">
        <v>30.7</v>
      </c>
      <c r="U68">
        <v>29.69</v>
      </c>
      <c r="V68">
        <v>30.16</v>
      </c>
      <c r="W68">
        <v>29.88</v>
      </c>
      <c r="X68">
        <v>0</v>
      </c>
      <c r="Y68">
        <v>0</v>
      </c>
    </row>
    <row r="69" spans="1:25" x14ac:dyDescent="0.2">
      <c r="A69">
        <v>8646</v>
      </c>
      <c r="B69">
        <v>0</v>
      </c>
      <c r="C69">
        <v>0</v>
      </c>
      <c r="D69">
        <v>0</v>
      </c>
      <c r="E69">
        <v>0</v>
      </c>
      <c r="F69">
        <v>0</v>
      </c>
      <c r="G69">
        <v>358.67</v>
      </c>
      <c r="H69">
        <v>350.43</v>
      </c>
      <c r="I69">
        <v>337.5</v>
      </c>
      <c r="J69">
        <v>277.58</v>
      </c>
      <c r="K69">
        <v>256.26</v>
      </c>
      <c r="L69">
        <v>193.71</v>
      </c>
      <c r="M69">
        <v>181.85</v>
      </c>
      <c r="N69">
        <v>363.21</v>
      </c>
      <c r="O69">
        <v>369.07</v>
      </c>
      <c r="P69">
        <v>254.21</v>
      </c>
      <c r="Q69">
        <v>189.36</v>
      </c>
      <c r="R69">
        <v>231.97</v>
      </c>
      <c r="S69">
        <v>305.24</v>
      </c>
      <c r="T69">
        <v>452.36</v>
      </c>
      <c r="U69">
        <v>293.37</v>
      </c>
      <c r="V69">
        <v>376.52</v>
      </c>
      <c r="W69">
        <v>246.41</v>
      </c>
      <c r="X69">
        <v>0</v>
      </c>
      <c r="Y69">
        <v>0</v>
      </c>
    </row>
    <row r="70" spans="1:25" x14ac:dyDescent="0.2">
      <c r="A70">
        <v>8647</v>
      </c>
      <c r="B70">
        <v>0</v>
      </c>
      <c r="C70">
        <v>0</v>
      </c>
      <c r="D70">
        <v>0</v>
      </c>
      <c r="E70">
        <v>0</v>
      </c>
      <c r="F70">
        <v>0</v>
      </c>
      <c r="G70">
        <v>118.32</v>
      </c>
      <c r="H70">
        <v>113.69</v>
      </c>
      <c r="I70">
        <v>92.56</v>
      </c>
      <c r="J70">
        <v>84.84</v>
      </c>
      <c r="K70">
        <v>76.2</v>
      </c>
      <c r="L70">
        <v>56.22</v>
      </c>
      <c r="M70">
        <v>54.26</v>
      </c>
      <c r="N70">
        <v>61.97</v>
      </c>
      <c r="O70">
        <v>68.040000000000006</v>
      </c>
      <c r="P70">
        <v>57.03</v>
      </c>
      <c r="Q70">
        <v>67.69</v>
      </c>
      <c r="R70">
        <v>86.22</v>
      </c>
      <c r="S70">
        <v>126.77</v>
      </c>
      <c r="T70">
        <v>120.39</v>
      </c>
      <c r="U70">
        <v>76.790000000000006</v>
      </c>
      <c r="V70">
        <v>111.2</v>
      </c>
      <c r="W70">
        <v>66.77</v>
      </c>
      <c r="X70">
        <v>0</v>
      </c>
      <c r="Y70">
        <v>0</v>
      </c>
    </row>
    <row r="71" spans="1:25" x14ac:dyDescent="0.2">
      <c r="A71">
        <v>8648</v>
      </c>
      <c r="B71">
        <v>0</v>
      </c>
      <c r="C71">
        <v>0</v>
      </c>
      <c r="D71">
        <v>0</v>
      </c>
      <c r="E71">
        <v>0</v>
      </c>
      <c r="F71">
        <v>0</v>
      </c>
      <c r="G71">
        <v>36.630000000000003</v>
      </c>
      <c r="H71">
        <v>65.34</v>
      </c>
      <c r="I71">
        <v>88.68</v>
      </c>
      <c r="J71">
        <v>93.12</v>
      </c>
      <c r="K71">
        <v>84.43</v>
      </c>
      <c r="L71">
        <v>101.18</v>
      </c>
      <c r="M71">
        <v>101.75</v>
      </c>
      <c r="N71">
        <v>102.95</v>
      </c>
      <c r="O71">
        <v>100.4</v>
      </c>
      <c r="P71">
        <v>97.61</v>
      </c>
      <c r="Q71">
        <v>97.97</v>
      </c>
      <c r="R71">
        <v>102.17</v>
      </c>
      <c r="S71">
        <v>84.78</v>
      </c>
      <c r="T71">
        <v>86.04</v>
      </c>
      <c r="U71">
        <v>90.5</v>
      </c>
      <c r="V71">
        <v>92.13</v>
      </c>
      <c r="W71">
        <v>105.09</v>
      </c>
      <c r="X71">
        <v>0</v>
      </c>
      <c r="Y71">
        <v>0</v>
      </c>
    </row>
    <row r="72" spans="1:25" x14ac:dyDescent="0.2">
      <c r="A72">
        <v>8650</v>
      </c>
      <c r="B72">
        <v>0</v>
      </c>
      <c r="C72">
        <v>0</v>
      </c>
      <c r="D72">
        <v>0</v>
      </c>
      <c r="E72">
        <v>0</v>
      </c>
      <c r="F72">
        <v>0</v>
      </c>
      <c r="G72">
        <v>47.1</v>
      </c>
      <c r="H72">
        <v>102.36</v>
      </c>
      <c r="I72">
        <v>78.98</v>
      </c>
      <c r="J72">
        <v>99.58</v>
      </c>
      <c r="K72">
        <v>74.5</v>
      </c>
      <c r="L72">
        <v>68.430000000000007</v>
      </c>
      <c r="M72">
        <v>74.5</v>
      </c>
      <c r="N72">
        <v>105.08</v>
      </c>
      <c r="O72">
        <v>138.22</v>
      </c>
      <c r="P72">
        <v>106.65</v>
      </c>
      <c r="Q72">
        <v>83.05</v>
      </c>
      <c r="R72">
        <v>64.55</v>
      </c>
      <c r="S72">
        <v>76.489999999999995</v>
      </c>
      <c r="T72">
        <v>91.62</v>
      </c>
      <c r="U72">
        <v>58.77</v>
      </c>
      <c r="V72">
        <v>58.18</v>
      </c>
      <c r="W72">
        <v>55.48</v>
      </c>
      <c r="X72">
        <v>0</v>
      </c>
      <c r="Y72">
        <v>0</v>
      </c>
    </row>
    <row r="73" spans="1:25" x14ac:dyDescent="0.2">
      <c r="A73">
        <v>8651</v>
      </c>
      <c r="B73">
        <v>0</v>
      </c>
      <c r="C73">
        <v>0</v>
      </c>
      <c r="D73">
        <v>0</v>
      </c>
      <c r="E73">
        <v>0</v>
      </c>
      <c r="F73">
        <v>0</v>
      </c>
      <c r="G73">
        <v>179.27</v>
      </c>
      <c r="H73">
        <v>171.75</v>
      </c>
      <c r="I73">
        <v>160.16</v>
      </c>
      <c r="J73">
        <v>129.91999999999999</v>
      </c>
      <c r="K73">
        <v>139.63</v>
      </c>
      <c r="L73">
        <v>145.33000000000001</v>
      </c>
      <c r="M73">
        <v>125.55</v>
      </c>
      <c r="N73">
        <v>124.24</v>
      </c>
      <c r="O73">
        <v>120.84</v>
      </c>
      <c r="P73">
        <v>128.59</v>
      </c>
      <c r="Q73">
        <v>127.75</v>
      </c>
      <c r="R73">
        <v>133.81</v>
      </c>
      <c r="S73">
        <v>141.93</v>
      </c>
      <c r="T73">
        <v>138.58000000000001</v>
      </c>
      <c r="U73">
        <v>129.93</v>
      </c>
      <c r="V73">
        <v>125.39</v>
      </c>
      <c r="W73">
        <v>116.23</v>
      </c>
      <c r="X73">
        <v>0</v>
      </c>
      <c r="Y73">
        <v>0</v>
      </c>
    </row>
    <row r="74" spans="1:25" x14ac:dyDescent="0.2">
      <c r="A74">
        <v>8653</v>
      </c>
      <c r="B74">
        <v>0</v>
      </c>
      <c r="C74">
        <v>0</v>
      </c>
      <c r="D74">
        <v>0</v>
      </c>
      <c r="E74">
        <v>0</v>
      </c>
      <c r="F74">
        <v>0</v>
      </c>
      <c r="G74">
        <v>60.01</v>
      </c>
      <c r="H74">
        <v>68.16</v>
      </c>
      <c r="I74">
        <v>67.64</v>
      </c>
      <c r="J74">
        <v>73.349999999999994</v>
      </c>
      <c r="K74">
        <v>53.01</v>
      </c>
      <c r="L74">
        <v>58.62</v>
      </c>
      <c r="M74">
        <v>72.58</v>
      </c>
      <c r="N74">
        <v>79.489999999999995</v>
      </c>
      <c r="O74">
        <v>70.45</v>
      </c>
      <c r="P74">
        <v>70.069999999999993</v>
      </c>
      <c r="Q74">
        <v>52.96</v>
      </c>
      <c r="R74">
        <v>59.33</v>
      </c>
      <c r="S74">
        <v>75.91</v>
      </c>
      <c r="T74">
        <v>71.540000000000006</v>
      </c>
      <c r="U74">
        <v>63.92</v>
      </c>
      <c r="V74">
        <v>69.459999999999994</v>
      </c>
      <c r="W74">
        <v>54.68</v>
      </c>
      <c r="X74">
        <v>0</v>
      </c>
      <c r="Y74">
        <v>0</v>
      </c>
    </row>
    <row r="75" spans="1:25" x14ac:dyDescent="0.2">
      <c r="A75">
        <v>8655</v>
      </c>
      <c r="B75">
        <v>0</v>
      </c>
      <c r="C75">
        <v>0</v>
      </c>
      <c r="D75">
        <v>0</v>
      </c>
      <c r="E75">
        <v>0</v>
      </c>
      <c r="F75">
        <v>0</v>
      </c>
      <c r="G75">
        <v>24.29</v>
      </c>
      <c r="H75">
        <v>30.33</v>
      </c>
      <c r="I75">
        <v>30.41</v>
      </c>
      <c r="J75">
        <v>30.7</v>
      </c>
      <c r="K75">
        <v>30.44</v>
      </c>
      <c r="L75">
        <v>31.33</v>
      </c>
      <c r="M75">
        <v>30.63</v>
      </c>
      <c r="N75">
        <v>50.95</v>
      </c>
      <c r="O75">
        <v>143.88</v>
      </c>
      <c r="P75">
        <v>75.89</v>
      </c>
      <c r="Q75">
        <v>97.48</v>
      </c>
      <c r="R75">
        <v>138.15</v>
      </c>
      <c r="S75">
        <v>225.91</v>
      </c>
      <c r="T75">
        <v>280.97000000000003</v>
      </c>
      <c r="U75">
        <v>162.30000000000001</v>
      </c>
      <c r="V75">
        <v>213.17</v>
      </c>
      <c r="W75">
        <v>130.56</v>
      </c>
      <c r="X75">
        <v>0</v>
      </c>
      <c r="Y75">
        <v>0</v>
      </c>
    </row>
    <row r="76" spans="1:25" x14ac:dyDescent="0.2">
      <c r="A76">
        <v>8656</v>
      </c>
      <c r="B76">
        <v>0</v>
      </c>
      <c r="C76">
        <v>0</v>
      </c>
      <c r="D76">
        <v>0</v>
      </c>
      <c r="E76">
        <v>0</v>
      </c>
      <c r="F76">
        <v>0</v>
      </c>
      <c r="G76">
        <v>139.72</v>
      </c>
      <c r="H76">
        <v>238.81</v>
      </c>
      <c r="I76">
        <v>213.22</v>
      </c>
      <c r="J76">
        <v>225.12</v>
      </c>
      <c r="K76">
        <v>105.27</v>
      </c>
      <c r="L76">
        <v>108.45</v>
      </c>
      <c r="M76">
        <v>111.84</v>
      </c>
      <c r="N76">
        <v>118.73</v>
      </c>
      <c r="O76">
        <v>117.75</v>
      </c>
      <c r="P76">
        <v>115.82</v>
      </c>
      <c r="Q76">
        <v>109.08</v>
      </c>
      <c r="R76">
        <v>115.93</v>
      </c>
      <c r="S76">
        <v>128.57</v>
      </c>
      <c r="T76">
        <v>124.52</v>
      </c>
      <c r="U76">
        <v>115.58</v>
      </c>
      <c r="V76">
        <v>122.89</v>
      </c>
      <c r="W76">
        <v>106.18</v>
      </c>
      <c r="X76">
        <v>0</v>
      </c>
      <c r="Y76">
        <v>0</v>
      </c>
    </row>
    <row r="77" spans="1:25" x14ac:dyDescent="0.2">
      <c r="A77">
        <v>8657</v>
      </c>
      <c r="B77">
        <v>0</v>
      </c>
      <c r="C77">
        <v>0</v>
      </c>
      <c r="D77">
        <v>0</v>
      </c>
      <c r="E77">
        <v>0</v>
      </c>
      <c r="F77">
        <v>0</v>
      </c>
      <c r="G77">
        <v>393.41</v>
      </c>
      <c r="H77">
        <v>419.51</v>
      </c>
      <c r="I77">
        <v>389.06</v>
      </c>
      <c r="J77">
        <v>401.02</v>
      </c>
      <c r="K77">
        <v>407.94</v>
      </c>
      <c r="L77">
        <v>493.27</v>
      </c>
      <c r="M77">
        <v>521.53</v>
      </c>
      <c r="N77">
        <v>704.76</v>
      </c>
      <c r="O77">
        <v>749.93</v>
      </c>
      <c r="P77">
        <v>566.89</v>
      </c>
      <c r="Q77">
        <v>529.1</v>
      </c>
      <c r="R77">
        <v>324.93</v>
      </c>
      <c r="S77">
        <v>478.51</v>
      </c>
      <c r="T77">
        <v>445.62</v>
      </c>
      <c r="U77">
        <v>481.49</v>
      </c>
      <c r="V77">
        <v>416.01</v>
      </c>
      <c r="W77">
        <v>494.21</v>
      </c>
      <c r="X77">
        <v>0</v>
      </c>
      <c r="Y77">
        <v>0</v>
      </c>
    </row>
    <row r="78" spans="1:25" x14ac:dyDescent="0.2">
      <c r="A78">
        <v>8658</v>
      </c>
      <c r="B78">
        <v>0</v>
      </c>
      <c r="C78">
        <v>0</v>
      </c>
      <c r="D78">
        <v>0</v>
      </c>
      <c r="E78">
        <v>0</v>
      </c>
      <c r="F78">
        <v>0</v>
      </c>
      <c r="G78">
        <v>172.66</v>
      </c>
      <c r="H78">
        <v>140.6</v>
      </c>
      <c r="I78">
        <v>158.47</v>
      </c>
      <c r="J78">
        <v>184.51</v>
      </c>
      <c r="K78">
        <v>194.33</v>
      </c>
      <c r="L78">
        <v>221.07</v>
      </c>
      <c r="M78">
        <v>286.14</v>
      </c>
      <c r="N78">
        <v>327.74</v>
      </c>
      <c r="O78">
        <v>322.68</v>
      </c>
      <c r="P78">
        <v>298.58999999999997</v>
      </c>
      <c r="Q78">
        <v>127.27</v>
      </c>
      <c r="R78">
        <v>86.75</v>
      </c>
      <c r="S78">
        <v>125.6</v>
      </c>
      <c r="T78">
        <v>117.49</v>
      </c>
      <c r="U78">
        <v>107.32</v>
      </c>
      <c r="V78">
        <v>98.2</v>
      </c>
      <c r="W78">
        <v>110.02</v>
      </c>
      <c r="X78">
        <v>0</v>
      </c>
      <c r="Y78">
        <v>0</v>
      </c>
    </row>
    <row r="79" spans="1:25" x14ac:dyDescent="0.2">
      <c r="A79">
        <v>8659</v>
      </c>
      <c r="B79">
        <v>0</v>
      </c>
      <c r="C79">
        <v>0</v>
      </c>
      <c r="D79">
        <v>0</v>
      </c>
      <c r="E79">
        <v>0</v>
      </c>
      <c r="F79">
        <v>0</v>
      </c>
      <c r="G79">
        <v>75.72</v>
      </c>
      <c r="H79">
        <v>65.52</v>
      </c>
      <c r="I79">
        <v>59.6</v>
      </c>
      <c r="J79">
        <v>64.86</v>
      </c>
      <c r="K79">
        <v>58.86</v>
      </c>
      <c r="L79">
        <v>62.08</v>
      </c>
      <c r="M79">
        <v>68.69</v>
      </c>
      <c r="N79">
        <v>93.19</v>
      </c>
      <c r="O79">
        <v>44.32</v>
      </c>
      <c r="P79">
        <v>71.61</v>
      </c>
      <c r="Q79">
        <v>75.680000000000007</v>
      </c>
      <c r="R79">
        <v>82.53</v>
      </c>
      <c r="S79">
        <v>123.37</v>
      </c>
      <c r="T79">
        <v>111.46</v>
      </c>
      <c r="U79">
        <v>98.21</v>
      </c>
      <c r="V79">
        <v>102.11</v>
      </c>
      <c r="W79">
        <v>93.47</v>
      </c>
      <c r="X79">
        <v>0</v>
      </c>
      <c r="Y79">
        <v>0</v>
      </c>
    </row>
    <row r="80" spans="1:25" x14ac:dyDescent="0.2">
      <c r="A80">
        <v>8660</v>
      </c>
      <c r="B80">
        <v>0</v>
      </c>
      <c r="C80">
        <v>0</v>
      </c>
      <c r="D80">
        <v>0</v>
      </c>
      <c r="E80">
        <v>0</v>
      </c>
      <c r="F80">
        <v>0</v>
      </c>
      <c r="G80">
        <v>194.59</v>
      </c>
      <c r="H80">
        <v>200.53</v>
      </c>
      <c r="I80">
        <v>189.95</v>
      </c>
      <c r="J80">
        <v>191.45</v>
      </c>
      <c r="K80">
        <v>170.59</v>
      </c>
      <c r="L80">
        <v>187.58</v>
      </c>
      <c r="M80">
        <v>243.75</v>
      </c>
      <c r="N80">
        <v>225.29</v>
      </c>
      <c r="O80">
        <v>265.10000000000002</v>
      </c>
      <c r="P80">
        <v>177.17</v>
      </c>
      <c r="Q80">
        <v>163.95</v>
      </c>
      <c r="R80">
        <v>163.55000000000001</v>
      </c>
      <c r="S80">
        <v>169.55</v>
      </c>
      <c r="T80">
        <v>163.22</v>
      </c>
      <c r="U80">
        <v>171.38</v>
      </c>
      <c r="V80">
        <v>159.33000000000001</v>
      </c>
      <c r="W80">
        <v>114.01</v>
      </c>
      <c r="X80">
        <v>0</v>
      </c>
      <c r="Y80">
        <v>0</v>
      </c>
    </row>
    <row r="81" spans="1:25" x14ac:dyDescent="0.2">
      <c r="A81">
        <v>8662</v>
      </c>
      <c r="B81">
        <v>0</v>
      </c>
      <c r="C81">
        <v>0</v>
      </c>
      <c r="D81">
        <v>0</v>
      </c>
      <c r="E81">
        <v>0</v>
      </c>
      <c r="F81">
        <v>0</v>
      </c>
      <c r="G81">
        <v>133.65</v>
      </c>
      <c r="H81">
        <v>145.22</v>
      </c>
      <c r="I81">
        <v>137.24</v>
      </c>
      <c r="J81">
        <v>134.79</v>
      </c>
      <c r="K81">
        <v>106.91</v>
      </c>
      <c r="L81">
        <v>99.99</v>
      </c>
      <c r="M81">
        <v>105.79</v>
      </c>
      <c r="N81">
        <v>111.83</v>
      </c>
      <c r="O81">
        <v>115.89</v>
      </c>
      <c r="P81">
        <v>113.78</v>
      </c>
      <c r="Q81">
        <v>108.16</v>
      </c>
      <c r="R81">
        <v>116.05</v>
      </c>
      <c r="S81">
        <v>136.53</v>
      </c>
      <c r="T81">
        <v>161.18</v>
      </c>
      <c r="U81">
        <v>142.85</v>
      </c>
      <c r="V81">
        <v>135.28</v>
      </c>
      <c r="W81">
        <v>103.79</v>
      </c>
      <c r="X81">
        <v>0</v>
      </c>
      <c r="Y81">
        <v>0</v>
      </c>
    </row>
    <row r="82" spans="1:25" x14ac:dyDescent="0.2">
      <c r="A82">
        <v>8663</v>
      </c>
      <c r="B82">
        <v>0</v>
      </c>
      <c r="C82">
        <v>0</v>
      </c>
      <c r="D82">
        <v>0</v>
      </c>
      <c r="E82">
        <v>0</v>
      </c>
      <c r="F82">
        <v>0</v>
      </c>
      <c r="G82">
        <v>88.32</v>
      </c>
      <c r="H82">
        <v>83.4</v>
      </c>
      <c r="I82">
        <v>82.42</v>
      </c>
      <c r="J82">
        <v>82.92</v>
      </c>
      <c r="K82">
        <v>82.87</v>
      </c>
      <c r="L82">
        <v>87.13</v>
      </c>
      <c r="M82">
        <v>84.8</v>
      </c>
      <c r="N82">
        <v>86.52</v>
      </c>
      <c r="O82">
        <v>83.41</v>
      </c>
      <c r="P82">
        <v>87.34</v>
      </c>
      <c r="Q82">
        <v>89.19</v>
      </c>
      <c r="R82">
        <v>86.85</v>
      </c>
      <c r="S82">
        <v>82.81</v>
      </c>
      <c r="T82">
        <v>59.72</v>
      </c>
      <c r="U82">
        <v>82.24</v>
      </c>
      <c r="V82">
        <v>84.62</v>
      </c>
      <c r="W82">
        <v>83.26</v>
      </c>
      <c r="X82">
        <v>0</v>
      </c>
      <c r="Y82">
        <v>0</v>
      </c>
    </row>
    <row r="83" spans="1:25" x14ac:dyDescent="0.2">
      <c r="A83">
        <v>8665</v>
      </c>
      <c r="B83">
        <v>0</v>
      </c>
      <c r="C83">
        <v>0</v>
      </c>
      <c r="D83">
        <v>0</v>
      </c>
      <c r="E83">
        <v>0</v>
      </c>
      <c r="F83">
        <v>0</v>
      </c>
      <c r="G83">
        <v>66.430000000000007</v>
      </c>
      <c r="H83">
        <v>73.23</v>
      </c>
      <c r="I83">
        <v>88.95</v>
      </c>
      <c r="J83">
        <v>92.01</v>
      </c>
      <c r="K83">
        <v>89.3</v>
      </c>
      <c r="L83">
        <v>90.55</v>
      </c>
      <c r="M83">
        <v>96.07</v>
      </c>
      <c r="N83">
        <v>104.36</v>
      </c>
      <c r="O83">
        <v>101.37</v>
      </c>
      <c r="P83">
        <v>96.2</v>
      </c>
      <c r="Q83">
        <v>95.27</v>
      </c>
      <c r="R83">
        <v>94.89</v>
      </c>
      <c r="S83">
        <v>95.73</v>
      </c>
      <c r="T83">
        <v>94.77</v>
      </c>
      <c r="U83">
        <v>92.26</v>
      </c>
      <c r="V83">
        <v>97.02</v>
      </c>
      <c r="W83">
        <v>94.05</v>
      </c>
      <c r="X83">
        <v>0</v>
      </c>
      <c r="Y83">
        <v>0</v>
      </c>
    </row>
    <row r="84" spans="1:25" x14ac:dyDescent="0.2">
      <c r="A84">
        <v>8666</v>
      </c>
      <c r="B84">
        <v>0</v>
      </c>
      <c r="C84">
        <v>0</v>
      </c>
      <c r="D84">
        <v>0</v>
      </c>
      <c r="E84">
        <v>0</v>
      </c>
      <c r="F84">
        <v>0</v>
      </c>
      <c r="G84">
        <v>67.16</v>
      </c>
      <c r="H84">
        <v>58.6</v>
      </c>
      <c r="I84">
        <v>56.07</v>
      </c>
      <c r="J84">
        <v>52.58</v>
      </c>
      <c r="K84">
        <v>50.55</v>
      </c>
      <c r="L84">
        <v>53.01</v>
      </c>
      <c r="M84">
        <v>43.93</v>
      </c>
      <c r="N84">
        <v>42.04</v>
      </c>
      <c r="O84">
        <v>43.36</v>
      </c>
      <c r="P84">
        <v>56.91</v>
      </c>
      <c r="Q84">
        <v>55.94</v>
      </c>
      <c r="R84">
        <v>57.3</v>
      </c>
      <c r="S84">
        <v>59</v>
      </c>
      <c r="T84">
        <v>61.26</v>
      </c>
      <c r="U84">
        <v>51.7</v>
      </c>
      <c r="V84">
        <v>60.92</v>
      </c>
      <c r="W84">
        <v>51.83</v>
      </c>
      <c r="X84">
        <v>0</v>
      </c>
      <c r="Y84">
        <v>0</v>
      </c>
    </row>
    <row r="85" spans="1:25" x14ac:dyDescent="0.2">
      <c r="A85">
        <v>8667</v>
      </c>
      <c r="B85">
        <v>0</v>
      </c>
      <c r="C85">
        <v>0</v>
      </c>
      <c r="D85">
        <v>0</v>
      </c>
      <c r="E85">
        <v>0</v>
      </c>
      <c r="F85">
        <v>0</v>
      </c>
      <c r="G85">
        <v>242.74</v>
      </c>
      <c r="H85">
        <v>219.19</v>
      </c>
      <c r="I85">
        <v>209.34</v>
      </c>
      <c r="J85">
        <v>210.33</v>
      </c>
      <c r="K85">
        <v>189.9</v>
      </c>
      <c r="L85">
        <v>190.38</v>
      </c>
      <c r="M85">
        <v>193.93</v>
      </c>
      <c r="N85">
        <v>203.58</v>
      </c>
      <c r="O85">
        <v>205.73</v>
      </c>
      <c r="P85">
        <v>206.28</v>
      </c>
      <c r="Q85">
        <v>209.82</v>
      </c>
      <c r="R85">
        <v>233.02</v>
      </c>
      <c r="S85">
        <v>237.28</v>
      </c>
      <c r="T85">
        <v>266.33</v>
      </c>
      <c r="U85">
        <v>225.34</v>
      </c>
      <c r="V85">
        <v>236</v>
      </c>
      <c r="W85">
        <v>204.34</v>
      </c>
      <c r="X85">
        <v>0</v>
      </c>
      <c r="Y85">
        <v>0</v>
      </c>
    </row>
    <row r="86" spans="1:25" x14ac:dyDescent="0.2">
      <c r="A86">
        <v>8670</v>
      </c>
      <c r="B86">
        <v>0</v>
      </c>
      <c r="C86">
        <v>0</v>
      </c>
      <c r="D86">
        <v>0</v>
      </c>
      <c r="E86">
        <v>0</v>
      </c>
      <c r="F86">
        <v>0</v>
      </c>
      <c r="G86">
        <v>271.49</v>
      </c>
      <c r="H86">
        <v>223.27</v>
      </c>
      <c r="I86">
        <v>165.31</v>
      </c>
      <c r="J86">
        <v>212.39</v>
      </c>
      <c r="K86">
        <v>192.81</v>
      </c>
      <c r="L86">
        <v>199.72</v>
      </c>
      <c r="M86">
        <v>242.68</v>
      </c>
      <c r="N86">
        <v>304.14999999999998</v>
      </c>
      <c r="O86">
        <v>226.56</v>
      </c>
      <c r="P86">
        <v>226.4</v>
      </c>
      <c r="Q86">
        <v>216.69</v>
      </c>
      <c r="R86">
        <v>185.6</v>
      </c>
      <c r="S86">
        <v>167.69</v>
      </c>
      <c r="T86">
        <v>176.58</v>
      </c>
      <c r="U86">
        <v>191.31</v>
      </c>
      <c r="V86">
        <v>206.85</v>
      </c>
      <c r="W86">
        <v>196.66</v>
      </c>
      <c r="X86">
        <v>0</v>
      </c>
      <c r="Y86">
        <v>0</v>
      </c>
    </row>
    <row r="87" spans="1:25" x14ac:dyDescent="0.2">
      <c r="A87">
        <v>8671</v>
      </c>
      <c r="B87">
        <v>0</v>
      </c>
      <c r="C87">
        <v>0</v>
      </c>
      <c r="D87">
        <v>0</v>
      </c>
      <c r="E87">
        <v>0</v>
      </c>
      <c r="F87">
        <v>0</v>
      </c>
      <c r="G87">
        <v>59.65</v>
      </c>
      <c r="H87">
        <v>58.03</v>
      </c>
      <c r="I87">
        <v>88.58</v>
      </c>
      <c r="J87">
        <v>110.11</v>
      </c>
      <c r="K87">
        <v>86.86</v>
      </c>
      <c r="L87">
        <v>94.08</v>
      </c>
      <c r="M87">
        <v>60.44</v>
      </c>
      <c r="N87">
        <v>164.62</v>
      </c>
      <c r="O87">
        <v>102.38</v>
      </c>
      <c r="P87">
        <v>95.01</v>
      </c>
      <c r="Q87">
        <v>128.22999999999999</v>
      </c>
      <c r="R87">
        <v>157.68</v>
      </c>
      <c r="S87">
        <v>163.88</v>
      </c>
      <c r="T87">
        <v>215.59</v>
      </c>
      <c r="U87">
        <v>255.58</v>
      </c>
      <c r="V87">
        <v>212.36</v>
      </c>
      <c r="W87">
        <v>149.56</v>
      </c>
      <c r="X87">
        <v>0</v>
      </c>
      <c r="Y87">
        <v>0</v>
      </c>
    </row>
    <row r="88" spans="1:25" x14ac:dyDescent="0.2">
      <c r="A88">
        <v>8672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71.290000000000006</v>
      </c>
      <c r="I88">
        <v>81.17</v>
      </c>
      <c r="J88">
        <v>67.38</v>
      </c>
      <c r="K88">
        <v>86.28</v>
      </c>
      <c r="L88">
        <v>82.2</v>
      </c>
      <c r="M88">
        <v>101.38</v>
      </c>
      <c r="N88">
        <v>107.26</v>
      </c>
      <c r="O88">
        <v>107.01</v>
      </c>
      <c r="P88">
        <v>97.17</v>
      </c>
      <c r="Q88">
        <v>98.27</v>
      </c>
      <c r="R88">
        <v>76.38</v>
      </c>
      <c r="S88">
        <v>108.71</v>
      </c>
      <c r="T88">
        <v>56.84</v>
      </c>
      <c r="U88">
        <v>83.29</v>
      </c>
      <c r="V88">
        <v>110.19</v>
      </c>
      <c r="W88">
        <v>105.17</v>
      </c>
      <c r="X88">
        <v>0</v>
      </c>
      <c r="Y88">
        <v>0</v>
      </c>
    </row>
    <row r="89" spans="1:25" x14ac:dyDescent="0.2">
      <c r="A89">
        <v>8674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237.82</v>
      </c>
      <c r="J89">
        <v>194.8</v>
      </c>
      <c r="K89">
        <v>152.69999999999999</v>
      </c>
      <c r="L89">
        <v>84.08</v>
      </c>
      <c r="M89">
        <v>156.38</v>
      </c>
      <c r="N89">
        <v>191.84</v>
      </c>
      <c r="O89">
        <v>247.16</v>
      </c>
      <c r="P89">
        <v>137.84</v>
      </c>
      <c r="Q89">
        <v>112.15</v>
      </c>
      <c r="R89">
        <v>186.88</v>
      </c>
      <c r="S89">
        <v>247.21</v>
      </c>
      <c r="T89">
        <v>287.01</v>
      </c>
      <c r="U89">
        <v>230.81</v>
      </c>
      <c r="V89">
        <v>276.44</v>
      </c>
      <c r="W89">
        <v>139.84</v>
      </c>
      <c r="X89">
        <v>0</v>
      </c>
      <c r="Y89">
        <v>0</v>
      </c>
    </row>
    <row r="90" spans="1:25" x14ac:dyDescent="0.2">
      <c r="A90">
        <v>8676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371.95</v>
      </c>
      <c r="J90">
        <v>624.44000000000005</v>
      </c>
      <c r="K90">
        <v>608.5</v>
      </c>
      <c r="L90">
        <v>558.97</v>
      </c>
      <c r="M90">
        <v>531.97</v>
      </c>
      <c r="N90">
        <v>602.51</v>
      </c>
      <c r="O90">
        <v>614.23</v>
      </c>
      <c r="P90">
        <v>527.74</v>
      </c>
      <c r="Q90">
        <v>518.28</v>
      </c>
      <c r="R90">
        <v>526.58000000000004</v>
      </c>
      <c r="S90">
        <v>689.52</v>
      </c>
      <c r="T90">
        <v>670.6</v>
      </c>
      <c r="U90">
        <v>530.95000000000005</v>
      </c>
      <c r="V90">
        <v>522.32000000000005</v>
      </c>
      <c r="W90">
        <v>506.43</v>
      </c>
      <c r="X90">
        <v>0</v>
      </c>
      <c r="Y90">
        <v>0</v>
      </c>
    </row>
    <row r="91" spans="1:25" x14ac:dyDescent="0.2">
      <c r="A91">
        <v>8677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130.28</v>
      </c>
      <c r="K91">
        <v>86.89</v>
      </c>
      <c r="L91">
        <v>123.44</v>
      </c>
      <c r="M91">
        <v>100.73</v>
      </c>
      <c r="N91">
        <v>168.47</v>
      </c>
      <c r="O91">
        <v>174.45</v>
      </c>
      <c r="P91">
        <v>139.44</v>
      </c>
      <c r="Q91">
        <v>129.46</v>
      </c>
      <c r="R91">
        <v>108.57</v>
      </c>
      <c r="S91">
        <v>121.96</v>
      </c>
      <c r="T91">
        <v>139.72</v>
      </c>
      <c r="U91">
        <v>108.09</v>
      </c>
      <c r="V91">
        <v>113.96</v>
      </c>
      <c r="W91">
        <v>110.63</v>
      </c>
      <c r="X91">
        <v>0</v>
      </c>
      <c r="Y91">
        <v>0</v>
      </c>
    </row>
    <row r="92" spans="1:25" x14ac:dyDescent="0.2">
      <c r="A92">
        <v>8678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156.99</v>
      </c>
      <c r="K92">
        <v>159.88</v>
      </c>
      <c r="L92">
        <v>155.71</v>
      </c>
      <c r="M92">
        <v>179.05</v>
      </c>
      <c r="N92">
        <v>158.94999999999999</v>
      </c>
      <c r="O92">
        <v>171.66</v>
      </c>
      <c r="P92">
        <v>160.19</v>
      </c>
      <c r="Q92">
        <v>168.94</v>
      </c>
      <c r="R92">
        <v>155.65</v>
      </c>
      <c r="S92">
        <v>129.09</v>
      </c>
      <c r="T92">
        <v>128.09</v>
      </c>
      <c r="U92">
        <v>127.88</v>
      </c>
      <c r="V92">
        <v>132.18</v>
      </c>
      <c r="W92">
        <v>145.46</v>
      </c>
      <c r="X92">
        <v>0</v>
      </c>
      <c r="Y92">
        <v>0</v>
      </c>
    </row>
    <row r="93" spans="1:25" x14ac:dyDescent="0.2">
      <c r="A93">
        <v>8679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55.51</v>
      </c>
      <c r="K93">
        <v>54.59</v>
      </c>
      <c r="L93">
        <v>55.04</v>
      </c>
      <c r="M93">
        <v>57.65</v>
      </c>
      <c r="N93">
        <v>61.04</v>
      </c>
      <c r="O93">
        <v>63.23</v>
      </c>
      <c r="P93">
        <v>58.99</v>
      </c>
      <c r="Q93">
        <v>53.54</v>
      </c>
      <c r="R93">
        <v>53.16</v>
      </c>
      <c r="S93">
        <v>50.92</v>
      </c>
      <c r="T93">
        <v>52.69</v>
      </c>
      <c r="U93">
        <v>51.88</v>
      </c>
      <c r="V93">
        <v>51.56</v>
      </c>
      <c r="W93">
        <v>50.65</v>
      </c>
      <c r="X93">
        <v>0</v>
      </c>
      <c r="Y93">
        <v>0</v>
      </c>
    </row>
    <row r="94" spans="1:25" x14ac:dyDescent="0.2">
      <c r="A94">
        <v>8680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112.02</v>
      </c>
      <c r="K94">
        <v>144.01</v>
      </c>
      <c r="L94">
        <v>145.69</v>
      </c>
      <c r="M94">
        <v>154.99</v>
      </c>
      <c r="N94">
        <v>145.88999999999999</v>
      </c>
      <c r="O94">
        <v>151.85</v>
      </c>
      <c r="P94">
        <v>136.86000000000001</v>
      </c>
      <c r="Q94">
        <v>134.53</v>
      </c>
      <c r="R94">
        <v>144.57</v>
      </c>
      <c r="S94">
        <v>150.52000000000001</v>
      </c>
      <c r="T94">
        <v>181.28</v>
      </c>
      <c r="U94">
        <v>153.51</v>
      </c>
      <c r="V94">
        <v>166.78</v>
      </c>
      <c r="W94">
        <v>143.63999999999999</v>
      </c>
      <c r="X94">
        <v>0</v>
      </c>
      <c r="Y94">
        <v>0</v>
      </c>
    </row>
    <row r="95" spans="1:25" x14ac:dyDescent="0.2">
      <c r="A95">
        <v>8681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114.03</v>
      </c>
      <c r="K95">
        <v>0</v>
      </c>
      <c r="L95">
        <v>87.24</v>
      </c>
      <c r="M95">
        <v>101.39</v>
      </c>
      <c r="N95">
        <v>120.89</v>
      </c>
      <c r="O95">
        <v>93.58</v>
      </c>
      <c r="P95">
        <v>0</v>
      </c>
      <c r="Q95">
        <v>89.5</v>
      </c>
      <c r="R95">
        <v>107.26</v>
      </c>
      <c r="S95">
        <v>158.65</v>
      </c>
      <c r="T95">
        <v>169.19</v>
      </c>
      <c r="U95">
        <v>125.64</v>
      </c>
      <c r="V95">
        <v>130.05000000000001</v>
      </c>
      <c r="W95">
        <v>95.55</v>
      </c>
      <c r="X95">
        <v>0</v>
      </c>
      <c r="Y95">
        <v>0</v>
      </c>
    </row>
    <row r="96" spans="1:25" x14ac:dyDescent="0.2">
      <c r="A96">
        <v>8682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60.82</v>
      </c>
      <c r="J96">
        <v>108.09</v>
      </c>
      <c r="K96">
        <v>85.8</v>
      </c>
      <c r="L96">
        <v>81.150000000000006</v>
      </c>
      <c r="M96">
        <v>80.819999999999993</v>
      </c>
      <c r="N96">
        <v>80.069999999999993</v>
      </c>
      <c r="O96">
        <v>80.14</v>
      </c>
      <c r="P96">
        <v>80.849999999999994</v>
      </c>
      <c r="Q96">
        <v>80.09</v>
      </c>
      <c r="R96">
        <v>90.46</v>
      </c>
      <c r="S96">
        <v>112.04</v>
      </c>
      <c r="T96">
        <v>121.6</v>
      </c>
      <c r="U96">
        <v>104.6</v>
      </c>
      <c r="V96">
        <v>109.16</v>
      </c>
      <c r="W96">
        <v>88.23</v>
      </c>
      <c r="X96">
        <v>0</v>
      </c>
      <c r="Y96">
        <v>0</v>
      </c>
    </row>
    <row r="97" spans="1:25" x14ac:dyDescent="0.2">
      <c r="A97">
        <v>8683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71.25</v>
      </c>
      <c r="J97">
        <v>119.33</v>
      </c>
      <c r="K97">
        <v>141.22</v>
      </c>
      <c r="L97">
        <v>141.85</v>
      </c>
      <c r="M97">
        <v>148.12</v>
      </c>
      <c r="N97">
        <v>205.23</v>
      </c>
      <c r="O97">
        <v>219.62</v>
      </c>
      <c r="P97">
        <v>133.77000000000001</v>
      </c>
      <c r="Q97">
        <v>144.41999999999999</v>
      </c>
      <c r="R97">
        <v>102.84</v>
      </c>
      <c r="S97">
        <v>127.74</v>
      </c>
      <c r="T97">
        <v>119.1</v>
      </c>
      <c r="U97">
        <v>115.51</v>
      </c>
      <c r="V97">
        <v>113.22</v>
      </c>
      <c r="W97">
        <v>115.73</v>
      </c>
      <c r="X97">
        <v>0</v>
      </c>
      <c r="Y97">
        <v>0</v>
      </c>
    </row>
    <row r="98" spans="1:25" x14ac:dyDescent="0.2">
      <c r="A98">
        <v>8685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91.49</v>
      </c>
      <c r="K98">
        <v>0</v>
      </c>
      <c r="L98">
        <v>100.61</v>
      </c>
      <c r="M98">
        <v>69.69</v>
      </c>
      <c r="N98">
        <v>101.34</v>
      </c>
      <c r="O98">
        <v>96.5</v>
      </c>
      <c r="P98">
        <v>109.71</v>
      </c>
      <c r="Q98">
        <v>99.05</v>
      </c>
      <c r="R98">
        <v>104.36</v>
      </c>
      <c r="S98">
        <v>112.78</v>
      </c>
      <c r="T98">
        <v>137.88999999999999</v>
      </c>
      <c r="U98">
        <v>93.58</v>
      </c>
      <c r="V98">
        <v>89.09</v>
      </c>
      <c r="W98">
        <v>85.99</v>
      </c>
      <c r="X98">
        <v>0</v>
      </c>
      <c r="Y98">
        <v>0</v>
      </c>
    </row>
    <row r="99" spans="1:25" x14ac:dyDescent="0.2">
      <c r="A99">
        <v>8686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85.37</v>
      </c>
      <c r="M99">
        <v>85.27</v>
      </c>
      <c r="N99">
        <v>128.1</v>
      </c>
      <c r="O99">
        <v>138.43</v>
      </c>
      <c r="P99">
        <v>93.14</v>
      </c>
      <c r="Q99">
        <v>98.52</v>
      </c>
      <c r="R99">
        <v>114.92</v>
      </c>
      <c r="S99">
        <v>236.9</v>
      </c>
      <c r="T99">
        <v>220.23</v>
      </c>
      <c r="U99">
        <v>156.77000000000001</v>
      </c>
      <c r="V99">
        <v>189.43</v>
      </c>
      <c r="W99">
        <v>92.52</v>
      </c>
      <c r="X99">
        <v>0</v>
      </c>
      <c r="Y99">
        <v>0</v>
      </c>
    </row>
    <row r="100" spans="1:25" x14ac:dyDescent="0.2">
      <c r="A100">
        <v>8687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29.23</v>
      </c>
      <c r="M100">
        <v>44.55</v>
      </c>
      <c r="N100">
        <v>26.01</v>
      </c>
      <c r="O100">
        <v>53.09</v>
      </c>
      <c r="P100">
        <v>48.21</v>
      </c>
      <c r="Q100">
        <v>52.08</v>
      </c>
      <c r="R100">
        <v>42.39</v>
      </c>
      <c r="S100">
        <v>63.74</v>
      </c>
      <c r="T100">
        <v>29.62</v>
      </c>
      <c r="U100">
        <v>52.02</v>
      </c>
      <c r="V100">
        <v>45.72</v>
      </c>
      <c r="W100">
        <v>51.48</v>
      </c>
      <c r="X100">
        <v>0</v>
      </c>
      <c r="Y100">
        <v>0</v>
      </c>
    </row>
    <row r="101" spans="1:25" x14ac:dyDescent="0.2">
      <c r="A101">
        <v>8688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42.6</v>
      </c>
      <c r="M101">
        <v>0</v>
      </c>
      <c r="N101">
        <v>35.75</v>
      </c>
      <c r="O101">
        <v>36.090000000000003</v>
      </c>
      <c r="P101">
        <v>32.82</v>
      </c>
      <c r="Q101">
        <v>31.05</v>
      </c>
      <c r="R101">
        <v>30.64</v>
      </c>
      <c r="S101">
        <v>31.9</v>
      </c>
      <c r="T101">
        <v>33.880000000000003</v>
      </c>
      <c r="U101">
        <v>28.96</v>
      </c>
      <c r="V101">
        <v>29.65</v>
      </c>
      <c r="W101">
        <v>28.71</v>
      </c>
      <c r="X101">
        <v>0</v>
      </c>
      <c r="Y101">
        <v>0</v>
      </c>
    </row>
    <row r="102" spans="1:25" x14ac:dyDescent="0.2">
      <c r="A102">
        <v>8689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119.86</v>
      </c>
      <c r="O102">
        <v>120.44</v>
      </c>
      <c r="P102">
        <v>133.01</v>
      </c>
      <c r="Q102">
        <v>119.55</v>
      </c>
      <c r="R102">
        <v>112.61</v>
      </c>
      <c r="S102">
        <v>80.83</v>
      </c>
      <c r="T102">
        <v>86.53</v>
      </c>
      <c r="U102">
        <v>41.27</v>
      </c>
      <c r="V102">
        <v>49.23</v>
      </c>
      <c r="W102">
        <v>34.700000000000003</v>
      </c>
      <c r="X102">
        <v>0</v>
      </c>
      <c r="Y102">
        <v>0</v>
      </c>
    </row>
    <row r="103" spans="1:25" x14ac:dyDescent="0.2">
      <c r="A103">
        <v>8690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232.86</v>
      </c>
      <c r="O103">
        <v>319.29000000000002</v>
      </c>
      <c r="P103">
        <v>331.38</v>
      </c>
      <c r="Q103">
        <v>319.24</v>
      </c>
      <c r="R103">
        <v>236.66</v>
      </c>
      <c r="S103">
        <v>238.63</v>
      </c>
      <c r="T103">
        <v>231.31</v>
      </c>
      <c r="U103">
        <v>138.31</v>
      </c>
      <c r="V103">
        <v>250.68</v>
      </c>
      <c r="W103">
        <v>314.85000000000002</v>
      </c>
      <c r="X103">
        <v>0</v>
      </c>
      <c r="Y103">
        <v>0</v>
      </c>
    </row>
    <row r="104" spans="1:25" x14ac:dyDescent="0.2">
      <c r="A104">
        <v>8692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48.02</v>
      </c>
      <c r="P104">
        <v>0</v>
      </c>
      <c r="Q104">
        <v>0</v>
      </c>
      <c r="R104">
        <v>52.29</v>
      </c>
      <c r="S104">
        <v>53.54</v>
      </c>
      <c r="T104">
        <v>37.74</v>
      </c>
      <c r="U104">
        <v>42.72</v>
      </c>
      <c r="V104">
        <v>47.49</v>
      </c>
      <c r="W104">
        <v>47.07</v>
      </c>
      <c r="X104">
        <v>0</v>
      </c>
      <c r="Y104">
        <v>0</v>
      </c>
    </row>
    <row r="105" spans="1:25" x14ac:dyDescent="0.2">
      <c r="A105">
        <v>8693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101.99</v>
      </c>
      <c r="P105">
        <v>0</v>
      </c>
      <c r="Q105">
        <v>0</v>
      </c>
      <c r="R105">
        <v>54.46</v>
      </c>
      <c r="S105">
        <v>48.72</v>
      </c>
      <c r="T105">
        <v>55.89</v>
      </c>
      <c r="U105">
        <v>53.5</v>
      </c>
      <c r="V105">
        <v>52.85</v>
      </c>
      <c r="W105">
        <v>49.47</v>
      </c>
      <c r="X105">
        <v>0</v>
      </c>
      <c r="Y105">
        <v>0</v>
      </c>
    </row>
    <row r="106" spans="1:25" x14ac:dyDescent="0.2">
      <c r="A106">
        <v>8694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30.58</v>
      </c>
      <c r="S106">
        <v>68.22</v>
      </c>
      <c r="T106">
        <v>116.82</v>
      </c>
      <c r="U106">
        <v>110.26</v>
      </c>
      <c r="V106">
        <v>109.66</v>
      </c>
      <c r="W106">
        <v>92.76</v>
      </c>
      <c r="X106">
        <v>0</v>
      </c>
      <c r="Y106">
        <v>0</v>
      </c>
    </row>
    <row r="107" spans="1:25" x14ac:dyDescent="0.2">
      <c r="A107">
        <v>8695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42.26</v>
      </c>
      <c r="R107">
        <v>40.450000000000003</v>
      </c>
      <c r="S107">
        <v>40.36</v>
      </c>
      <c r="T107">
        <v>41.3</v>
      </c>
      <c r="U107">
        <v>40.68</v>
      </c>
      <c r="V107">
        <v>43.96</v>
      </c>
      <c r="W107">
        <v>41.92</v>
      </c>
      <c r="X107">
        <v>0</v>
      </c>
      <c r="Y107">
        <v>0</v>
      </c>
    </row>
    <row r="108" spans="1:25" x14ac:dyDescent="0.2">
      <c r="A108">
        <v>8696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94.36</v>
      </c>
      <c r="R108">
        <v>70.41</v>
      </c>
      <c r="S108">
        <v>41.79</v>
      </c>
      <c r="T108">
        <v>42.14</v>
      </c>
      <c r="U108">
        <v>46.75</v>
      </c>
      <c r="V108">
        <v>40.630000000000003</v>
      </c>
      <c r="W108">
        <v>34.86</v>
      </c>
      <c r="X108">
        <v>0</v>
      </c>
      <c r="Y108">
        <v>0</v>
      </c>
    </row>
    <row r="109" spans="1:25" x14ac:dyDescent="0.2">
      <c r="A109">
        <v>8697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65.760000000000005</v>
      </c>
      <c r="P109">
        <v>0</v>
      </c>
      <c r="Q109">
        <v>0</v>
      </c>
      <c r="R109">
        <v>37.24</v>
      </c>
      <c r="S109">
        <v>36.49</v>
      </c>
      <c r="T109">
        <v>38.72</v>
      </c>
      <c r="U109">
        <v>36.119999999999997</v>
      </c>
      <c r="V109">
        <v>34.5</v>
      </c>
      <c r="W109">
        <v>37.58</v>
      </c>
      <c r="X109">
        <v>0</v>
      </c>
      <c r="Y109">
        <v>0</v>
      </c>
    </row>
    <row r="110" spans="1:25" x14ac:dyDescent="0.2">
      <c r="A110">
        <v>8698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104.92</v>
      </c>
      <c r="R110">
        <v>256.57</v>
      </c>
      <c r="S110">
        <v>406.3</v>
      </c>
      <c r="T110">
        <v>391.89</v>
      </c>
      <c r="U110">
        <v>260.7</v>
      </c>
      <c r="V110">
        <v>291.94</v>
      </c>
      <c r="W110">
        <v>227.31</v>
      </c>
      <c r="X110">
        <v>0</v>
      </c>
      <c r="Y110">
        <v>0</v>
      </c>
    </row>
    <row r="111" spans="1:25" x14ac:dyDescent="0.2">
      <c r="A111">
        <v>8702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69.47</v>
      </c>
      <c r="U111">
        <v>119.54</v>
      </c>
      <c r="V111">
        <v>117.27</v>
      </c>
      <c r="W111">
        <v>89.59</v>
      </c>
      <c r="X111">
        <v>0</v>
      </c>
      <c r="Y111">
        <v>0</v>
      </c>
    </row>
    <row r="112" spans="1:25" x14ac:dyDescent="0.2">
      <c r="A112">
        <v>8703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86.78</v>
      </c>
      <c r="U112">
        <v>195.72</v>
      </c>
      <c r="V112">
        <v>162.47999999999999</v>
      </c>
      <c r="W112">
        <v>142.15</v>
      </c>
      <c r="X112">
        <v>0</v>
      </c>
      <c r="Y112">
        <v>0</v>
      </c>
    </row>
    <row r="113" spans="1:25" x14ac:dyDescent="0.2">
      <c r="A113">
        <v>8704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82.27</v>
      </c>
      <c r="V113">
        <v>78.03</v>
      </c>
      <c r="W113">
        <v>69.14</v>
      </c>
      <c r="X113">
        <v>0</v>
      </c>
      <c r="Y113">
        <v>0</v>
      </c>
    </row>
    <row r="114" spans="1:25" x14ac:dyDescent="0.2">
      <c r="A114">
        <v>8706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53.48</v>
      </c>
      <c r="V114">
        <v>57.25</v>
      </c>
      <c r="W114">
        <v>56.12</v>
      </c>
      <c r="X114">
        <v>0</v>
      </c>
      <c r="Y114">
        <v>0</v>
      </c>
    </row>
    <row r="115" spans="1:25" x14ac:dyDescent="0.2">
      <c r="A115">
        <v>8707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49.6</v>
      </c>
      <c r="W115">
        <v>40.880000000000003</v>
      </c>
      <c r="X115">
        <v>0</v>
      </c>
      <c r="Y115">
        <v>0</v>
      </c>
    </row>
    <row r="116" spans="1:25" x14ac:dyDescent="0.2">
      <c r="A116">
        <v>8708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271.70999999999998</v>
      </c>
      <c r="V116">
        <v>96.34</v>
      </c>
      <c r="W116">
        <v>94.96</v>
      </c>
      <c r="X116">
        <v>0</v>
      </c>
      <c r="Y116">
        <v>0</v>
      </c>
    </row>
    <row r="117" spans="1:25" x14ac:dyDescent="0.2">
      <c r="A117">
        <v>8709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107.46</v>
      </c>
      <c r="V117">
        <v>111.89</v>
      </c>
      <c r="W117">
        <v>117.07</v>
      </c>
      <c r="X117">
        <v>0</v>
      </c>
      <c r="Y117">
        <v>0</v>
      </c>
    </row>
    <row r="118" spans="1:25" x14ac:dyDescent="0.2">
      <c r="A118">
        <v>8710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78.709999999999994</v>
      </c>
      <c r="V118">
        <v>82.54</v>
      </c>
      <c r="W118">
        <v>64.819999999999993</v>
      </c>
      <c r="X118">
        <v>0</v>
      </c>
      <c r="Y118">
        <v>0</v>
      </c>
    </row>
    <row r="119" spans="1:25" x14ac:dyDescent="0.2">
      <c r="A119">
        <v>8711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62.66</v>
      </c>
      <c r="V119">
        <v>52.63</v>
      </c>
      <c r="W119">
        <v>53.78</v>
      </c>
      <c r="X119">
        <v>0</v>
      </c>
      <c r="Y119">
        <v>0</v>
      </c>
    </row>
    <row r="120" spans="1:25" x14ac:dyDescent="0.2">
      <c r="A120">
        <v>8712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61.16</v>
      </c>
      <c r="V120">
        <v>87.04</v>
      </c>
      <c r="W120">
        <v>81.16</v>
      </c>
      <c r="X120">
        <v>0</v>
      </c>
      <c r="Y120">
        <v>0</v>
      </c>
    </row>
    <row r="121" spans="1:25" x14ac:dyDescent="0.2">
      <c r="A121">
        <v>8714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45.1</v>
      </c>
      <c r="V121">
        <v>71.239999999999995</v>
      </c>
      <c r="W121">
        <v>68.52</v>
      </c>
      <c r="X121">
        <v>0</v>
      </c>
      <c r="Y121">
        <v>0</v>
      </c>
    </row>
    <row r="122" spans="1:25" x14ac:dyDescent="0.2">
      <c r="A122">
        <v>8715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39.06</v>
      </c>
      <c r="V122">
        <v>57.14</v>
      </c>
      <c r="W122">
        <v>47.65</v>
      </c>
      <c r="X122">
        <v>0</v>
      </c>
      <c r="Y122">
        <v>0</v>
      </c>
    </row>
    <row r="123" spans="1:25" x14ac:dyDescent="0.2">
      <c r="A123">
        <v>8716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14.59</v>
      </c>
      <c r="V123">
        <v>78.760000000000005</v>
      </c>
      <c r="W123">
        <v>73.510000000000005</v>
      </c>
      <c r="X123">
        <v>0</v>
      </c>
      <c r="Y123">
        <v>0</v>
      </c>
    </row>
    <row r="124" spans="1:25" x14ac:dyDescent="0.2">
      <c r="A124">
        <v>8717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28.44</v>
      </c>
      <c r="V124">
        <v>72.12</v>
      </c>
      <c r="W124">
        <v>49.98</v>
      </c>
      <c r="X124">
        <v>0</v>
      </c>
      <c r="Y124">
        <v>0</v>
      </c>
    </row>
    <row r="125" spans="1:25" x14ac:dyDescent="0.2">
      <c r="A125">
        <v>8718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10.51</v>
      </c>
      <c r="V125">
        <v>82.43</v>
      </c>
      <c r="W125">
        <v>48.26</v>
      </c>
      <c r="X125">
        <v>0</v>
      </c>
      <c r="Y125">
        <v>0</v>
      </c>
    </row>
    <row r="126" spans="1:25" x14ac:dyDescent="0.2">
      <c r="A126">
        <v>8719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40.58</v>
      </c>
      <c r="X126">
        <v>0</v>
      </c>
      <c r="Y126">
        <v>0</v>
      </c>
    </row>
    <row r="127" spans="1:25" x14ac:dyDescent="0.2">
      <c r="A127">
        <v>8720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47.83</v>
      </c>
      <c r="X127">
        <v>0</v>
      </c>
      <c r="Y127">
        <v>0</v>
      </c>
    </row>
    <row r="128" spans="1:25" x14ac:dyDescent="0.2">
      <c r="A128">
        <v>8721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65.180000000000007</v>
      </c>
      <c r="X128">
        <v>0</v>
      </c>
      <c r="Y128">
        <v>0</v>
      </c>
    </row>
    <row r="129" spans="1:25" x14ac:dyDescent="0.2">
      <c r="A129">
        <v>8722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66.33</v>
      </c>
      <c r="W129">
        <v>58.66</v>
      </c>
      <c r="X129">
        <v>0</v>
      </c>
      <c r="Y129">
        <v>0</v>
      </c>
    </row>
    <row r="130" spans="1:25" x14ac:dyDescent="0.2">
      <c r="A130">
        <v>8723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77.849999999999994</v>
      </c>
      <c r="W130">
        <v>104.62</v>
      </c>
      <c r="X130">
        <v>0</v>
      </c>
      <c r="Y130">
        <v>0</v>
      </c>
    </row>
    <row r="131" spans="1:25" x14ac:dyDescent="0.2">
      <c r="A131">
        <v>8724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26.05</v>
      </c>
      <c r="X131">
        <v>0</v>
      </c>
      <c r="Y131">
        <v>0</v>
      </c>
    </row>
    <row r="132" spans="1:25" x14ac:dyDescent="0.2">
      <c r="A132">
        <v>8725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88.1</v>
      </c>
      <c r="X132">
        <v>0</v>
      </c>
      <c r="Y132">
        <v>0</v>
      </c>
    </row>
    <row r="133" spans="1:25" x14ac:dyDescent="0.2">
      <c r="A133">
        <v>8726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58.7</v>
      </c>
      <c r="X133">
        <v>0</v>
      </c>
      <c r="Y133">
        <v>0</v>
      </c>
    </row>
    <row r="134" spans="1:25" x14ac:dyDescent="0.2">
      <c r="A134">
        <v>8727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54.97</v>
      </c>
      <c r="X134">
        <v>0</v>
      </c>
      <c r="Y134">
        <v>0</v>
      </c>
    </row>
    <row r="135" spans="1:25" x14ac:dyDescent="0.2">
      <c r="A135">
        <v>8728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33.35</v>
      </c>
      <c r="X135">
        <v>0</v>
      </c>
      <c r="Y135">
        <v>0</v>
      </c>
    </row>
    <row r="136" spans="1:25" x14ac:dyDescent="0.2">
      <c r="A136">
        <v>8729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60.42</v>
      </c>
      <c r="X136">
        <v>0</v>
      </c>
      <c r="Y136">
        <v>0</v>
      </c>
    </row>
    <row r="137" spans="1:25" x14ac:dyDescent="0.2">
      <c r="A137">
        <v>8730</v>
      </c>
      <c r="B137">
        <v>0</v>
      </c>
      <c r="C137">
        <v>0</v>
      </c>
      <c r="D137">
        <v>0</v>
      </c>
      <c r="E137">
        <v>0</v>
      </c>
      <c r="F137">
        <v>480.78</v>
      </c>
      <c r="G137">
        <v>869.3</v>
      </c>
      <c r="H137">
        <v>484.66</v>
      </c>
      <c r="I137">
        <v>499.94</v>
      </c>
      <c r="J137">
        <v>802.97</v>
      </c>
      <c r="K137">
        <v>1074.48</v>
      </c>
      <c r="L137">
        <v>997.35</v>
      </c>
      <c r="M137">
        <v>1001.22</v>
      </c>
      <c r="N137">
        <v>1957.85</v>
      </c>
      <c r="O137">
        <v>79.62</v>
      </c>
      <c r="P137">
        <v>1019.69</v>
      </c>
      <c r="Q137">
        <v>699.4</v>
      </c>
      <c r="R137">
        <v>233.98</v>
      </c>
      <c r="S137">
        <v>803.7</v>
      </c>
      <c r="T137">
        <v>716.71</v>
      </c>
      <c r="U137">
        <v>712.12</v>
      </c>
      <c r="V137">
        <v>540.74</v>
      </c>
      <c r="W137">
        <v>624.71</v>
      </c>
      <c r="X137">
        <v>0</v>
      </c>
      <c r="Y137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 Global</vt:lpstr>
      <vt:lpstr>Resumen 3.0TD</vt:lpstr>
      <vt:lpstr>Detalle 3.0TD</vt:lpstr>
      <vt:lpstr>Resumen 2.0TD</vt:lpstr>
      <vt:lpstr>Detalle 2.0TD</vt:lpstr>
      <vt:lpstr>_series_3</vt:lpstr>
      <vt:lpstr>_series_2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TRANSACTIVA 2000 SL</cp:lastModifiedBy>
  <cp:revision>3</cp:revision>
  <dcterms:created xsi:type="dcterms:W3CDTF">2026-06-28T19:45:25Z</dcterms:created>
  <dcterms:modified xsi:type="dcterms:W3CDTF">2026-06-29T20:04:28Z</dcterms:modified>
  <dc:language>en-US</dc:language>
</cp:coreProperties>
</file>